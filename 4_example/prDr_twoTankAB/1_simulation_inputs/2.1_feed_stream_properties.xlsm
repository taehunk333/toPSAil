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twoTankAB\1_simulation_inputs\"/>
    </mc:Choice>
  </mc:AlternateContent>
  <xr:revisionPtr revIDLastSave="0" documentId="13_ncr:1_{7DEC2BAC-9849-431A-BEBA-05CFB62048A1}" xr6:coauthVersionLast="47" xr6:coauthVersionMax="47" xr10:uidLastSave="{00000000-0000-0000-0000-000000000000}"/>
  <bookViews>
    <workbookView xWindow="-120" yWindow="-120" windowWidth="29040" windowHeight="15840" tabRatio="818" activeTab="1" xr2:uid="{CB583278-6AF7-49E7-A969-6064EAB4A9B4}"/>
  </bookViews>
  <sheets>
    <sheet name="Revision History" sheetId="4" r:id="rId1"/>
    <sheet name="Stream Properties" sheetId="39" r:id="rId2"/>
    <sheet name="Reference" sheetId="2" state="hidden" r:id="rId3"/>
    <sheet name="maintenance check list" sheetId="28" state="hidden" r:id="rId4"/>
    <sheet name="Data(Transposed)" sheetId="3" r:id="rId5"/>
    <sheet name="Data(Test)" sheetId="9" r:id="rId6"/>
  </sheets>
  <functionGroups builtInGroupCount="19"/>
  <externalReferences>
    <externalReference r:id="rId7"/>
    <externalReference r:id="rId8"/>
  </externalReferences>
  <definedNames>
    <definedName name="_xlnm._FilterDatabase" localSheetId="1" hidden="1">'Stream Properties'!$A$9:$J$10</definedName>
    <definedName name="_xlnm.Print_Area" localSheetId="0">'Revision History'!$C$3:$K$51</definedName>
    <definedName name="_xlnm.Print_Area" localSheetId="1">'Stream Properties'!$A$2:$J$19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3" i="39" l="1"/>
  <c r="H12" i="39"/>
  <c r="I16" i="39"/>
  <c r="H16" i="39"/>
  <c r="I15" i="39"/>
  <c r="H15" i="39"/>
  <c r="I14" i="39"/>
  <c r="H14" i="39"/>
  <c r="H11" i="39" l="1"/>
  <c r="J4" i="39" l="1"/>
  <c r="J2" i="39"/>
  <c r="A2" i="39"/>
</calcChain>
</file>

<file path=xl/sharedStrings.xml><?xml version="1.0" encoding="utf-8"?>
<sst xmlns="http://schemas.openxmlformats.org/spreadsheetml/2006/main" count="204" uniqueCount="123">
  <si>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</si>
  <si>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</si>
  <si>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</si>
  <si>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</si>
  <si>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</si>
  <si>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</si>
  <si>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</si>
  <si>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</si>
  <si>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</si>
  <si>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</si>
  <si>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</si>
  <si>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</si>
  <si>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</si>
  <si>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</si>
  <si>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</si>
  <si>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</si>
  <si>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</si>
  <si>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</si>
  <si>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</si>
  <si>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</si>
  <si>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</si>
  <si>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</si>
  <si>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</si>
  <si>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</si>
  <si>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</si>
  <si>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</si>
  <si>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</si>
  <si>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</si>
  <si>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</si>
  <si>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</si>
  <si>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</si>
  <si>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</si>
  <si>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</si>
  <si>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</si>
  <si>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</si>
  <si>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</si>
  <si>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</si>
  <si>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</si>
  <si>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</si>
  <si>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</si>
  <si>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</si>
  <si>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</si>
  <si>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</si>
  <si>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</si>
  <si>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</si>
  <si>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</si>
  <si>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</si>
  <si>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</si>
  <si>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</si>
  <si>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</si>
  <si>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</si>
  <si>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</si>
  <si>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</si>
  <si>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</si>
  <si>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</si>
  <si>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</si>
  <si>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</si>
  <si>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</si>
  <si>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</si>
  <si>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</si>
  <si>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</si>
  <si>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</si>
  <si>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</si>
  <si>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</si>
  <si>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</si>
  <si>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</si>
  <si>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</si>
  <si>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</si>
  <si>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</si>
  <si>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</si>
  <si>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</si>
  <si>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</si>
  <si>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</si>
  <si>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</si>
  <si>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</si>
  <si>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</si>
  <si>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</si>
  <si>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</si>
  <si>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</si>
  <si>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</si>
  <si>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</si>
  <si>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</si>
  <si>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</si>
  <si>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</si>
  <si>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</si>
  <si>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</si>
  <si>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</si>
  <si>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</si>
  <si>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</si>
  <si>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</si>
  <si>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</si>
  <si>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</si>
  <si>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</si>
  <si>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</si>
  <si>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</si>
  <si>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</si>
  <si>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</si>
  <si>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</si>
  <si>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</si>
  <si>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</si>
  <si>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</si>
  <si>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</si>
  <si>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</si>
  <si>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</si>
  <si>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</si>
  <si>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</si>
  <si>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</si>
  <si>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</si>
  <si>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</si>
  <si>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</si>
  <si>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</si>
  <si>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</si>
  <si>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</si>
  <si>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</si>
  <si>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</si>
  <si>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</si>
  <si>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</si>
  <si>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</si>
  <si>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</si>
  <si>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yFeC3</t>
  </si>
  <si>
    <t>yFeTwoC1</t>
  </si>
  <si>
    <t>yFeTwoC2</t>
  </si>
  <si>
    <t>yFeTwoC3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</si>
</sst>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5118"/>
          <a:ext cx="5967830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100-0000014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1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1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\4_example\dev\1_simulation_inputs\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\4_example\tank_test\1_simulation_inputs\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22">
          <cell r="B22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9" totalsRowShown="0" headerRowDxfId="14" dataDxfId="12" headerRowBorderDxfId="13" tableBorderDxfId="11" totalsRowBorderDxfId="10">
  <autoFilter ref="A9:J19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32" hidden="1" customWidth="1"/>
    <col min="3" max="3" width="2.42578125" style="32" customWidth="1"/>
    <col min="4" max="4" width="13.7109375" style="32" customWidth="1"/>
    <col min="5" max="5" width="51.28515625" style="33" bestFit="1" customWidth="1"/>
    <col min="6" max="6" width="15.7109375" style="34" bestFit="1" customWidth="1"/>
    <col min="7" max="9" width="13.28515625" style="32" customWidth="1"/>
    <col min="10" max="10" width="48.7109375" style="32" customWidth="1"/>
    <col min="11" max="11" width="2.42578125" style="32" customWidth="1"/>
    <col min="12" max="12" width="0" style="32" hidden="1" customWidth="1"/>
    <col min="13" max="16384" width="9" style="32" hidden="1"/>
  </cols>
  <sheetData>
    <row r="3" spans="4:10"/>
    <row r="4" spans="4:10" ht="18.75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5.25">
      <c r="D5" s="52" t="s">
        <v>37</v>
      </c>
      <c r="E5" s="52"/>
      <c r="F5" s="52"/>
      <c r="G5" s="52"/>
      <c r="H5" s="52"/>
      <c r="I5" s="52"/>
      <c r="J5" s="52"/>
    </row>
    <row r="6" spans="4:10" ht="18.75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6.25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7.5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.75">
      <c r="D9" s="36">
        <v>3</v>
      </c>
      <c r="E9" s="37"/>
      <c r="F9" s="38"/>
      <c r="G9" s="36"/>
      <c r="H9" s="36"/>
      <c r="I9" s="36"/>
      <c r="J9" s="37"/>
    </row>
    <row r="10" spans="4:10" ht="18.75">
      <c r="D10" s="36">
        <v>4</v>
      </c>
      <c r="E10" s="37"/>
      <c r="F10" s="38"/>
      <c r="G10" s="36"/>
      <c r="H10" s="36"/>
      <c r="I10" s="36"/>
      <c r="J10" s="37"/>
    </row>
    <row r="11" spans="4:10" ht="18.75">
      <c r="D11" s="36">
        <v>5</v>
      </c>
      <c r="E11" s="37"/>
      <c r="F11" s="38"/>
      <c r="G11" s="36"/>
      <c r="H11" s="36"/>
      <c r="I11" s="36"/>
      <c r="J11" s="37"/>
    </row>
    <row r="12" spans="4:10" ht="18.75">
      <c r="D12" s="36">
        <v>6</v>
      </c>
      <c r="E12" s="37"/>
      <c r="F12" s="38"/>
      <c r="G12" s="36"/>
      <c r="H12" s="36"/>
      <c r="I12" s="36"/>
      <c r="J12" s="37"/>
    </row>
    <row r="13" spans="4:10" ht="18.75">
      <c r="D13" s="36">
        <v>7</v>
      </c>
      <c r="E13" s="37"/>
      <c r="F13" s="38"/>
      <c r="G13" s="36"/>
      <c r="H13" s="36"/>
      <c r="I13" s="36"/>
      <c r="J13" s="37"/>
    </row>
    <row r="14" spans="4:10" ht="18.75">
      <c r="D14" s="36">
        <v>8</v>
      </c>
      <c r="E14" s="37"/>
      <c r="F14" s="38"/>
      <c r="G14" s="36"/>
      <c r="H14" s="36"/>
      <c r="I14" s="36"/>
      <c r="J14" s="37"/>
    </row>
    <row r="15" spans="4:10" ht="18.75">
      <c r="D15" s="36">
        <v>9</v>
      </c>
      <c r="E15" s="37"/>
      <c r="F15" s="38"/>
      <c r="G15" s="36"/>
      <c r="H15" s="36"/>
      <c r="I15" s="36"/>
      <c r="J15" s="37"/>
    </row>
    <row r="16" spans="4:10" ht="18.75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9"/>
  <sheetViews>
    <sheetView showGridLines="0" tabSelected="1" topLeftCell="A2" zoomScale="85" zoomScaleNormal="85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customWidth="1"/>
    <col min="7" max="9" width="15" style="3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.75">
      <c r="A3" s="53" t="s">
        <v>30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IF(COUNTIF(Table11082[Test 3],1)=COUNTA(Table11082[Value]),"Ready","Not Ready")</f>
        <v>Ready</v>
      </c>
    </row>
    <row r="5" spans="1:10" ht="14.65" customHeight="1">
      <c r="A5" s="17"/>
      <c r="B5" s="18"/>
      <c r="C5" s="45"/>
      <c r="D5" s="45"/>
      <c r="E5" s="45"/>
      <c r="F5" s="45"/>
      <c r="G5" s="19"/>
      <c r="H5" s="45"/>
      <c r="I5" s="45"/>
      <c r="J5" s="55"/>
    </row>
    <row r="6" spans="1:10" ht="14.65" customHeight="1">
      <c r="A6" s="17"/>
      <c r="B6" s="18"/>
      <c r="C6" s="45"/>
      <c r="D6" s="45"/>
      <c r="E6" s="45"/>
      <c r="F6" s="45"/>
      <c r="G6" s="19"/>
      <c r="H6" s="45"/>
      <c r="I6" s="45"/>
      <c r="J6" s="55"/>
    </row>
    <row r="7" spans="1:10" ht="14.65" customHeight="1">
      <c r="A7" s="17"/>
      <c r="B7" s="18"/>
      <c r="C7" s="45"/>
      <c r="D7" s="45"/>
      <c r="E7" s="45"/>
      <c r="F7" s="45"/>
      <c r="G7" s="19"/>
      <c r="H7" s="45"/>
      <c r="I7" s="45"/>
      <c r="J7" s="55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5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60">
      <c r="A10" s="44" t="s">
        <v>97</v>
      </c>
      <c r="B10" s="29">
        <v>298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5">
      <c r="A11" s="4" t="s">
        <v>67</v>
      </c>
      <c r="B11" s="29">
        <v>0.78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3</v>
      </c>
      <c r="I11" s="6">
        <v>1</v>
      </c>
      <c r="J11" s="5" t="s">
        <v>115</v>
      </c>
    </row>
    <row r="12" spans="1:10" ht="45">
      <c r="A12" s="4" t="s">
        <v>68</v>
      </c>
      <c r="B12" s="29">
        <v>0.21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3</v>
      </c>
      <c r="I12" s="6">
        <v>1</v>
      </c>
      <c r="J12" s="5" t="s">
        <v>115</v>
      </c>
    </row>
    <row r="13" spans="1:10" ht="45">
      <c r="A13" s="4" t="s">
        <v>119</v>
      </c>
      <c r="B13" s="29">
        <v>0.01</v>
      </c>
      <c r="C13" s="2" t="s">
        <v>3</v>
      </c>
      <c r="D13" s="1" t="s">
        <v>23</v>
      </c>
      <c r="E13" s="1" t="s">
        <v>7</v>
      </c>
      <c r="F13" s="2" t="s">
        <v>40</v>
      </c>
      <c r="G13" s="1"/>
      <c r="H13" s="50">
        <f>[1]Initialization!$B$10</f>
        <v>3</v>
      </c>
      <c r="I13" s="6">
        <v>1</v>
      </c>
      <c r="J13" s="5" t="s">
        <v>115</v>
      </c>
    </row>
    <row r="14" spans="1:10" ht="45">
      <c r="A14" s="44" t="s">
        <v>120</v>
      </c>
      <c r="B14" s="29">
        <v>0</v>
      </c>
      <c r="C14" s="2" t="s">
        <v>3</v>
      </c>
      <c r="D14" s="1" t="s">
        <v>23</v>
      </c>
      <c r="E14" s="1" t="s">
        <v>7</v>
      </c>
      <c r="F14" s="2" t="s">
        <v>40</v>
      </c>
      <c r="G14" s="1">
        <v>1</v>
      </c>
      <c r="H14" s="50">
        <f>[1]Initialization!$B$10</f>
        <v>3</v>
      </c>
      <c r="I14" s="6">
        <f>[2]Initialization!$B$22</f>
        <v>1</v>
      </c>
      <c r="J14" s="5" t="s">
        <v>115</v>
      </c>
    </row>
    <row r="15" spans="1:10" ht="45">
      <c r="A15" s="44" t="s">
        <v>121</v>
      </c>
      <c r="B15" s="29">
        <v>0</v>
      </c>
      <c r="C15" s="2" t="s">
        <v>3</v>
      </c>
      <c r="D15" s="1" t="s">
        <v>23</v>
      </c>
      <c r="E15" s="1" t="s">
        <v>7</v>
      </c>
      <c r="F15" s="2" t="s">
        <v>40</v>
      </c>
      <c r="G15" s="1"/>
      <c r="H15" s="50">
        <f>[1]Initialization!$B$10</f>
        <v>3</v>
      </c>
      <c r="I15" s="6">
        <f>[2]Initialization!$B$22</f>
        <v>1</v>
      </c>
      <c r="J15" s="5" t="s">
        <v>115</v>
      </c>
    </row>
    <row r="16" spans="1:10" ht="45">
      <c r="A16" s="44" t="s">
        <v>122</v>
      </c>
      <c r="B16" s="29">
        <v>1</v>
      </c>
      <c r="C16" s="2" t="s">
        <v>3</v>
      </c>
      <c r="D16" s="1" t="s">
        <v>23</v>
      </c>
      <c r="E16" s="1" t="s">
        <v>7</v>
      </c>
      <c r="F16" s="2" t="s">
        <v>40</v>
      </c>
      <c r="G16" s="1"/>
      <c r="H16" s="50">
        <f>[1]Initialization!$B$10</f>
        <v>3</v>
      </c>
      <c r="I16" s="6">
        <f>[2]Initialization!$B$22</f>
        <v>1</v>
      </c>
      <c r="J16" s="5" t="s">
        <v>115</v>
      </c>
    </row>
    <row r="17" spans="1:10" ht="15">
      <c r="A17" s="44" t="s">
        <v>107</v>
      </c>
      <c r="B17" s="29">
        <v>1.225E-3</v>
      </c>
      <c r="C17" s="31" t="s">
        <v>108</v>
      </c>
      <c r="D17" s="1" t="s">
        <v>27</v>
      </c>
      <c r="E17" s="1" t="s">
        <v>7</v>
      </c>
      <c r="F17" s="2" t="s">
        <v>48</v>
      </c>
      <c r="G17" s="1">
        <v>1</v>
      </c>
      <c r="H17" s="1">
        <v>1</v>
      </c>
      <c r="I17" s="6">
        <v>1</v>
      </c>
      <c r="J17" s="5" t="s">
        <v>109</v>
      </c>
    </row>
    <row r="18" spans="1:10" ht="15">
      <c r="A18" s="44" t="s">
        <v>110</v>
      </c>
      <c r="B18" s="51">
        <v>1.8099999999999999E-5</v>
      </c>
      <c r="C18" s="31" t="s">
        <v>111</v>
      </c>
      <c r="D18" s="1" t="s">
        <v>27</v>
      </c>
      <c r="E18" s="1" t="s">
        <v>7</v>
      </c>
      <c r="F18" s="2" t="s">
        <v>48</v>
      </c>
      <c r="G18" s="1">
        <v>1</v>
      </c>
      <c r="H18" s="1">
        <v>1</v>
      </c>
      <c r="I18" s="6">
        <v>1</v>
      </c>
      <c r="J18" s="5" t="s">
        <v>112</v>
      </c>
    </row>
    <row r="19" spans="1:10" ht="15">
      <c r="A19" s="8" t="s">
        <v>78</v>
      </c>
      <c r="B19" s="30"/>
      <c r="C19" s="9"/>
      <c r="D19" s="10"/>
      <c r="E19" s="10"/>
      <c r="F19" s="9"/>
      <c r="G19" s="10">
        <v>1</v>
      </c>
      <c r="H19" s="10">
        <v>1</v>
      </c>
      <c r="I19" s="11">
        <v>0</v>
      </c>
      <c r="J19" s="12" t="s">
        <v>79</v>
      </c>
    </row>
  </sheetData>
  <sheetProtection algorithmName="SHA-512" hashValue="qlE3CTwB6RrOYGctwvy/MGmVEZiOzBpBTd8dE+OXk8hb1wSncT1YjpcC/p5EaoWaCiP5v8n0R5UEyPb2tsxP7g==" saltValue="crl9YCWW/wMuzB7dcMBs5w==" spinCount="100000" sheet="1" objects="1" scenarios="1" selectLockedCells="1"/>
  <mergeCells count="2">
    <mergeCell ref="A3:J3"/>
    <mergeCell ref="J4:J8"/>
  </mergeCells>
  <conditionalFormatting sqref="B10:B19">
    <cfRule type="expression" dxfId="19" priority="10">
      <formula>IF(AND($B10&lt;&gt;"",$I10=0),1,0)</formula>
    </cfRule>
    <cfRule type="expression" dxfId="18" priority="11">
      <formula>IF($B10&lt;&gt;"",1,0)</formula>
    </cfRule>
    <cfRule type="expression" dxfId="17" priority="12">
      <formula>$I10=0</formula>
    </cfRule>
  </conditionalFormatting>
  <conditionalFormatting sqref="J4">
    <cfRule type="expression" dxfId="16" priority="226">
      <formula>IF(COUNTA($B$10:$B$19)&lt;&gt;COUNTIF($I$10:$I$19,1),1,0)</formula>
    </cfRule>
    <cfRule type="expression" dxfId="15" priority="227">
      <formula>IF(COUNTA($B$10:$B$19)=COUNTIF($I$10:$I$19,1),1,0)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180975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E10:E19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D10:D19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J2"/>
  <sheetViews>
    <sheetView workbookViewId="0">
      <selection activeCell="CM2" sqref="CM2"/>
    </sheetView>
  </sheetViews>
  <sheetFormatPr defaultColWidth="8.7109375" defaultRowHeight="15"/>
  <sheetData>
    <row r="1" spans="1:10">
      <c r="A1" t="s">
        <v>97</v>
      </c>
      <c r="B1" t="s">
        <v>67</v>
      </c>
      <c r="C1" t="s">
        <v>68</v>
      </c>
      <c r="D1" t="s">
        <v>119</v>
      </c>
      <c r="E1" t="s">
        <v>120</v>
      </c>
      <c r="F1" t="s">
        <v>121</v>
      </c>
      <c r="G1" t="s">
        <v>122</v>
      </c>
      <c r="H1" t="s">
        <v>107</v>
      </c>
      <c r="I1" t="s">
        <v>110</v>
      </c>
      <c r="J1" t="s">
        <v>78</v>
      </c>
    </row>
    <row r="2" spans="1:10">
      <c r="A2">
        <v>298</v>
      </c>
      <c r="B2">
        <v>0.78</v>
      </c>
      <c r="C2">
        <v>0.21</v>
      </c>
      <c r="D2">
        <v>0.01</v>
      </c>
      <c r="E2">
        <v>0</v>
      </c>
      <c r="F2">
        <v>0</v>
      </c>
      <c r="G2">
        <v>1</v>
      </c>
      <c r="H2">
        <v>1.225E-3</v>
      </c>
      <c r="I2">
        <v>1.8099999999999999E-5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J2"/>
  <sheetViews>
    <sheetView workbookViewId="0">
      <selection activeCell="CR2" sqref="CR2"/>
    </sheetView>
  </sheetViews>
  <sheetFormatPr defaultColWidth="8.7109375" defaultRowHeight="15"/>
  <sheetData>
    <row r="1" spans="1:10">
      <c r="A1" t="s">
        <v>97</v>
      </c>
      <c r="B1" t="s">
        <v>67</v>
      </c>
      <c r="C1" t="s">
        <v>68</v>
      </c>
      <c r="D1" t="s">
        <v>119</v>
      </c>
      <c r="E1" t="s">
        <v>120</v>
      </c>
      <c r="F1" t="s">
        <v>121</v>
      </c>
      <c r="G1" t="s">
        <v>122</v>
      </c>
      <c r="H1" t="s">
        <v>107</v>
      </c>
      <c r="I1" t="s">
        <v>110</v>
      </c>
      <c r="J1" t="s">
        <v>78</v>
      </c>
    </row>
    <row r="2" spans="1:1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2024-11-04T17:01:59Z</dcterms:modified>
</cp:coreProperties>
</file>