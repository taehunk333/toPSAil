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0\1_simulation_inputs\"/>
    </mc:Choice>
  </mc:AlternateContent>
  <xr:revisionPtr revIDLastSave="0" documentId="13_ncr:1_{89758DED-25C9-499E-BE6D-92A53B5C3256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Initialization!$A$1:$J$11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9" i="43" l="1"/>
  <c r="B10" i="47"/>
  <c r="I12" i="42"/>
  <c r="I10" i="42"/>
  <c r="I9" i="42"/>
  <c r="H10" i="45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<sst xmlns="http://schemas.openxmlformats.org/spreadsheetml/2006/main" count="340" uniqueCount="153">
  <si>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</si>
  <si>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</si>
  <si>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</si>
  <si>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</si>
  <si>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</si>
  <si>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</si>
  <si>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</si>
  <si>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</si>
  <si>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</si>
  <si>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</si>
  <si>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</si>
  <si>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</si>
  <si>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</si>
  <si>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</si>
  <si>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</si>
  <si>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</si>
  <si>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</si>
  <si>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</si>
  <si>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</si>
  <si>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</si>
  <si>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</si>
  <si>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</si>
  <si>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</si>
  <si>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</si>
  <si>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</si>
  <si>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</si>
  <si>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</si>
  <si>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</si>
  <si>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</si>
  <si>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</si>
  <si>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</si>
  <si>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</si>
  <si>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</si>
  <si>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</si>
  <si>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</si>
  <si>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</si>
  <si>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</si>
  <si>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</si>
  <si>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</si>
  <si>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</si>
  <si>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</si>
  <si>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</si>
  <si>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</si>
  <si>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</si>
  <si>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</si>
  <si>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</si>
  <si>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</si>
  <si>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</si>
  <si>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</si>
  <si>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</si>
  <si>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</si>
  <si>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</si>
  <si>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</si>
  <si>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</si>
  <si>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</si>
  <si>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</si>
  <si>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</si>
  <si>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</si>
  <si>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</si>
  <si>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</si>
  <si>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</si>
  <si>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</si>
  <si>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</si>
  <si>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</si>
  <si>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</si>
  <si>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</si>
  <si>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</si>
  <si>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</si>
  <si>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</si>
  <si>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</si>
  <si>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</si>
  <si>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</si>
  <si>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</si>
  <si>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</si>
  <si>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</si>
  <si>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</si>
  <si>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</si>
  <si>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</si>
  <si>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</si>
  <si>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</si>
  <si>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</si>
  <si>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</si>
  <si>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</si>
  <si>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</si>
  <si>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</si>
  <si>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</si>
  <si>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</si>
  <si>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</si>
  <si>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</si>
  <si>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</si>
  <si>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</si>
  <si>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</si>
  <si>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</si>
  <si>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</si>
  <si>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</si>
  <si>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</si>
  <si>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</si>
  <si>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</si>
  <si>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</si>
  <si>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</si>
  <si>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</si>
  <si>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</si>
  <si>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</si>
  <si>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</si>
  <si>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</si>
  <si>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</si>
  <si>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</si>
  <si>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</si>
  <si>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</si>
  <si>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</si>
  <si>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</si>
  <si>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</si>
  <si>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</si>
  <si>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</si>
  <si>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</si>
  <si>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</si>
  <si>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</si>
  <si>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</si>
  <si>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</si>
  <si>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</si>
  <si>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</si>
  <si>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</si>
  <si>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</si>
  <si>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</si>
  <si>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</si>
  <si>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</si>
  <si>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</si>
  <si>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</si>
  <si>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</si>
  <si>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</si>
  <si>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</si>
  <si>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</si>
  <si>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</si>
  <si>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</si>
  <si>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inConBed2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</si>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</sst>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1" totalsRowShown="0" headerRowDxfId="97" dataDxfId="95" headerRowBorderDxfId="96" tableBorderDxfId="94" totalsRowBorderDxfId="93">
  <autoFilter ref="A8:J11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150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149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148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114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115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1"/>
  <sheetViews>
    <sheetView showGridLines="0" zoomScaleNormal="85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2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2</v>
      </c>
      <c r="I9" s="6">
        <v>1</v>
      </c>
      <c r="J9" s="5" t="s">
        <v>151</v>
      </c>
    </row>
    <row r="10" spans="1:10" ht="259.2">
      <c r="A10" s="48" t="s">
        <v>134</v>
      </c>
      <c r="B10" s="31">
        <v>5</v>
      </c>
      <c r="C10" s="2" t="s">
        <v>3</v>
      </c>
      <c r="D10" s="1" t="s">
        <v>31</v>
      </c>
      <c r="E10" s="1" t="s">
        <v>91</v>
      </c>
      <c r="F10" s="2" t="s">
        <v>45</v>
      </c>
      <c r="G10" s="1"/>
      <c r="H10" s="55">
        <f>[1]Initialization!$B$10</f>
        <v>2</v>
      </c>
      <c r="I10" s="6">
        <v>1</v>
      </c>
      <c r="J10" s="5" t="s">
        <v>151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xk9Q0EFkFNfvE0qePQRqmv9HuCIvKGurtaVjty6dcWxVBCXpOmQeDnS5P5z4R8UQ2aOdODqAWyJXdOkbpM/ygQ==" saltValue="wn7iwlSvcdO5NwRHBu4mtw==" spinCount="100000" sheet="1" objects="1" scenarios="1" selectLockedCells="1"/>
  <mergeCells count="2">
    <mergeCell ref="A2:J2"/>
    <mergeCell ref="J3:J7"/>
  </mergeCells>
  <conditionalFormatting sqref="B9 B11">
    <cfRule type="expression" dxfId="105" priority="4">
      <formula>IF(AND($B9&lt;&gt;"",$I9=0),1,0)</formula>
    </cfRule>
    <cfRule type="expression" dxfId="104" priority="5">
      <formula>IF($B9&lt;&gt;"",1,0)</formula>
    </cfRule>
    <cfRule type="expression" dxfId="103" priority="6">
      <formula>$I9=0</formula>
    </cfRule>
  </conditionalFormatting>
  <conditionalFormatting sqref="J3">
    <cfRule type="expression" dxfId="102" priority="2451">
      <formula>IF(COUNTA($B$9:$B$11)&lt;&gt;COUNTIF($I$9:$I$11,1),1,0)</formula>
    </cfRule>
    <cfRule type="expression" dxfId="101" priority="2452">
      <formula>IF(COUNTA($B$9:$B$11)=COUNTIF($I$9:$I$11,1),1,0)</formula>
    </cfRule>
  </conditionalFormatting>
  <conditionalFormatting sqref="B10">
    <cfRule type="expression" dxfId="100" priority="1">
      <formula>IF(AND($B10&lt;&gt;"",$I10=0),1,0)</formula>
    </cfRule>
    <cfRule type="expression" dxfId="99" priority="2">
      <formula>IF($B10&lt;&gt;"",1,0)</formula>
    </cfRule>
    <cfRule type="expression" dxfId="98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B9:B10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E9:E11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F9:F11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128</v>
      </c>
      <c r="B9" s="31">
        <v>100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2.2000000000000002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2.5499999999999998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0.315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f>100*PI()*(2.2)^2*0.795/1000</f>
        <v>1.2088220212482808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tabSelected="1" zoomScaleNormal="85" zoomScaleSheetLayoutView="85" workbookViewId="0">
      <pane ySplit="8" topLeftCell="A9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142</v>
      </c>
      <c r="B9" s="31">
        <f>11*1.01325</f>
        <v>11.14575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136</v>
      </c>
    </row>
    <row r="10" spans="1:10" ht="43.2">
      <c r="A10" s="48" t="s">
        <v>144</v>
      </c>
      <c r="B10" s="31"/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141</v>
      </c>
    </row>
    <row r="11" spans="1:10" ht="43.2">
      <c r="A11" s="4" t="s">
        <v>147</v>
      </c>
      <c r="B11" s="31"/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138</v>
      </c>
    </row>
    <row r="12" spans="1:10" ht="72">
      <c r="A12" s="48" t="s">
        <v>143</v>
      </c>
      <c r="B12" s="31">
        <v>1.01325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137</v>
      </c>
    </row>
    <row r="13" spans="1:10" ht="43.2">
      <c r="A13" s="48" t="s">
        <v>145</v>
      </c>
      <c r="B13" s="31"/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140</v>
      </c>
    </row>
    <row r="14" spans="1:10" ht="43.2">
      <c r="A14" s="4" t="s">
        <v>146</v>
      </c>
      <c r="B14" s="31"/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139</v>
      </c>
    </row>
    <row r="15" spans="1:10" ht="57.6">
      <c r="A15" s="4" t="s">
        <v>116</v>
      </c>
      <c r="B15" s="31">
        <v>293.14999999999998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135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s9q8utgiO28kUjzIYsOibpdqtOjyb5skp5beqU/HKcL0runklIE7y6h4TfKsZvTPParYhf8hs+5NWSf8149JHg==" saltValue="V1p5ZlKlQjmidxhftB3x+A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112</v>
      </c>
      <c r="B9" s="31"/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0</v>
      </c>
      <c r="J9" s="5" t="s">
        <v>104</v>
      </c>
    </row>
    <row r="10" spans="1:10" ht="28.8">
      <c r="A10" s="48" t="s">
        <v>113</v>
      </c>
      <c r="B10" s="31"/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0</v>
      </c>
      <c r="J10" s="5" t="s">
        <v>105</v>
      </c>
    </row>
    <row r="11" spans="1:10" ht="14.4">
      <c r="A11" s="48" t="s">
        <v>117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118</v>
      </c>
      <c r="B12" s="31"/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0</v>
      </c>
      <c r="J12" s="5" t="s">
        <v>152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DAhji53mvdKtM1nxoIT5z9Zdo5NdF9M3pM/t3w0nqZ4RfRz5b/CJgcFmixer1IiGZG2znIcPlWJn/DLXxV/MvA==" saltValue="oKcpiIzih+s2P7UJfTKAYw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3">
      <c r="A1" t="s">
        <v>106</v>
      </c>
      <c r="B1" t="s">
        <v>134</v>
      </c>
      <c r="C1" t="s">
        <v>86</v>
      </c>
      <c r="D1" t="s">
        <v>128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142</v>
      </c>
      <c r="L1" t="s">
        <v>144</v>
      </c>
      <c r="M1" t="s">
        <v>147</v>
      </c>
      <c r="N1" t="s">
        <v>143</v>
      </c>
      <c r="O1" t="s">
        <v>145</v>
      </c>
      <c r="P1" t="s">
        <v>146</v>
      </c>
      <c r="Q1" t="s">
        <v>116</v>
      </c>
      <c r="R1" t="s">
        <v>86</v>
      </c>
      <c r="S1" t="s">
        <v>112</v>
      </c>
      <c r="T1" t="s">
        <v>113</v>
      </c>
      <c r="U1" t="s">
        <v>117</v>
      </c>
      <c r="V1" t="s">
        <v>118</v>
      </c>
      <c r="W1" t="s">
        <v>86</v>
      </c>
    </row>
    <row r="2" spans="1:23">
      <c r="A2">
        <v>2</v>
      </c>
      <c r="B2">
        <v>5</v>
      </c>
      <c r="D2">
        <v>100</v>
      </c>
      <c r="E2">
        <v>2.2000000000000002</v>
      </c>
      <c r="F2">
        <v>2.5499999999999998</v>
      </c>
      <c r="H2">
        <v>0.315</v>
      </c>
      <c r="I2">
        <v>1.2088220212482808</v>
      </c>
      <c r="K2">
        <v>11.14575</v>
      </c>
      <c r="N2">
        <v>1.01325</v>
      </c>
      <c r="Q2">
        <v>293.14999999999998</v>
      </c>
      <c r="U2">
        <v>7.8300000000000002E-3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topLeftCell="CC1" workbookViewId="0">
      <selection activeCell="CR2" sqref="CR2"/>
    </sheetView>
  </sheetViews>
  <sheetFormatPr defaultColWidth="8.77734375" defaultRowHeight="14.4"/>
  <sheetData>
    <row r="1" spans="1:23">
      <c r="A1" t="s">
        <v>106</v>
      </c>
      <c r="B1" t="s">
        <v>134</v>
      </c>
      <c r="C1" t="s">
        <v>86</v>
      </c>
      <c r="D1" t="s">
        <v>128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142</v>
      </c>
      <c r="L1" t="s">
        <v>144</v>
      </c>
      <c r="M1" t="s">
        <v>147</v>
      </c>
      <c r="N1" t="s">
        <v>143</v>
      </c>
      <c r="O1" t="s">
        <v>145</v>
      </c>
      <c r="P1" t="s">
        <v>146</v>
      </c>
      <c r="Q1" t="s">
        <v>116</v>
      </c>
      <c r="R1" t="s">
        <v>86</v>
      </c>
      <c r="S1" t="s">
        <v>112</v>
      </c>
      <c r="T1" t="s">
        <v>113</v>
      </c>
      <c r="U1" t="s">
        <v>117</v>
      </c>
      <c r="V1" t="s">
        <v>118</v>
      </c>
      <c r="W1" t="s">
        <v>86</v>
      </c>
    </row>
    <row r="2" spans="1:23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0</v>
      </c>
      <c r="K2">
        <v>1</v>
      </c>
      <c r="L2">
        <v>0</v>
      </c>
      <c r="M2">
        <v>0</v>
      </c>
      <c r="N2">
        <v>1</v>
      </c>
      <c r="O2">
        <v>0</v>
      </c>
      <c r="P2">
        <v>0</v>
      </c>
      <c r="Q2">
        <v>1</v>
      </c>
      <c r="R2">
        <v>0</v>
      </c>
      <c r="S2">
        <v>0</v>
      </c>
      <c r="T2">
        <v>0</v>
      </c>
      <c r="U2">
        <v>1</v>
      </c>
      <c r="V2">
        <v>0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2022-12-01T20:19:23Z</dcterms:modified>
</cp:coreProperties>
</file>