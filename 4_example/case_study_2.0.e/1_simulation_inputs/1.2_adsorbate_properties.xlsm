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A35FF68C-2145-4681-BA95-7C1DFE8EB6E6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48" l="1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3" i="40" l="1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<sst xmlns="http://schemas.openxmlformats.org/spreadsheetml/2006/main" count="285" uniqueCount="140">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</sst>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4" dataDxfId="82" headerRowBorderDxfId="83" tableBorderDxfId="81" totalsRowBorderDxfId="80">
  <autoFilter ref="A9:J14" xr:uid="{B089C5C3-2CCE-4800-96CA-2131BB6E3E4F}"/>
  <tableColumns count="10">
    <tableColumn id="1" xr3:uid="{F0083DBC-BA3F-499A-AB41-58DC14E7EC9B}" name="Variable" dataDxfId="79"/>
    <tableColumn id="4" xr3:uid="{2D9C78CB-0A98-4E06-A17A-328F6643A2AB}" name="Value" dataDxfId="78"/>
    <tableColumn id="5" xr3:uid="{2D40A785-0BF0-4D20-A6A3-606AF3EAEA1D}" name="Unit" dataDxfId="77"/>
    <tableColumn id="6" xr3:uid="{47E47CE1-84EE-4BBF-AF16-7CD09E32C8D5}" name="Comparisons" dataDxfId="76"/>
    <tableColumn id="7" xr3:uid="{1E01755C-F10B-47AF-87D2-261FE9E5C304}" name="Variable Type" dataDxfId="75"/>
    <tableColumn id="8" xr3:uid="{A1508BC9-F251-4C78-AFE1-9780568F4570}" name="Dependency" dataDxfId="74"/>
    <tableColumn id="12" xr3:uid="{483B9187-B663-438A-A6C2-F92DD2C5981E}" name="Test 1" dataDxfId="73"/>
    <tableColumn id="10" xr3:uid="{B0989B53-E4FA-42D2-AC40-B81EF1952308}" name="Test 2" dataDxfId="72"/>
    <tableColumn id="2" xr3:uid="{3B51E6F8-78E0-4FDA-AE7D-0D8F50BB7A78}" name="Test 3" dataDxfId="71"/>
    <tableColumn id="9" xr3:uid="{87AE414E-FFE1-4067-A57C-04659EEE8430}" name="Description" dataDxfId="7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61" dataDxfId="59" headerRowBorderDxfId="60" tableBorderDxfId="58" totalsRowBorderDxfId="57">
  <autoFilter ref="A9:J12" xr:uid="{B089C5C3-2CCE-4800-96CA-2131BB6E3E4F}"/>
  <tableColumns count="10">
    <tableColumn id="1" xr3:uid="{D4652DE0-AD05-4BC4-B7DC-B91D6E15B5B2}" name="Variable" dataDxfId="56"/>
    <tableColumn id="4" xr3:uid="{2F59C491-C7E1-4257-A250-2EA854EB6288}" name="Value" dataDxfId="55"/>
    <tableColumn id="5" xr3:uid="{34876DE5-AC85-42AE-9A77-1A7DBC37EA9C}" name="Unit" dataDxfId="54"/>
    <tableColumn id="6" xr3:uid="{16522C00-28AB-414D-9B4E-DF5790D96FB0}" name="Comparisons" dataDxfId="53"/>
    <tableColumn id="7" xr3:uid="{A1C9D628-05B1-4FEF-97C7-8DAC16591D17}" name="Variable Type" dataDxfId="52"/>
    <tableColumn id="8" xr3:uid="{21ED6E86-E0CA-4EA6-8452-7E8EC49D47E9}" name="Dependency" dataDxfId="51"/>
    <tableColumn id="12" xr3:uid="{833F4E3C-8288-4E33-9D60-BB141BA16440}" name="Test 1" dataDxfId="50"/>
    <tableColumn id="10" xr3:uid="{B5ACF3FF-F7B5-4328-AF7F-9A1641C64EBC}" name="Test 2" dataDxfId="49"/>
    <tableColumn id="2" xr3:uid="{69651FF2-E47D-4C8B-88C9-DEAB4746E36D}" name="Test 3" dataDxfId="48"/>
    <tableColumn id="9" xr3:uid="{7323C7D4-0CE9-41A5-811B-0D3D008EC15F}" name="Description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134</v>
      </c>
      <c r="E4" s="50"/>
      <c r="F4" s="51"/>
      <c r="G4" s="52"/>
      <c r="H4" s="52"/>
      <c r="I4" s="52"/>
      <c r="J4" s="36" t="s">
        <v>85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128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133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131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101</v>
      </c>
      <c r="S1" t="s">
        <v>102</v>
      </c>
      <c r="T1" t="s">
        <v>115</v>
      </c>
      <c r="U1" t="s">
        <v>116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117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122</v>
      </c>
    </row>
    <row r="9" spans="1:21">
      <c r="B9" t="s">
        <v>90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113</v>
      </c>
    </row>
    <row r="12" spans="1:21">
      <c r="B12" t="s">
        <v>91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137</v>
      </c>
    </row>
    <row r="11" spans="1:10" ht="57.6">
      <c r="A11" s="58" t="s">
        <v>136</v>
      </c>
      <c r="B11" s="30">
        <v>1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138</v>
      </c>
    </row>
    <row r="12" spans="1:10" ht="43.2">
      <c r="A12" s="4" t="s">
        <v>62</v>
      </c>
      <c r="B12" s="30" t="s">
        <v>68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132</v>
      </c>
    </row>
    <row r="13" spans="1:10" ht="43.2">
      <c r="A13" s="4" t="s">
        <v>63</v>
      </c>
      <c r="B13" s="30" t="s">
        <v>103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132</v>
      </c>
    </row>
    <row r="14" spans="1:10" ht="14.4">
      <c r="A14" s="8" t="s">
        <v>78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79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92" priority="7">
      <formula>IF(AND($B10&lt;&gt;"",$I10=0),1,0)</formula>
    </cfRule>
    <cfRule type="expression" dxfId="91" priority="8">
      <formula>IF($B10&lt;&gt;"",1,0)</formula>
    </cfRule>
    <cfRule type="expression" dxfId="90" priority="9">
      <formula>$I10=0</formula>
    </cfRule>
  </conditionalFormatting>
  <conditionalFormatting sqref="B12:B13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conditionalFormatting sqref="J4">
    <cfRule type="expression" dxfId="86" priority="490">
      <formula>IF(COUNTA($B$10:$B$14)&lt;&gt;COUNTIF($I$10:$I$14,1),1,0)</formula>
    </cfRule>
    <cfRule type="expression" dxfId="85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sqref="A1:XFD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IF(COUNTIF(Table1108238[Test 3],1)=COUNTA(Table1108238[Value]),"Ready","Not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14.4">
      <c r="A10" s="4" t="s">
        <v>124</v>
      </c>
      <c r="B10" s="30">
        <v>32</v>
      </c>
      <c r="C10" s="2" t="s">
        <v>125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2</v>
      </c>
      <c r="I10" s="6">
        <v>1</v>
      </c>
      <c r="J10" s="5" t="s">
        <v>126</v>
      </c>
    </row>
    <row r="11" spans="1:10" ht="14.4">
      <c r="A11" s="4" t="s">
        <v>127</v>
      </c>
      <c r="B11" s="30">
        <v>28</v>
      </c>
      <c r="C11" s="2" t="s">
        <v>125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2</v>
      </c>
      <c r="I11" s="6">
        <v>1</v>
      </c>
      <c r="J11" s="5" t="s">
        <v>126</v>
      </c>
    </row>
    <row r="12" spans="1:10" ht="14.4">
      <c r="A12" s="8" t="s">
        <v>78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79</v>
      </c>
    </row>
  </sheetData>
  <sheetProtection algorithmName="SHA-512" hashValue="Mkqb3SDwC5ym9EWbshzZLDvUmHnCgBBsfIZHpwRaSs0Gu7Ms0fv1HD6esT7CHFuWhu2TKlL2e7p7RwUGPNapnw==" saltValue="WOFlY9Wh+QbqDGfya8B65w==" spinCount="100000" sheet="1" objects="1" scenarios="1" selectLockedCells="1"/>
  <mergeCells count="2">
    <mergeCell ref="A3:J3"/>
    <mergeCell ref="J4:J8"/>
  </mergeCells>
  <conditionalFormatting sqref="B10 B12">
    <cfRule type="expression" dxfId="69" priority="16">
      <formula>IF(AND($B10&lt;&gt;"",$I10=0),1,0)</formula>
    </cfRule>
    <cfRule type="expression" dxfId="68" priority="17">
      <formula>IF($B10&lt;&gt;"",1,0)</formula>
    </cfRule>
    <cfRule type="expression" dxfId="67" priority="18">
      <formula>$I10=0</formula>
    </cfRule>
  </conditionalFormatting>
  <conditionalFormatting sqref="J4">
    <cfRule type="expression" dxfId="66" priority="549">
      <formula>IF(COUNTA($B$10:$B$12)&lt;&gt;COUNTIF($I$10:$I$12,1),1,0)</formula>
    </cfRule>
    <cfRule type="expression" dxfId="65" priority="550">
      <formula>IF(COUNTA($B$10:$B$12)=COUNTIF($I$10:$I$12,1),1,0)</formula>
    </cfRule>
  </conditionalFormatting>
  <conditionalFormatting sqref="B11">
    <cfRule type="expression" dxfId="64" priority="1">
      <formula>IF(AND($B11&lt;&gt;"",$I11=0),1,0)</formula>
    </cfRule>
    <cfRule type="expression" dxfId="63" priority="2">
      <formula>IF($B11&lt;&gt;"",1,0)</formula>
    </cfRule>
    <cfRule type="expression" dxfId="62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28.8">
      <c r="A10" s="4" t="s">
        <v>93</v>
      </c>
      <c r="B10" s="30"/>
      <c r="C10" s="2" t="s">
        <v>95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1">
        <f>[1]Initialization!$B$14</f>
        <v>0</v>
      </c>
      <c r="J10" s="5" t="s">
        <v>139</v>
      </c>
    </row>
    <row r="11" spans="1:10" ht="28.8">
      <c r="A11" s="4" t="s">
        <v>94</v>
      </c>
      <c r="B11" s="30"/>
      <c r="C11" s="2" t="s">
        <v>95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1">
        <f>[1]Initialization!$B$14</f>
        <v>0</v>
      </c>
      <c r="J11" s="5" t="s">
        <v>139</v>
      </c>
    </row>
    <row r="12" spans="1:10" ht="28.8">
      <c r="A12" s="4" t="s">
        <v>106</v>
      </c>
      <c r="B12" s="30">
        <v>29.370999999999999</v>
      </c>
      <c r="C12" s="2" t="s">
        <v>96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104</v>
      </c>
    </row>
    <row r="13" spans="1:10" ht="28.8">
      <c r="A13" s="4" t="s">
        <v>107</v>
      </c>
      <c r="B13" s="30">
        <v>29.129000000000001</v>
      </c>
      <c r="C13" s="2" t="s">
        <v>96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104</v>
      </c>
    </row>
    <row r="14" spans="1:10" ht="28.8">
      <c r="A14" s="47" t="s">
        <v>108</v>
      </c>
      <c r="B14" s="30">
        <v>21.056999999999999</v>
      </c>
      <c r="C14" s="2" t="s">
        <v>96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105</v>
      </c>
    </row>
    <row r="15" spans="1:10" ht="28.8">
      <c r="A15" s="47" t="s">
        <v>109</v>
      </c>
      <c r="B15" s="30">
        <v>20.815000000000001</v>
      </c>
      <c r="C15" s="2" t="s">
        <v>96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105</v>
      </c>
    </row>
    <row r="16" spans="1:10" ht="28.8">
      <c r="A16" s="47" t="s">
        <v>111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110</v>
      </c>
    </row>
    <row r="17" spans="1:10" ht="28.8">
      <c r="A17" s="47" t="s">
        <v>112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110</v>
      </c>
    </row>
    <row r="18" spans="1:10" ht="14.4">
      <c r="A18" s="8" t="s">
        <v>78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79</v>
      </c>
    </row>
  </sheetData>
  <sheetProtection algorithmName="SHA-512" hashValue="P7lVWgFxzmr9iVEl8UP8K53AXZnYFcCLnjeYSqCYMKMeCp6tBKSnDMWHUcD9InnVhLBQbX1IiU4hF5ypkohEKQ==" saltValue="QiKc0FGO9sMHNZfMP89IiQ==" spinCount="100000" sheet="1" objects="1" scenarios="1" selectLockedCells="1"/>
  <mergeCells count="2">
    <mergeCell ref="A3:J3"/>
    <mergeCell ref="J4:J8"/>
  </mergeCells>
  <conditionalFormatting sqref="B18 B10 B16 B14 B12">
    <cfRule type="expression" dxfId="46" priority="31">
      <formula>IF(AND($B10&lt;&gt;"",$I10=0),1,0)</formula>
    </cfRule>
    <cfRule type="expression" dxfId="45" priority="32">
      <formula>IF($B10&lt;&gt;"",1,0)</formula>
    </cfRule>
    <cfRule type="expression" dxfId="44" priority="33">
      <formula>$I10=0</formula>
    </cfRule>
  </conditionalFormatting>
  <conditionalFormatting sqref="B10">
    <cfRule type="expression" dxfId="43" priority="28">
      <formula>IF(AND($B10&lt;&gt;"",$I10=0),1,0)</formula>
    </cfRule>
    <cfRule type="expression" dxfId="42" priority="29">
      <formula>IF($B10&lt;&gt;"",1,0)</formula>
    </cfRule>
    <cfRule type="expression" dxfId="41" priority="30">
      <formula>$I10=0</formula>
    </cfRule>
  </conditionalFormatting>
  <conditionalFormatting sqref="B17">
    <cfRule type="expression" dxfId="40" priority="22">
      <formula>IF(AND($B17&lt;&gt;"",$I17=0),1,0)</formula>
    </cfRule>
    <cfRule type="expression" dxfId="39" priority="23">
      <formula>IF($B17&lt;&gt;"",1,0)</formula>
    </cfRule>
    <cfRule type="expression" dxfId="38" priority="24">
      <formula>$I17=0</formula>
    </cfRule>
  </conditionalFormatting>
  <conditionalFormatting sqref="B15">
    <cfRule type="expression" dxfId="37" priority="19">
      <formula>IF(AND($B15&lt;&gt;"",$I15=0),1,0)</formula>
    </cfRule>
    <cfRule type="expression" dxfId="36" priority="20">
      <formula>IF($B15&lt;&gt;"",1,0)</formula>
    </cfRule>
    <cfRule type="expression" dxfId="35" priority="21">
      <formula>$I15=0</formula>
    </cfRule>
  </conditionalFormatting>
  <conditionalFormatting sqref="B13">
    <cfRule type="expression" dxfId="34" priority="16">
      <formula>IF(AND($B13&lt;&gt;"",$I13=0),1,0)</formula>
    </cfRule>
    <cfRule type="expression" dxfId="33" priority="17">
      <formula>IF($B13&lt;&gt;"",1,0)</formula>
    </cfRule>
    <cfRule type="expression" dxfId="32" priority="18">
      <formula>$I13=0</formula>
    </cfRule>
  </conditionalFormatting>
  <conditionalFormatting sqref="B11">
    <cfRule type="expression" dxfId="31" priority="13">
      <formula>IF(AND($B11&lt;&gt;"",$I11=0),1,0)</formula>
    </cfRule>
    <cfRule type="expression" dxfId="30" priority="14">
      <formula>IF($B11&lt;&gt;"",1,0)</formula>
    </cfRule>
    <cfRule type="expression" dxfId="29" priority="15">
      <formula>$I11=0</formula>
    </cfRule>
  </conditionalFormatting>
  <conditionalFormatting sqref="B11">
    <cfRule type="expression" dxfId="28" priority="1">
      <formula>IF(AND($B11&lt;&gt;"",$I11=0),1,0)</formula>
    </cfRule>
    <cfRule type="expression" dxfId="27" priority="2">
      <formula>IF($B11&lt;&gt;"",1,0)</formula>
    </cfRule>
    <cfRule type="expression" dxfId="26" priority="3">
      <formula>$I11=0</formula>
    </cfRule>
  </conditionalFormatting>
  <conditionalFormatting sqref="B17">
    <cfRule type="expression" dxfId="25" priority="10">
      <formula>IF(AND($B17&lt;&gt;"",$I17=0),1,0)</formula>
    </cfRule>
    <cfRule type="expression" dxfId="24" priority="11">
      <formula>IF($B17&lt;&gt;"",1,0)</formula>
    </cfRule>
    <cfRule type="expression" dxfId="23" priority="12">
      <formula>$I17=0</formula>
    </cfRule>
  </conditionalFormatting>
  <conditionalFormatting sqref="B15">
    <cfRule type="expression" dxfId="22" priority="7">
      <formula>IF(AND($B15&lt;&gt;"",$I15=0),1,0)</formula>
    </cfRule>
    <cfRule type="expression" dxfId="21" priority="8">
      <formula>IF($B15&lt;&gt;"",1,0)</formula>
    </cfRule>
    <cfRule type="expression" dxfId="20" priority="9">
      <formula>$I15=0</formula>
    </cfRule>
  </conditionalFormatting>
  <conditionalFormatting sqref="B13">
    <cfRule type="expression" dxfId="19" priority="4">
      <formula>IF(AND($B13&lt;&gt;"",$I13=0),1,0)</formula>
    </cfRule>
    <cfRule type="expression" dxfId="18" priority="5">
      <formula>IF($B13&lt;&gt;"",1,0)</formula>
    </cfRule>
    <cfRule type="expression" dxfId="17" priority="6">
      <formula>$I13=0</formula>
    </cfRule>
  </conditionalFormatting>
  <conditionalFormatting sqref="J4">
    <cfRule type="expression" dxfId="16" priority="485">
      <formula>IF(COUNTA($B$10:$B$18)&lt;&gt;COUNTIF($I$10:$I$18,1),1,0)</formula>
    </cfRule>
    <cfRule type="expression" dxfId="15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135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85</v>
      </c>
    </row>
    <row r="2" spans="1:17" ht="14.4">
      <c r="A2" s="68" t="s">
        <v>129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130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97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98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99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100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>
      <c r="A2">
        <v>2</v>
      </c>
      <c r="B2">
        <v>1</v>
      </c>
      <c r="C2" t="s">
        <v>68</v>
      </c>
      <c r="D2" t="s">
        <v>103</v>
      </c>
      <c r="F2">
        <v>32</v>
      </c>
      <c r="G2">
        <v>28</v>
      </c>
      <c r="K2">
        <v>29.370999999999999</v>
      </c>
      <c r="L2">
        <v>29.129000000000001</v>
      </c>
      <c r="M2">
        <v>21.056999999999999</v>
      </c>
      <c r="N2">
        <v>20.815000000000001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2022-11-07T00:29:06Z</dcterms:modified>
</cp:coreProperties>
</file>