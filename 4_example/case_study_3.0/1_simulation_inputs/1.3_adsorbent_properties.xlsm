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AE8077BA-86A9-4DFD-B641-265C5C76021A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20" i="53"/>
  <c r="I16" i="53" l="1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<sst xmlns="http://schemas.openxmlformats.org/spreadsheetml/2006/main" count="583" uniqueCount="205">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</sst>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abSelected="1" topLeftCell="A2" zoomScaleNormal="100" zoomScaleSheetLayoutView="85" workbookViewId="0">
      <pane ySplit="8" topLeftCell="A21" activePane="bottomLeft" state="frozen"/>
      <selection activeCell="A10" sqref="A10:J10"/>
      <selection pane="bottomLeft" activeCell="B23" sqref="B2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180</v>
      </c>
    </row>
    <row r="13" spans="1:10" ht="87.6">
      <c r="A13" s="59" t="s">
        <v>199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180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201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201</v>
      </c>
    </row>
    <row r="16" spans="1:10" ht="58.8">
      <c r="A16" s="4" t="s">
        <v>197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181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182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182</v>
      </c>
    </row>
    <row r="19" spans="1:10" ht="58.8">
      <c r="A19" s="4" t="s">
        <v>198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182</v>
      </c>
    </row>
    <row r="20" spans="1:10" ht="102">
      <c r="A20" s="59" t="s">
        <v>163</v>
      </c>
      <c r="B20" s="33">
        <f>0.0000434*EXP(15675/(8.314*$B$10))</f>
        <v>2.3767118533769099E-2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183</v>
      </c>
    </row>
    <row r="21" spans="1:10" ht="102">
      <c r="A21" s="59" t="s">
        <v>164</v>
      </c>
      <c r="B21" s="33">
        <f>0.0000179*EXP(15716/(8.314*$B$10))</f>
        <v>9.9655827982408247E-3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183</v>
      </c>
    </row>
    <row r="22" spans="1:10" ht="102">
      <c r="A22" s="59" t="s">
        <v>196</v>
      </c>
      <c r="B22" s="62">
        <f>0.0000000032*EXP(54729/(8.314*$B$10))</f>
        <v>11.655496810435134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183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184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184</v>
      </c>
    </row>
    <row r="25" spans="1:10" ht="58.8">
      <c r="A25" s="59" t="s">
        <v>195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184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185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185</v>
      </c>
    </row>
    <row r="28" spans="1:10" ht="58.8">
      <c r="A28" s="59" t="s">
        <v>194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185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186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186</v>
      </c>
    </row>
    <row r="31" spans="1:10" ht="58.8">
      <c r="A31" s="59" t="s">
        <v>193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186</v>
      </c>
    </row>
    <row r="32" spans="1:10" ht="58.8">
      <c r="A32" s="59" t="s">
        <v>171</v>
      </c>
      <c r="B32" s="33"/>
      <c r="C32" s="57" t="s">
        <v>202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187</v>
      </c>
    </row>
    <row r="33" spans="1:10" ht="58.8">
      <c r="A33" s="59" t="s">
        <v>172</v>
      </c>
      <c r="B33" s="33"/>
      <c r="C33" s="57" t="s">
        <v>202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187</v>
      </c>
    </row>
    <row r="34" spans="1:10" ht="58.8">
      <c r="A34" s="59" t="s">
        <v>192</v>
      </c>
      <c r="B34" s="33"/>
      <c r="C34" s="57" t="s">
        <v>202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187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188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188</v>
      </c>
    </row>
    <row r="37" spans="1:10" ht="58.8">
      <c r="A37" s="59" t="s">
        <v>191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188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203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203</v>
      </c>
    </row>
    <row r="40" spans="1:10" ht="87.6">
      <c r="A40" s="59" t="s">
        <v>190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203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204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204</v>
      </c>
    </row>
    <row r="43" spans="1:10" ht="58.8">
      <c r="A43" s="59" t="s">
        <v>189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204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MThbBXCQtyXNW22OYAps6XdbHOXhvDpt9ff2S2h494ZBNQjCMjvX7c05K8gD5MeHLHahqdGHj4O96ujS3vKVRA==" saltValue="cHwxUsb/hNlBK6YXSt2q4g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200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yymk2eYduS+lHx47W+kf1xeLlFVhkQaEAy3p67AxL+A9p2lZ81d3UzytiKYnU52Bpjq/MwqxSuIsfTTL4ATiVg==" saltValue="la5j6KQSU0pmgQcXqx5BR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2.3767118533769099E-2</v>
      </c>
      <c r="U2">
        <v>9.9655827982408247E-3</v>
      </c>
      <c r="V2">
        <v>11.655496810435134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2022-11-09T12:23:43Z</dcterms:modified>
</cp:coreProperties>
</file>