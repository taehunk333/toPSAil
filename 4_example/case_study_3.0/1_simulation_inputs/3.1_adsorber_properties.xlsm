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EBC82DB3-3D44-4B2F-9D0D-B510A9B73EF5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Initialization!$A$1:$J$10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3" l="1"/>
  <c r="B9" i="43"/>
  <c r="B11" i="42"/>
  <c r="B10" i="47"/>
  <c r="I12" i="42"/>
  <c r="I10" i="42"/>
  <c r="I9" i="42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<sst xmlns="http://schemas.openxmlformats.org/spreadsheetml/2006/main" count="332" uniqueCount="152">
  <si>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</si>
  <si>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</si>
  <si>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</si>
  <si>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</si>
  <si>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</si>
  <si>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</si>
  <si>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</si>
  <si>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</si>
  <si>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</si>
  <si>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</si>
  <si>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</si>
  <si>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</si>
  <si>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</si>
  <si>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</si>
  <si>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</si>
  <si>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</si>
  <si>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</si>
  <si>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</si>
  <si>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</si>
  <si>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</si>
  <si>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</si>
  <si>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</si>
  <si>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</si>
  <si>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</si>
  <si>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</si>
  <si>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</si>
  <si>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</si>
  <si>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</si>
  <si>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</si>
  <si>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</si>
  <si>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</si>
  <si>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</si>
  <si>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</si>
  <si>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</si>
  <si>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</si>
  <si>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</si>
  <si>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</si>
  <si>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</si>
  <si>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</si>
  <si>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</si>
  <si>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</si>
  <si>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</si>
  <si>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</si>
  <si>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</si>
  <si>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</si>
  <si>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</si>
  <si>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</si>
  <si>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</si>
  <si>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</si>
  <si>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</si>
  <si>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</si>
  <si>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</si>
  <si>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</si>
  <si>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</si>
  <si>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</si>
  <si>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</si>
  <si>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</si>
  <si>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</si>
  <si>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</si>
  <si>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</si>
  <si>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</si>
  <si>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</si>
  <si>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</si>
  <si>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</si>
  <si>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</si>
  <si>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</si>
  <si>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</si>
  <si>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</si>
  <si>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</si>
  <si>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</si>
  <si>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</si>
  <si>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</si>
  <si>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</si>
  <si>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</si>
  <si>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</si>
  <si>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</si>
  <si>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</si>
  <si>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</si>
  <si>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</si>
  <si>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</si>
  <si>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</si>
  <si>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</si>
  <si>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</si>
  <si>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</si>
  <si>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</si>
  <si>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</si>
  <si>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</si>
  <si>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</si>
  <si>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</si>
  <si>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</si>
  <si>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</si>
  <si>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</si>
  <si>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</si>
  <si>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</si>
  <si>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</si>
  <si>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</si>
  <si>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</si>
  <si>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</si>
  <si>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</si>
  <si>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</si>
  <si>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</si>
  <si>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</si>
  <si>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</si>
  <si>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</si>
  <si>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</si>
  <si>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</si>
  <si>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</si>
  <si>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</si>
  <si>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</si>
  <si>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</si>
  <si>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</si>
  <si>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</si>
  <si>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</si>
  <si>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</si>
  <si>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</si>
  <si>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</si>
  <si>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</si>
  <si>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</si>
  <si>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</si>
  <si>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</si>
  <si>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</si>
  <si>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</si>
  <si>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</si>
  <si>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</si>
  <si>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</si>
  <si>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</si>
  <si>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</si>
  <si>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</si>
  <si>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</si>
  <si>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</si>
  <si>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</si>
  <si>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</si>
  <si>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</si>
  <si>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</si>
  <si>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</si>
  <si>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</si>
  <si>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</si>
  <si>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</si>
  <si>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</si>
  <si>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</si>
  <si>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</si>
  <si>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</si>
  <si>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</si>
  <si>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</si>
  <si>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</si>
  <si>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</si>
  <si>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</si>
  <si>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</si>
  <si>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</si>
  <si>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</si>
  <si>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</si>
  <si>
    <t>column wall heat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</si>
</sst>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0" totalsRowShown="0" headerRowDxfId="97" dataDxfId="95" headerRowBorderDxfId="96" tableBorderDxfId="94" totalsRowBorderDxfId="93">
  <autoFilter ref="A8:J10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149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129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148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147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109</v>
      </c>
      <c r="S1" t="s">
        <v>110</v>
      </c>
      <c r="T1" t="s">
        <v>119</v>
      </c>
      <c r="U1" t="s">
        <v>120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121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122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123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124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125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126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127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114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115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0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150</v>
      </c>
    </row>
    <row r="10" spans="1:10" ht="14.4">
      <c r="A10" s="8" t="s">
        <v>86</v>
      </c>
      <c r="B10" s="32"/>
      <c r="C10" s="9"/>
      <c r="D10" s="10"/>
      <c r="E10" s="10"/>
      <c r="F10" s="9"/>
      <c r="G10" s="10">
        <v>1</v>
      </c>
      <c r="H10" s="10">
        <v>1</v>
      </c>
      <c r="I10" s="11">
        <v>0</v>
      </c>
      <c r="J10" s="12" t="s">
        <v>87</v>
      </c>
    </row>
  </sheetData>
  <sheetProtection algorithmName="SHA-512" hashValue="nW0kM1eVvLlHEc5x+a1cKIajsY+Byh/IklWS7at5O5O7rQB9Skqo9IUu1QSqZEMCbXJXsvjJZbifoB+CTCtlXA==" saltValue="FaKa1DvA5MJpJp5NDuZVJQ==" spinCount="100000" sheet="1" objects="1" scenarios="1" selectLockedCells="1"/>
  <mergeCells count="2">
    <mergeCell ref="A2:J2"/>
    <mergeCell ref="J3:J7"/>
  </mergeCells>
  <conditionalFormatting sqref="B9:B10">
    <cfRule type="expression" dxfId="102" priority="7">
      <formula>IF(AND($B9&lt;&gt;"",$I9=0),1,0)</formula>
    </cfRule>
    <cfRule type="expression" dxfId="101" priority="8">
      <formula>IF($B9&lt;&gt;"",1,0)</formula>
    </cfRule>
    <cfRule type="expression" dxfId="100" priority="9">
      <formula>$I9=0</formula>
    </cfRule>
  </conditionalFormatting>
  <conditionalFormatting sqref="J3">
    <cfRule type="expression" dxfId="99" priority="2458">
      <formula>IF(COUNTA($B$9:$B$10)&lt;&gt;COUNTIF($I$9:$I$10,1),1,0)</formula>
    </cfRule>
    <cfRule type="expression" dxfId="98" priority="2459">
      <formula>IF(COUNTA($B$9:$B$10)=COUNTIF($I$9:$I$10,1),1,0)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E9:E10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F9:F10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128</v>
      </c>
      <c r="B9" s="31">
        <v>83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1.05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1.25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0.33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f>Geometry!B9*Table110236723[[#This Row],[Value]]*2*PI()/1000000*756.46</f>
        <v>0.41422206385342947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3hYLQpYeJfYLqKjiYxqcdoDHdLJSCK8YJBbggSsE3soEu8xDoGl763SaQh3cIPRF19zYc3uwoj/qt4FW7HgtZg==" saltValue="kxILlkS2GeLR1ENw2RkJ8Q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tabSelected="1" zoomScaleNormal="85" zoomScaleSheetLayoutView="85" workbookViewId="0">
      <pane ySplit="8" topLeftCell="A10" activePane="bottomLeft" state="frozen"/>
      <selection activeCell="C24" sqref="C24"/>
      <selection pane="bottomLeft" activeCell="B16" sqref="B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141</v>
      </c>
      <c r="B9" s="31">
        <f>500/100</f>
        <v>5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135</v>
      </c>
    </row>
    <row r="10" spans="1:10" ht="43.2">
      <c r="A10" s="48" t="s">
        <v>143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140</v>
      </c>
    </row>
    <row r="11" spans="1:10" ht="43.2">
      <c r="A11" s="4" t="s">
        <v>146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137</v>
      </c>
    </row>
    <row r="12" spans="1:10" ht="72">
      <c r="A12" s="48" t="s">
        <v>142</v>
      </c>
      <c r="B12" s="31">
        <f>100/100</f>
        <v>1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136</v>
      </c>
    </row>
    <row r="13" spans="1:10" ht="43.2">
      <c r="A13" s="48" t="s">
        <v>144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139</v>
      </c>
    </row>
    <row r="14" spans="1:10" ht="43.2">
      <c r="A14" s="4" t="s">
        <v>145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138</v>
      </c>
    </row>
    <row r="15" spans="1:10" ht="57.6">
      <c r="A15" s="4" t="s">
        <v>116</v>
      </c>
      <c r="B15" s="31">
        <v>323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134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Vkz5FD0kGLu7yXaLE0/0z2P5aY+VBPbCbQvYHE9hFPkSlvplw8TVtskCY0WfWBkeSkAgpg+AVoRza57okD4eIw==" saltValue="SHdJTf6NMHSyFW0cQ58TvA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zoomScaleNormal="100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112</v>
      </c>
      <c r="B9" s="31"/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0</v>
      </c>
      <c r="J9" s="5" t="s">
        <v>104</v>
      </c>
    </row>
    <row r="10" spans="1:10" ht="28.8">
      <c r="A10" s="48" t="s">
        <v>113</v>
      </c>
      <c r="B10" s="31"/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0</v>
      </c>
      <c r="J10" s="5" t="s">
        <v>105</v>
      </c>
    </row>
    <row r="11" spans="1:10" ht="14.4">
      <c r="A11" s="48" t="s">
        <v>117</v>
      </c>
      <c r="B11" s="31">
        <f>8238/1000000</f>
        <v>8.2380000000000005E-3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118</v>
      </c>
      <c r="B12" s="31"/>
      <c r="C12" s="34" t="s">
        <v>111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0</v>
      </c>
      <c r="J12" s="5" t="s">
        <v>151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vet8pGRasiFhGdGFbJcCGjz+MuWHr9R0ZXHQL2+gJzrszwbD03SFpkg9ufR8esJYfjW7QvvSD14yiOdybOR0nA==" saltValue="ND6UEmGT4Q1XzC3sYUYGH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130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131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132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133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V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5</v>
      </c>
      <c r="C2">
        <v>83</v>
      </c>
      <c r="D2">
        <v>1.05</v>
      </c>
      <c r="E2">
        <v>1.25</v>
      </c>
      <c r="G2">
        <v>0.33</v>
      </c>
      <c r="H2">
        <v>0.41422206385342947</v>
      </c>
      <c r="J2">
        <v>5</v>
      </c>
      <c r="M2">
        <v>1</v>
      </c>
      <c r="P2">
        <v>323</v>
      </c>
      <c r="T2">
        <v>8.2380000000000005E-3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V2"/>
  <sheetViews>
    <sheetView topLeftCell="CC1" workbookViewId="0">
      <selection activeCell="CR2" sqref="CR2"/>
    </sheetView>
  </sheetViews>
  <sheetFormatPr defaultColWidth="8.77734375" defaultRowHeight="14.4"/>
  <sheetData>
    <row r="1" spans="1:22">
      <c r="A1" t="s">
        <v>106</v>
      </c>
      <c r="B1" t="s">
        <v>86</v>
      </c>
      <c r="C1" t="s">
        <v>128</v>
      </c>
      <c r="D1" t="s">
        <v>102</v>
      </c>
      <c r="E1" t="s">
        <v>103</v>
      </c>
      <c r="F1" t="s">
        <v>86</v>
      </c>
      <c r="G1" t="s">
        <v>70</v>
      </c>
      <c r="H1" t="s">
        <v>33</v>
      </c>
      <c r="I1" t="s">
        <v>86</v>
      </c>
      <c r="J1" t="s">
        <v>141</v>
      </c>
      <c r="K1" t="s">
        <v>143</v>
      </c>
      <c r="L1" t="s">
        <v>146</v>
      </c>
      <c r="M1" t="s">
        <v>142</v>
      </c>
      <c r="N1" t="s">
        <v>144</v>
      </c>
      <c r="O1" t="s">
        <v>145</v>
      </c>
      <c r="P1" t="s">
        <v>116</v>
      </c>
      <c r="Q1" t="s">
        <v>86</v>
      </c>
      <c r="R1" t="s">
        <v>112</v>
      </c>
      <c r="S1" t="s">
        <v>113</v>
      </c>
      <c r="T1" t="s">
        <v>117</v>
      </c>
      <c r="U1" t="s">
        <v>118</v>
      </c>
      <c r="V1" t="s">
        <v>86</v>
      </c>
    </row>
    <row r="2" spans="1:22">
      <c r="A2">
        <v>1</v>
      </c>
      <c r="B2">
        <v>0</v>
      </c>
      <c r="C2">
        <v>1</v>
      </c>
      <c r="D2">
        <v>1</v>
      </c>
      <c r="E2">
        <v>1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1</v>
      </c>
      <c r="N2">
        <v>0</v>
      </c>
      <c r="O2">
        <v>0</v>
      </c>
      <c r="P2">
        <v>1</v>
      </c>
      <c r="Q2">
        <v>0</v>
      </c>
      <c r="R2">
        <v>0</v>
      </c>
      <c r="S2">
        <v>0</v>
      </c>
      <c r="T2">
        <v>1</v>
      </c>
      <c r="U2">
        <v>0</v>
      </c>
      <c r="V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2022-11-09T14:26:55Z</dcterms:modified>
</cp:coreProperties>
</file>