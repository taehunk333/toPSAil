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\1_simulation_inputs\"/>
    </mc:Choice>
  </mc:AlternateContent>
  <xr:revisionPtr revIDLastSave="0" documentId="13_ncr:1_{445EBAD1-F20A-4FF1-B2A9-2A1D6F775CCA}" xr6:coauthVersionLast="47" xr6:coauthVersionMax="47" xr10:uidLastSave="{00000000-0000-0000-0000-000000000000}"/>
  <bookViews>
    <workbookView xWindow="-108" yWindow="-108" windowWidth="23256" windowHeight="13176" tabRatio="818" activeTab="7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Isotherm'!$A$2:$J$15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55" l="1"/>
  <c r="B10" i="54" l="1"/>
  <c r="B11" i="54"/>
  <c r="B11" i="53"/>
  <c r="B10" i="53"/>
  <c r="B11" i="58"/>
  <c r="J4" i="58" s="1"/>
  <c r="I12" i="57"/>
  <c r="I11" i="57"/>
  <c r="J4" i="57" s="1"/>
  <c r="J2" i="58"/>
  <c r="A2" i="58"/>
  <c r="J2" i="57"/>
  <c r="A2" i="57"/>
  <c r="J4" i="56"/>
  <c r="J2" i="56"/>
  <c r="A2" i="56"/>
  <c r="H10" i="53" l="1"/>
  <c r="H11" i="53"/>
  <c r="H13" i="53" l="1"/>
  <c r="H12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<sst xmlns="http://schemas.openxmlformats.org/spreadsheetml/2006/main" count="343" uniqueCount="162">
  <si>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</si>
  <si>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</si>
  <si>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</si>
  <si>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</si>
  <si>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</si>
  <si>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</si>
  <si>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</si>
  <si>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</si>
  <si>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</si>
  <si>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</si>
  <si>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</si>
  <si>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</si>
  <si>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</si>
  <si>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</si>
  <si>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</si>
  <si>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</si>
  <si>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</si>
  <si>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</si>
  <si>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</si>
  <si>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</si>
  <si>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</si>
  <si>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</si>
  <si>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mol-gas/kg-solid</t>
  </si>
  <si>
    <t>cc-gas/mol-gas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</si>
  <si>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</si>
  <si>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</si>
  <si>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</si>
  <si>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</si>
  <si>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</si>
  <si>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</si>
  <si>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</si>
  <si>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</si>
  <si>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</si>
  <si>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</si>
  <si>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</si>
  <si>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</si>
  <si>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</si>
  <si>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</si>
  <si>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</si>
  <si>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</si>
  <si>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</si>
  <si>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</si>
  <si>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</si>
  <si>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</si>
  <si>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</si>
  <si>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</si>
  <si>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</si>
  <si>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</si>
  <si>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</si>
  <si>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</si>
  <si>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</si>
  <si>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</si>
  <si>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</si>
  <si>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</si>
  <si>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</si>
  <si>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</si>
  <si>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</si>
  <si>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</si>
  <si>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</si>
  <si>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</si>
  <si>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</si>
  <si>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</si>
  <si>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</si>
  <si>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</si>
  <si>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</si>
  <si>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</si>
  <si>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</si>
  <si>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</si>
  <si>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</si>
  <si>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</si>
  <si>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</si>
  <si>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</si>
  <si>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</si>
  <si>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</si>
  <si>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</si>
  <si>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</si>
  <si>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</si>
  <si>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</si>
  <si>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Saturation constant for component I; the first component is light key</t>
  </si>
  <si>
    <t>Henry's coefficient for component I; the first component is light key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</si>
  <si>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</si>
  <si>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</si>
  <si>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</si>
  <si>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</si>
  <si>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</si>
  <si>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</si>
  <si>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</si>
  <si>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</si>
  <si>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</si>
  <si>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</si>
  <si>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</si>
  <si>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</si>
  <si>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</si>
  <si>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</si>
  <si>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</si>
  <si>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</si>
  <si>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</si>
  <si>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</si>
  <si>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</si>
  <si>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</si>
  <si>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</si>
  <si>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</si>
  <si>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</si>
  <si>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</si>
  <si>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</si>
  <si>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</si>
  <si>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</si>
  <si>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</si>
  <si>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</si>
  <si>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</si>
  <si>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</si>
  <si>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</si>
  <si>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</si>
  <si>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</si>
  <si>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</si>
  <si>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</si>
  <si>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</si>
  <si>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</si>
  <si>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</si>
  <si>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</si>
  <si>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</si>
  <si>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</si>
  <si>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</si>
  <si>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</si>
  <si>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</si>
  <si>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</si>
  <si>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</si>
  <si>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</si>
  <si>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</si>
  <si>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</si>
  <si>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</si>
  <si>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</si>
  <si>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</si>
  <si>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</si>
  <si>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</si>
  <si>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</si>
  <si>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</si>
  <si>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Please provide a reference temperature for adsorption isotherm measurement.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</si>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</sst>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 refreshError="1"/>
      <sheetData sheetId="1">
        <row r="14">
          <cell r="B14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37" dataDxfId="135" headerRowBorderDxfId="136" tableBorderDxfId="134" totalsRowBorderDxfId="133">
  <autoFilter ref="A9:J11" xr:uid="{B089C5C3-2CCE-4800-96CA-2131BB6E3E4F}"/>
  <tableColumns count="10">
    <tableColumn id="1" xr3:uid="{A63D443C-23FA-C546-879B-699C109A0CA2}" name="Variable" dataDxfId="132"/>
    <tableColumn id="4" xr3:uid="{1A5FFB41-EB4E-E74A-8922-4B34B9316DE5}" name="Value" dataDxfId="131"/>
    <tableColumn id="5" xr3:uid="{BF7F7945-F7EF-9B43-BD77-AD1154395D6F}" name="Unit" dataDxfId="130"/>
    <tableColumn id="6" xr3:uid="{97B66A41-BCC9-AB4A-9001-73F9BCD59411}" name="Comparisons" dataDxfId="129"/>
    <tableColumn id="7" xr3:uid="{0CC57FA7-D6D5-D04B-8A50-C681928970E3}" name="Variable Type" dataDxfId="128"/>
    <tableColumn id="8" xr3:uid="{793541F2-DD76-C241-9A02-11BCAFDBFB73}" name="Dependency" dataDxfId="127"/>
    <tableColumn id="12" xr3:uid="{77D37813-222C-3645-B2B0-7C5CE186734F}" name="Test 1" dataDxfId="126"/>
    <tableColumn id="10" xr3:uid="{705C6C59-C9FA-CF40-8C63-CC7BAA8D5513}" name="Test 2" dataDxfId="125"/>
    <tableColumn id="2" xr3:uid="{3CCF3320-E3BD-5A4C-926A-DD0EC2697FB0}" name="Test 3" dataDxfId="124"/>
    <tableColumn id="9" xr3:uid="{DFCD7E77-6792-EC4A-8937-7BD5661A57E7}" name="Description" dataDxfId="1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22" dataDxfId="120" headerRowBorderDxfId="121" tableBorderDxfId="119" totalsRowBorderDxfId="118">
  <autoFilter ref="A9:J13" xr:uid="{B089C5C3-2CCE-4800-96CA-2131BB6E3E4F}"/>
  <tableColumns count="10">
    <tableColumn id="1" xr3:uid="{20310A95-CEA4-0E46-A375-D38774A1331C}" name="Variable" dataDxfId="117"/>
    <tableColumn id="4" xr3:uid="{677D6E7A-ABBB-7F47-BEBA-202C00329494}" name="Value" dataDxfId="116"/>
    <tableColumn id="5" xr3:uid="{4C9D6E28-38C2-434B-8F96-F002277F8DF6}" name="Unit" dataDxfId="115"/>
    <tableColumn id="6" xr3:uid="{14421855-DDE0-1B4F-9E2F-0DCEAE184349}" name="Comparisons" dataDxfId="114"/>
    <tableColumn id="7" xr3:uid="{B52A6C11-F701-BB42-BCC5-C034770E9DBB}" name="Variable Type" dataDxfId="113"/>
    <tableColumn id="8" xr3:uid="{7995AC5C-141D-1241-85F4-ED670AA6D852}" name="Dependency" dataDxfId="112"/>
    <tableColumn id="12" xr3:uid="{36F66342-4897-3D48-B96B-71B0734889A5}" name="Test 1" dataDxfId="111"/>
    <tableColumn id="10" xr3:uid="{7FE5DC9B-6534-0E47-9DE7-3B926E4C9E93}" name="Test 2" dataDxfId="110"/>
    <tableColumn id="2" xr3:uid="{B9967632-3249-EA4A-A375-C9085B3EE56A}" name="Test 3" dataDxfId="109"/>
    <tableColumn id="9" xr3:uid="{A656D5B2-43BE-D144-B69B-B013AE6BC6D4}" name="Description" dataDxfId="10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07" dataDxfId="105" headerRowBorderDxfId="106" tableBorderDxfId="104" totalsRowBorderDxfId="103">
  <autoFilter ref="A9:J12" xr:uid="{B089C5C3-2CCE-4800-96CA-2131BB6E3E4F}"/>
  <tableColumns count="10">
    <tableColumn id="1" xr3:uid="{29F8658A-9F09-7042-A7EC-353D08C08D34}" name="Variable" dataDxfId="102"/>
    <tableColumn id="4" xr3:uid="{0AC5C09B-7B5C-9640-A6C7-5BA8E05A9F0D}" name="Value" dataDxfId="101"/>
    <tableColumn id="5" xr3:uid="{4A165AEE-D3E0-DB4C-9890-DA2D18843B58}" name="Unit" dataDxfId="100"/>
    <tableColumn id="6" xr3:uid="{23F62B44-EB3B-FD48-85F1-55541D28F146}" name="Comparisons" dataDxfId="99"/>
    <tableColumn id="7" xr3:uid="{24641755-61AF-6C44-A79C-0EC6F77B3090}" name="Variable Type" dataDxfId="98"/>
    <tableColumn id="8" xr3:uid="{8EB70C81-0937-1548-8A36-195915CD1F99}" name="Dependency" dataDxfId="97"/>
    <tableColumn id="12" xr3:uid="{636C1BEE-1088-1842-B84F-652A0A7EFF6A}" name="Test 1" dataDxfId="96"/>
    <tableColumn id="10" xr3:uid="{611EFDE4-0DDB-044D-8690-A970063DA108}" name="Test 2" dataDxfId="95"/>
    <tableColumn id="2" xr3:uid="{2E2B9EE9-BE3C-354D-8E63-B39DE80C44A0}" name="Test 3" dataDxfId="94"/>
    <tableColumn id="9" xr3:uid="{F8DFB1CD-985B-4E45-BA3D-DD47F4100DAE}" name="Description" dataDxfId="9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15" totalsRowShown="0" headerRowDxfId="92" dataDxfId="90" headerRowBorderDxfId="91" tableBorderDxfId="89" totalsRowBorderDxfId="88">
  <autoFilter ref="A9:J15" xr:uid="{B089C5C3-2CCE-4800-96CA-2131BB6E3E4F}"/>
  <tableColumns count="10">
    <tableColumn id="1" xr3:uid="{281F5226-2025-4C6E-999C-A8F575CB206B}" name="Variable" dataDxfId="87"/>
    <tableColumn id="4" xr3:uid="{907AC290-8B5F-4AFA-8DCB-C690B3734F6B}" name="Value" dataDxfId="86"/>
    <tableColumn id="5" xr3:uid="{76BE4CFE-05C6-43DC-A13C-4BFE2A2E4F38}" name="Unit" dataDxfId="85"/>
    <tableColumn id="6" xr3:uid="{8061F981-FF76-4C8B-B572-12CB713F43CB}" name="Comparisons" dataDxfId="84"/>
    <tableColumn id="7" xr3:uid="{2BCD4B9F-F682-4298-A3AA-A5F92D2263C4}" name="Variable Type" dataDxfId="83"/>
    <tableColumn id="8" xr3:uid="{1CC9FBBF-69F8-429A-814B-71DBAFF37359}" name="Dependency" dataDxfId="82"/>
    <tableColumn id="12" xr3:uid="{D2543F4F-0C85-4145-B5BB-64C7DAAA0F12}" name="Test 1" dataDxfId="81"/>
    <tableColumn id="10" xr3:uid="{4C9832B7-0AD2-4777-AAFC-C60DE2F7DA3B}" name="Test 2" dataDxfId="80"/>
    <tableColumn id="2" xr3:uid="{E95041DF-C927-4C37-AF74-78F291F45F62}" name="Test 3" dataDxfId="79"/>
    <tableColumn id="9" xr3:uid="{F7EA5B65-C16E-4E6D-B23B-ACC0E861E56F}" name="Description" dataDxfId="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77" dataDxfId="75" headerRowBorderDxfId="76" tableBorderDxfId="74" totalsRowBorderDxfId="73">
  <autoFilter ref="A9:J12" xr:uid="{B089C5C3-2CCE-4800-96CA-2131BB6E3E4F}"/>
  <tableColumns count="10">
    <tableColumn id="1" xr3:uid="{44E0B3A5-6A4B-4795-9F7F-DFBC306A75AE}" name="Variable" dataDxfId="72"/>
    <tableColumn id="4" xr3:uid="{34601FCC-65BC-4521-A6D7-320915B57F27}" name="Value" dataDxfId="71"/>
    <tableColumn id="5" xr3:uid="{36AA1FCE-8527-4F3E-BCD1-98FD13692D02}" name="Unit" dataDxfId="70"/>
    <tableColumn id="6" xr3:uid="{12237314-E311-4D61-9218-5391943A2DF3}" name="Comparisons" dataDxfId="69"/>
    <tableColumn id="7" xr3:uid="{602D3377-1190-430C-923B-FDC8A407022D}" name="Variable Type" dataDxfId="68"/>
    <tableColumn id="8" xr3:uid="{10F3779F-E5E0-418C-9D45-01C039CD3A06}" name="Dependency" dataDxfId="67"/>
    <tableColumn id="12" xr3:uid="{69811E65-CA30-400A-95DC-3E2E433E9B45}" name="Test 1" dataDxfId="66"/>
    <tableColumn id="10" xr3:uid="{653CF00F-2786-4470-A0B5-63F5C3F8853F}" name="Test 2" dataDxfId="65"/>
    <tableColumn id="2" xr3:uid="{FB2088F6-6335-4325-9E72-FE87533BD5DC}" name="Test 3" dataDxfId="64"/>
    <tableColumn id="9" xr3:uid="{5B622A13-3DAF-4FB5-869E-E869B7C199FB}" name="Description" dataDxfId="6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62" dataDxfId="60" headerRowBorderDxfId="61" tableBorderDxfId="59" totalsRowBorderDxfId="58">
  <autoFilter ref="A9:J11" xr:uid="{B089C5C3-2CCE-4800-96CA-2131BB6E3E4F}"/>
  <tableColumns count="10">
    <tableColumn id="1" xr3:uid="{DBE15C7C-7AE8-4197-9E17-CD007CF8C5FE}" name="Variable" dataDxfId="57"/>
    <tableColumn id="4" xr3:uid="{40508BC8-45BC-49EB-A17C-121430373278}" name="Value" dataDxfId="56"/>
    <tableColumn id="5" xr3:uid="{1CD86463-E067-4143-95C2-583D377FAAE6}" name="Unit" dataDxfId="55"/>
    <tableColumn id="6" xr3:uid="{1D18AAC5-0CB5-4DEB-B9B3-68FDCBC289FF}" name="Comparisons" dataDxfId="54"/>
    <tableColumn id="7" xr3:uid="{350A3D9D-FF88-48A6-9C9C-360DB7A75B19}" name="Variable Type" dataDxfId="53"/>
    <tableColumn id="8" xr3:uid="{C65F767F-A83E-4992-8442-9E9D0E9EE5C7}" name="Dependency" dataDxfId="52"/>
    <tableColumn id="12" xr3:uid="{CC077F18-CA37-4F98-A76A-E0D3A7D055BB}" name="Test 1" dataDxfId="51"/>
    <tableColumn id="10" xr3:uid="{F91A5AB3-846A-45A0-84A7-E06C47BD0B5C}" name="Test 2" dataDxfId="50"/>
    <tableColumn id="2" xr3:uid="{28BC6DC0-30C7-420F-8628-33D17D150141}" name="Test 3" dataDxfId="49"/>
    <tableColumn id="9" xr3:uid="{85DFE1D5-A6BC-434B-AF31-6872BC06B6FB}" name="Description" dataDxfId="4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159</v>
      </c>
      <c r="E4" s="52"/>
      <c r="F4" s="53"/>
      <c r="G4" s="54"/>
      <c r="H4" s="54"/>
      <c r="I4" s="54"/>
      <c r="J4" s="39" t="s">
        <v>100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5" t="s">
        <v>35</v>
      </c>
      <c r="E6" s="45" t="s">
        <v>156</v>
      </c>
      <c r="F6" s="45" t="s">
        <v>36</v>
      </c>
      <c r="G6" s="45" t="s">
        <v>37</v>
      </c>
      <c r="H6" s="45" t="s">
        <v>38</v>
      </c>
      <c r="I6" s="45" t="s">
        <v>39</v>
      </c>
      <c r="J6" s="45" t="s">
        <v>40</v>
      </c>
    </row>
    <row r="7" spans="4:10" ht="54">
      <c r="D7" s="40">
        <v>1</v>
      </c>
      <c r="E7" s="41" t="s">
        <v>161</v>
      </c>
      <c r="F7" s="42">
        <v>44720</v>
      </c>
      <c r="G7" s="40" t="s">
        <v>42</v>
      </c>
      <c r="H7" s="40"/>
      <c r="I7" s="40"/>
      <c r="J7" s="41"/>
    </row>
    <row r="8" spans="4:10" ht="36">
      <c r="D8" s="40">
        <v>2</v>
      </c>
      <c r="E8" s="41" t="s">
        <v>157</v>
      </c>
      <c r="F8" s="42">
        <v>44818</v>
      </c>
      <c r="G8" s="40" t="s">
        <v>42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72</v>
      </c>
      <c r="E1" t="s">
        <v>81</v>
      </c>
      <c r="F1" t="s">
        <v>82</v>
      </c>
      <c r="G1" s="1" t="s">
        <v>83</v>
      </c>
      <c r="H1" s="1" t="s">
        <v>84</v>
      </c>
      <c r="I1" s="1" t="s">
        <v>85</v>
      </c>
      <c r="J1" s="7" t="s">
        <v>87</v>
      </c>
      <c r="K1" s="7" t="s">
        <v>6</v>
      </c>
      <c r="L1" t="s">
        <v>98</v>
      </c>
      <c r="M1" t="s">
        <v>94</v>
      </c>
      <c r="N1" t="s">
        <v>95</v>
      </c>
      <c r="O1" t="s">
        <v>99</v>
      </c>
      <c r="P1" t="s">
        <v>104</v>
      </c>
      <c r="Q1" t="s">
        <v>125</v>
      </c>
      <c r="R1" t="s">
        <v>133</v>
      </c>
      <c r="S1" t="s">
        <v>134</v>
      </c>
      <c r="T1" t="s">
        <v>145</v>
      </c>
      <c r="U1" t="s">
        <v>146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29</v>
      </c>
      <c r="C3" t="s">
        <v>44</v>
      </c>
      <c r="D3" t="s">
        <v>90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147</v>
      </c>
    </row>
    <row r="4" spans="1:21">
      <c r="A4" t="s">
        <v>97</v>
      </c>
      <c r="B4" t="s">
        <v>26</v>
      </c>
      <c r="C4" t="s">
        <v>48</v>
      </c>
      <c r="D4" t="s">
        <v>91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148</v>
      </c>
    </row>
    <row r="5" spans="1:21">
      <c r="A5" t="s">
        <v>10</v>
      </c>
      <c r="B5" t="s">
        <v>27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149</v>
      </c>
    </row>
    <row r="6" spans="1:21">
      <c r="A6" t="s">
        <v>6</v>
      </c>
      <c r="B6" t="s">
        <v>28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150</v>
      </c>
    </row>
    <row r="7" spans="1:21">
      <c r="A7" t="s">
        <v>9</v>
      </c>
      <c r="B7" t="s">
        <v>30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151</v>
      </c>
    </row>
    <row r="8" spans="1:21">
      <c r="A8" t="s">
        <v>11</v>
      </c>
      <c r="B8" t="s">
        <v>31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U8" t="s">
        <v>152</v>
      </c>
    </row>
    <row r="9" spans="1:21">
      <c r="B9" t="s">
        <v>105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U9" t="s">
        <v>153</v>
      </c>
    </row>
    <row r="10" spans="1:21">
      <c r="B10" t="s">
        <v>32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143</v>
      </c>
    </row>
    <row r="12" spans="1:21">
      <c r="B12" t="s">
        <v>106</v>
      </c>
      <c r="C12" t="s">
        <v>55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56</v>
      </c>
      <c r="J13">
        <v>1</v>
      </c>
    </row>
    <row r="14" spans="1:21">
      <c r="B14" t="s">
        <v>25</v>
      </c>
      <c r="C14" t="s">
        <v>57</v>
      </c>
      <c r="J14">
        <v>2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  <c r="J16" t="s">
        <v>144</v>
      </c>
    </row>
    <row r="17" spans="2:10">
      <c r="B17" t="s">
        <v>18</v>
      </c>
      <c r="C17" t="s">
        <v>60</v>
      </c>
      <c r="J17" t="s">
        <v>8</v>
      </c>
    </row>
    <row r="18" spans="2:10">
      <c r="B18" t="s">
        <v>19</v>
      </c>
      <c r="C18" t="s">
        <v>61</v>
      </c>
      <c r="J18">
        <v>1</v>
      </c>
    </row>
    <row r="19" spans="2:10">
      <c r="C19" t="s">
        <v>33</v>
      </c>
      <c r="J19">
        <v>2</v>
      </c>
    </row>
    <row r="20" spans="2:10">
      <c r="C20" t="s">
        <v>4</v>
      </c>
      <c r="J20">
        <v>3</v>
      </c>
    </row>
    <row r="21" spans="2:10">
      <c r="C21" t="s">
        <v>46</v>
      </c>
      <c r="J21">
        <v>4</v>
      </c>
    </row>
    <row r="22" spans="2:10">
      <c r="C22" t="s">
        <v>45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28.8">
      <c r="A10" s="4" t="s">
        <v>154</v>
      </c>
      <c r="B10" s="33">
        <v>0.08</v>
      </c>
      <c r="C10" s="2" t="s">
        <v>77</v>
      </c>
      <c r="D10" s="1" t="s">
        <v>26</v>
      </c>
      <c r="E10" s="1" t="s">
        <v>7</v>
      </c>
      <c r="F10" s="2" t="s">
        <v>52</v>
      </c>
      <c r="G10" s="1">
        <v>1</v>
      </c>
      <c r="H10" s="6">
        <v>1</v>
      </c>
      <c r="I10" s="6">
        <v>1</v>
      </c>
      <c r="J10" s="5" t="s">
        <v>155</v>
      </c>
    </row>
    <row r="11" spans="1:10" ht="14.4">
      <c r="A11" s="8" t="s">
        <v>92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93</v>
      </c>
    </row>
  </sheetData>
  <sheetProtection algorithmName="SHA-512" hashValue="Vuw6GFN36IEMAloZ3NMSAA1PM3Eif8xzaBkq5o66+wzgqg40YFL4AS6FHwWP3mUWTsIu0pX43XGpstCfP4II5g==" saltValue="FY7q/0QN1dxXOtY1KWq7Vw==" spinCount="100000" sheet="1" objects="1" scenarios="1" selectLockedCells="1"/>
  <mergeCells count="2">
    <mergeCell ref="A3:J3"/>
    <mergeCell ref="J4:J8"/>
  </mergeCells>
  <conditionalFormatting sqref="B11">
    <cfRule type="expression" dxfId="47" priority="7">
      <formula>IF(AND($B11&lt;&gt;"",$I11=0),1,0)</formula>
    </cfRule>
    <cfRule type="expression" dxfId="46" priority="8">
      <formula>IF($B11&lt;&gt;"",1,0)</formula>
    </cfRule>
    <cfRule type="expression" dxfId="45" priority="9">
      <formula>$I11=0</formula>
    </cfRule>
  </conditionalFormatting>
  <conditionalFormatting sqref="B10">
    <cfRule type="expression" dxfId="44" priority="1">
      <formula>IF(AND($B10&lt;&gt;"",$I10=0),1,0)</formula>
    </cfRule>
    <cfRule type="expression" dxfId="43" priority="2">
      <formula>IF($B10&lt;&gt;"",1,0)</formula>
    </cfRule>
    <cfRule type="expression" dxfId="42" priority="3">
      <formula>$I10=0</formula>
    </cfRule>
  </conditionalFormatting>
  <conditionalFormatting sqref="J4">
    <cfRule type="expression" dxfId="41" priority="2056">
      <formula>IF(COUNTA($B$10:$B$11)&lt;&gt;COUNTIF($I$10:$I$11,1),1,0)</formula>
    </cfRule>
    <cfRule type="expression" dxfId="4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72">
      <c r="A10" s="4" t="s">
        <v>126</v>
      </c>
      <c r="B10" s="33">
        <v>1</v>
      </c>
      <c r="C10" s="2" t="s">
        <v>3</v>
      </c>
      <c r="D10" s="1" t="s">
        <v>26</v>
      </c>
      <c r="E10" s="1" t="s">
        <v>97</v>
      </c>
      <c r="F10" s="2" t="s">
        <v>44</v>
      </c>
      <c r="G10" s="1">
        <v>1</v>
      </c>
      <c r="H10" s="1">
        <v>1</v>
      </c>
      <c r="I10" s="6">
        <v>1</v>
      </c>
      <c r="J10" s="5" t="s">
        <v>138</v>
      </c>
    </row>
    <row r="11" spans="1:10" ht="14.4">
      <c r="A11" s="4" t="s">
        <v>141</v>
      </c>
      <c r="B11" s="33"/>
      <c r="C11" s="2" t="s">
        <v>3</v>
      </c>
      <c r="D11" s="1" t="s">
        <v>26</v>
      </c>
      <c r="E11" s="1" t="s">
        <v>7</v>
      </c>
      <c r="F11" s="2" t="s">
        <v>33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139</v>
      </c>
    </row>
    <row r="12" spans="1:10" ht="14.4">
      <c r="A12" s="4" t="s">
        <v>142</v>
      </c>
      <c r="B12" s="33"/>
      <c r="C12" s="2" t="s">
        <v>3</v>
      </c>
      <c r="D12" s="1" t="s">
        <v>26</v>
      </c>
      <c r="E12" s="1" t="s">
        <v>7</v>
      </c>
      <c r="F12" s="2" t="s">
        <v>33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140</v>
      </c>
    </row>
    <row r="13" spans="1:10" ht="14.4">
      <c r="A13" s="8" t="s">
        <v>92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93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39" priority="7">
      <formula>IF(AND($B11&lt;&gt;"",$I11=0),1,0)</formula>
    </cfRule>
    <cfRule type="expression" dxfId="38" priority="8">
      <formula>IF($B11&lt;&gt;"",1,0)</formula>
    </cfRule>
    <cfRule type="expression" dxfId="37" priority="9">
      <formula>$I11=0</formula>
    </cfRule>
  </conditionalFormatting>
  <conditionalFormatting sqref="B10">
    <cfRule type="expression" dxfId="36" priority="1">
      <formula>IF(AND($B10&lt;&gt;"",$I10=0),1,0)</formula>
    </cfRule>
    <cfRule type="expression" dxfId="35" priority="2">
      <formula>IF($B10&lt;&gt;"",1,0)</formula>
    </cfRule>
    <cfRule type="expression" dxfId="34" priority="3">
      <formula>$I10=0</formula>
    </cfRule>
  </conditionalFormatting>
  <conditionalFormatting sqref="J4">
    <cfRule type="expression" dxfId="33" priority="2058">
      <formula>IF(COUNTA($B$10:$B$13)&lt;&gt;COUNTIF($I$10:$I$13,1),1,0)</formula>
    </cfRule>
    <cfRule type="expression" dxfId="32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28.8">
      <c r="A10" s="4" t="s">
        <v>68</v>
      </c>
      <c r="B10" s="33">
        <v>1.7899999999999999E-3</v>
      </c>
      <c r="C10" s="2" t="s">
        <v>21</v>
      </c>
      <c r="D10" s="1" t="s">
        <v>26</v>
      </c>
      <c r="E10" s="1" t="s">
        <v>7</v>
      </c>
      <c r="F10" s="2" t="s">
        <v>44</v>
      </c>
      <c r="G10" s="1">
        <v>1</v>
      </c>
      <c r="H10" s="6">
        <v>1</v>
      </c>
      <c r="I10" s="6">
        <v>1</v>
      </c>
      <c r="J10" s="5" t="s">
        <v>124</v>
      </c>
    </row>
    <row r="11" spans="1:10" ht="28.8">
      <c r="A11" s="4" t="s">
        <v>69</v>
      </c>
      <c r="B11" s="33">
        <f>724*10^(-6)</f>
        <v>7.2399999999999993E-4</v>
      </c>
      <c r="C11" s="2" t="s">
        <v>21</v>
      </c>
      <c r="D11" s="1" t="s">
        <v>26</v>
      </c>
      <c r="E11" s="1" t="s">
        <v>7</v>
      </c>
      <c r="F11" s="2" t="s">
        <v>44</v>
      </c>
      <c r="G11" s="1">
        <v>1</v>
      </c>
      <c r="H11" s="6">
        <v>1</v>
      </c>
      <c r="I11" s="6">
        <v>1</v>
      </c>
      <c r="J11" s="5" t="s">
        <v>96</v>
      </c>
    </row>
    <row r="12" spans="1:10" ht="14.4">
      <c r="A12" s="8" t="s">
        <v>92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93</v>
      </c>
    </row>
  </sheetData>
  <sheetProtection algorithmName="SHA-512" hashValue="GrRDWxsvV8NDfCdwdL6T3WzwjVqij0WNk4Rke7LI/EobD/EAnY35xeU8cm40GCiq2FeO+C8Dyazp+jZH3aopRw==" saltValue="nAZtqMI2UggZQr22g0Pi4g==" spinCount="100000" sheet="1" objects="1" scenarios="1" selectLockedCells="1"/>
  <mergeCells count="2">
    <mergeCell ref="A3:J3"/>
    <mergeCell ref="J4:J8"/>
  </mergeCells>
  <conditionalFormatting sqref="B10:B12">
    <cfRule type="expression" dxfId="31" priority="10">
      <formula>IF(AND($B10&lt;&gt;"",$I10=0),1,0)</formula>
    </cfRule>
    <cfRule type="expression" dxfId="30" priority="11">
      <formula>IF($B10&lt;&gt;"",1,0)</formula>
    </cfRule>
    <cfRule type="expression" dxfId="29" priority="12">
      <formula>$I10=0</formula>
    </cfRule>
  </conditionalFormatting>
  <conditionalFormatting sqref="J4">
    <cfRule type="expression" dxfId="1" priority="2065">
      <formula>IF(COUNTA($B$10:$B$12)&lt;&gt;COUNTIF($I$10:$I$12,1),1,0)</formula>
    </cfRule>
    <cfRule type="expression" dxfId="0" priority="2066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2:K15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28.8">
      <c r="A10" s="4" t="s">
        <v>73</v>
      </c>
      <c r="B10" s="33">
        <f>8.178*1000000/1790</f>
        <v>4568.7150837988829</v>
      </c>
      <c r="C10" s="2" t="s">
        <v>22</v>
      </c>
      <c r="D10" s="1" t="s">
        <v>26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78</v>
      </c>
    </row>
    <row r="11" spans="1:10" ht="28.8">
      <c r="A11" s="4" t="s">
        <v>76</v>
      </c>
      <c r="B11" s="33">
        <f>3.822*1000000/1790</f>
        <v>2135.1955307262569</v>
      </c>
      <c r="C11" s="2" t="s">
        <v>22</v>
      </c>
      <c r="D11" s="1" t="s">
        <v>26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78</v>
      </c>
    </row>
    <row r="12" spans="1:10" ht="28.8">
      <c r="A12" s="4" t="s">
        <v>74</v>
      </c>
      <c r="B12" s="33">
        <v>1</v>
      </c>
      <c r="C12" s="2" t="s">
        <v>23</v>
      </c>
      <c r="D12" s="1" t="s">
        <v>26</v>
      </c>
      <c r="E12" s="1" t="s">
        <v>7</v>
      </c>
      <c r="F12" s="2" t="s">
        <v>5</v>
      </c>
      <c r="G12" s="1">
        <v>1</v>
      </c>
      <c r="H12" s="55">
        <f>[1]Initialization!$B$10</f>
        <v>2</v>
      </c>
      <c r="I12" s="6">
        <v>1</v>
      </c>
      <c r="J12" s="5" t="s">
        <v>79</v>
      </c>
    </row>
    <row r="13" spans="1:10" ht="28.8">
      <c r="A13" s="4" t="s">
        <v>75</v>
      </c>
      <c r="B13" s="33">
        <v>1</v>
      </c>
      <c r="C13" s="2" t="s">
        <v>23</v>
      </c>
      <c r="D13" s="1" t="s">
        <v>26</v>
      </c>
      <c r="E13" s="1" t="s">
        <v>7</v>
      </c>
      <c r="F13" s="2" t="s">
        <v>5</v>
      </c>
      <c r="G13" s="1"/>
      <c r="H13" s="55">
        <f>[1]Initialization!$B$10</f>
        <v>2</v>
      </c>
      <c r="I13" s="6">
        <v>1</v>
      </c>
      <c r="J13" s="5" t="s">
        <v>79</v>
      </c>
    </row>
    <row r="14" spans="1:10" ht="28.8">
      <c r="A14" s="46" t="s">
        <v>136</v>
      </c>
      <c r="B14" s="33">
        <v>310.14999999999998</v>
      </c>
      <c r="C14" s="35" t="s">
        <v>20</v>
      </c>
      <c r="D14" s="1" t="s">
        <v>26</v>
      </c>
      <c r="E14" s="1" t="s">
        <v>7</v>
      </c>
      <c r="F14" s="2" t="s">
        <v>51</v>
      </c>
      <c r="G14" s="1">
        <v>1</v>
      </c>
      <c r="H14" s="1">
        <v>1</v>
      </c>
      <c r="I14" s="6">
        <v>1</v>
      </c>
      <c r="J14" s="5" t="s">
        <v>137</v>
      </c>
    </row>
    <row r="15" spans="1:10" ht="14.4">
      <c r="A15" s="8" t="s">
        <v>92</v>
      </c>
      <c r="B15" s="34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93</v>
      </c>
    </row>
  </sheetData>
  <sheetProtection algorithmName="SHA-512" hashValue="9I13mF9IENN4fRSqyQdZCIXOXnd1Rq/KEhwXiPm5WoIrgsr6S1BpTYj++MBECq5szFkunWOyikiWbJbbKif83g==" saltValue="hINIR+jwdSLw/ALczPuDFg==" spinCount="100000" sheet="1" objects="1" scenarios="1" selectLockedCells="1"/>
  <mergeCells count="2">
    <mergeCell ref="A3:J3"/>
    <mergeCell ref="J4:J8"/>
  </mergeCells>
  <conditionalFormatting sqref="B15">
    <cfRule type="expression" dxfId="28" priority="10">
      <formula>IF(AND($B15&lt;&gt;"",$I15=0),1,0)</formula>
    </cfRule>
    <cfRule type="expression" dxfId="27" priority="11">
      <formula>IF($B15&lt;&gt;"",1,0)</formula>
    </cfRule>
    <cfRule type="expression" dxfId="26" priority="12">
      <formula>$I15=0</formula>
    </cfRule>
  </conditionalFormatting>
  <conditionalFormatting sqref="J4">
    <cfRule type="expression" dxfId="25" priority="13">
      <formula>IF(COUNTA($B$10:$B$15)&lt;&gt;COUNTIF($I$10:$I$15,1),1,0)</formula>
    </cfRule>
    <cfRule type="expression" dxfId="24" priority="14">
      <formula>IF(COUNTA($B$10:$B$15)=COUNTIF($I$10:$I$15,1),1,0)</formula>
    </cfRule>
  </conditionalFormatting>
  <conditionalFormatting sqref="B10">
    <cfRule type="expression" dxfId="23" priority="1">
      <formula>IF(AND($B10&lt;&gt;"",$I10=0),1,0)</formula>
    </cfRule>
    <cfRule type="expression" dxfId="22" priority="2">
      <formula>IF($B10&lt;&gt;"",1,0)</formula>
    </cfRule>
    <cfRule type="expression" dxfId="21" priority="3">
      <formula>$I10=0</formula>
    </cfRule>
  </conditionalFormatting>
  <conditionalFormatting sqref="B11:B14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E10:E15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F10:F15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43.2">
      <c r="A10" s="4" t="s">
        <v>88</v>
      </c>
      <c r="B10" s="33">
        <f>6*10^(-9)*15</f>
        <v>9.0000000000000012E-8</v>
      </c>
      <c r="C10" s="2" t="s">
        <v>24</v>
      </c>
      <c r="D10" s="1" t="s">
        <v>25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80</v>
      </c>
    </row>
    <row r="11" spans="1:10" ht="43.2">
      <c r="A11" s="4" t="s">
        <v>89</v>
      </c>
      <c r="B11" s="33">
        <f>3*10^(-7)*15</f>
        <v>4.5000000000000001E-6</v>
      </c>
      <c r="C11" s="2" t="s">
        <v>24</v>
      </c>
      <c r="D11" s="1" t="s">
        <v>25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80</v>
      </c>
    </row>
    <row r="12" spans="1:10" ht="14.4">
      <c r="A12" s="8" t="s">
        <v>92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93</v>
      </c>
    </row>
  </sheetData>
  <sheetProtection algorithmName="SHA-512" hashValue="5HAtFNDxBWjUH1FiC0SyRLjuLpjIjITw+tVVHF+bKb7zCC+XUK7KfowTX/YM8Sy5MxXrbMsqzN6ABd3Wke8rOw==" saltValue="1L3/vqhdxYEbMcGpmK7e1w==" spinCount="100000" sheet="1" objects="1" scenarios="1" selectLockedCells="1"/>
  <mergeCells count="2">
    <mergeCell ref="A3:J3"/>
    <mergeCell ref="J4:J8"/>
  </mergeCells>
  <conditionalFormatting sqref="B12">
    <cfRule type="expression" dxfId="17" priority="10">
      <formula>IF(AND($B12&lt;&gt;"",$I12=0),1,0)</formula>
    </cfRule>
    <cfRule type="expression" dxfId="16" priority="11">
      <formula>IF($B12&lt;&gt;"",1,0)</formula>
    </cfRule>
    <cfRule type="expression" dxfId="15" priority="12">
      <formula>$I12=0</formula>
    </cfRule>
  </conditionalFormatting>
  <conditionalFormatting sqref="B10:B11">
    <cfRule type="expression" dxfId="14" priority="1">
      <formula>IF(AND($B10&lt;&gt;"",$I10=0),1,0)</formula>
    </cfRule>
    <cfRule type="expression" dxfId="13" priority="2">
      <formula>IF($B10&lt;&gt;"",1,0)</formula>
    </cfRule>
    <cfRule type="expression" dxfId="12" priority="3">
      <formula>$I10=0</formula>
    </cfRule>
  </conditionalFormatting>
  <conditionalFormatting sqref="J4">
    <cfRule type="expression" dxfId="11" priority="2052">
      <formula>IF(COUNTA($B$10:$B$12)&lt;&gt;COUNTIF($I$10:$I$12,1),1,0)</formula>
    </cfRule>
    <cfRule type="expression" dxfId="10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7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43.2">
      <c r="A10" s="46" t="s">
        <v>131</v>
      </c>
      <c r="B10" s="33"/>
      <c r="C10" s="35" t="s">
        <v>135</v>
      </c>
      <c r="D10" s="1" t="s">
        <v>26</v>
      </c>
      <c r="E10" s="1" t="s">
        <v>7</v>
      </c>
      <c r="F10" s="2" t="s">
        <v>44</v>
      </c>
      <c r="G10" s="1">
        <v>1</v>
      </c>
      <c r="H10" s="1">
        <v>1</v>
      </c>
      <c r="I10" s="44">
        <f>IF([2]Initialization!$B$14=0,0,1)</f>
        <v>0</v>
      </c>
      <c r="J10" s="5" t="s">
        <v>132</v>
      </c>
    </row>
    <row r="11" spans="1:10" ht="14.4">
      <c r="A11" s="8" t="s">
        <v>92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93</v>
      </c>
    </row>
    <row r="17" s="3" customFormat="1" ht="14.55" hidden="1" customHeight="1"/>
  </sheetData>
  <sheetProtection algorithmName="SHA-512" hashValue="YBLVfba+NhUDhMX3sGhsvWl1wSf55inHIHHjxUnjbpxNnpGysa/BKRnBPRKVHe3p3BrGFLCSm8rLDDOWpM2log==" saltValue="zBcWwhOyboWpnQSFBKlYBg==" spinCount="100000" sheet="1" objects="1" scenarios="1" selectLockedCells="1"/>
  <mergeCells count="2">
    <mergeCell ref="A3:J3"/>
    <mergeCell ref="J4:J8"/>
  </mergeCells>
  <conditionalFormatting sqref="B11">
    <cfRule type="expression" dxfId="9" priority="7">
      <formula>IF(AND($B11&lt;&gt;"",$I11=0),1,0)</formula>
    </cfRule>
    <cfRule type="expression" dxfId="8" priority="8">
      <formula>IF($B11&lt;&gt;"",1,0)</formula>
    </cfRule>
    <cfRule type="expression" dxfId="7" priority="9">
      <formula>$I11=0</formula>
    </cfRule>
  </conditionalFormatting>
  <conditionalFormatting sqref="B10">
    <cfRule type="expression" dxfId="6" priority="1">
      <formula>IF(AND($B10&lt;&gt;"",$I10=0),1,0)</formula>
    </cfRule>
    <cfRule type="expression" dxfId="5" priority="2">
      <formula>IF($B10&lt;&gt;"",1,0)</formula>
    </cfRule>
    <cfRule type="expression" dxfId="4" priority="3">
      <formula>$I10=0</formula>
    </cfRule>
  </conditionalFormatting>
  <conditionalFormatting sqref="J4">
    <cfRule type="expression" dxfId="3" priority="2054">
      <formula>IF(COUNTA($B$10:$B$11)&lt;&gt;COUNTIF($I$10:$I$11,1),1,0)</formula>
    </cfRule>
    <cfRule type="expression" dxfId="2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160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100</v>
      </c>
    </row>
    <row r="2" spans="1:18" ht="14.4">
      <c r="A2" s="61" t="s">
        <v>107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111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112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113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122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108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109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115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116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120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121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114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110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158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117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119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118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123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127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128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129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130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103</v>
      </c>
    </row>
    <row r="2" spans="1:1">
      <c r="A2" t="s">
        <v>101</v>
      </c>
    </row>
    <row r="3" spans="1:1">
      <c r="A3" t="s">
        <v>102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topLeftCell="CF1" workbookViewId="0">
      <selection activeCell="CM2" sqref="CM2"/>
    </sheetView>
  </sheetViews>
  <sheetFormatPr defaultColWidth="8.77734375" defaultRowHeight="14.4"/>
  <sheetData>
    <row r="1" spans="1:20">
      <c r="A1" t="s">
        <v>154</v>
      </c>
      <c r="B1" t="s">
        <v>92</v>
      </c>
      <c r="C1" t="s">
        <v>126</v>
      </c>
      <c r="D1" t="s">
        <v>141</v>
      </c>
      <c r="E1" t="s">
        <v>142</v>
      </c>
      <c r="F1" t="s">
        <v>92</v>
      </c>
      <c r="G1" t="s">
        <v>68</v>
      </c>
      <c r="H1" t="s">
        <v>69</v>
      </c>
      <c r="I1" t="s">
        <v>92</v>
      </c>
      <c r="J1" t="s">
        <v>73</v>
      </c>
      <c r="K1" t="s">
        <v>76</v>
      </c>
      <c r="L1" t="s">
        <v>74</v>
      </c>
      <c r="M1" t="s">
        <v>75</v>
      </c>
      <c r="N1" t="s">
        <v>136</v>
      </c>
      <c r="O1" t="s">
        <v>92</v>
      </c>
      <c r="P1" t="s">
        <v>88</v>
      </c>
      <c r="Q1" t="s">
        <v>89</v>
      </c>
      <c r="R1" t="s">
        <v>92</v>
      </c>
      <c r="S1" t="s">
        <v>131</v>
      </c>
      <c r="T1" t="s">
        <v>92</v>
      </c>
    </row>
    <row r="2" spans="1:20">
      <c r="A2">
        <v>0.08</v>
      </c>
      <c r="C2">
        <v>1</v>
      </c>
      <c r="G2">
        <v>1.7899999999999999E-3</v>
      </c>
      <c r="H2">
        <v>7.2399999999999993E-4</v>
      </c>
      <c r="J2">
        <v>4568.7150837988829</v>
      </c>
      <c r="K2">
        <v>2135.1955307262569</v>
      </c>
      <c r="L2">
        <v>1</v>
      </c>
      <c r="M2">
        <v>1</v>
      </c>
      <c r="N2">
        <v>310.14999999999998</v>
      </c>
      <c r="P2">
        <v>9.0000000000000012E-8</v>
      </c>
      <c r="Q2">
        <v>4.5000000000000001E-6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topLeftCell="CC1" workbookViewId="0">
      <selection activeCell="CR2" sqref="CR2"/>
    </sheetView>
  </sheetViews>
  <sheetFormatPr defaultColWidth="8.77734375" defaultRowHeight="14.4"/>
  <sheetData>
    <row r="1" spans="1:20">
      <c r="A1" t="s">
        <v>154</v>
      </c>
      <c r="B1" t="s">
        <v>92</v>
      </c>
      <c r="C1" t="s">
        <v>126</v>
      </c>
      <c r="D1" t="s">
        <v>141</v>
      </c>
      <c r="E1" t="s">
        <v>142</v>
      </c>
      <c r="F1" t="s">
        <v>92</v>
      </c>
      <c r="G1" t="s">
        <v>68</v>
      </c>
      <c r="H1" t="s">
        <v>69</v>
      </c>
      <c r="I1" t="s">
        <v>92</v>
      </c>
      <c r="J1" t="s">
        <v>73</v>
      </c>
      <c r="K1" t="s">
        <v>76</v>
      </c>
      <c r="L1" t="s">
        <v>74</v>
      </c>
      <c r="M1" t="s">
        <v>75</v>
      </c>
      <c r="N1" t="s">
        <v>136</v>
      </c>
      <c r="O1" t="s">
        <v>92</v>
      </c>
      <c r="P1" t="s">
        <v>88</v>
      </c>
      <c r="Q1" t="s">
        <v>89</v>
      </c>
      <c r="R1" t="s">
        <v>92</v>
      </c>
      <c r="S1" t="s">
        <v>131</v>
      </c>
      <c r="T1" t="s">
        <v>92</v>
      </c>
    </row>
    <row r="2" spans="1:2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0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2022-10-21T03:46:27Z</dcterms:modified>
</cp:coreProperties>
</file>