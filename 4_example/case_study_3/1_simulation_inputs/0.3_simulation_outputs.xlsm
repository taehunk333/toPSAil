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1_time_driven\2-col_isothermal_no_axial_pressure_drop\1_simulation_inputs\"/>
    </mc:Choice>
  </mc:AlternateContent>
  <xr:revisionPtr revIDLastSave="0" documentId="13_ncr:1_{7C14A470-9CC1-4ADC-AB92-7B9EF3C4D988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Plotting" sheetId="41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1" hidden="1">Plotting!$A$9:$J$22</definedName>
    <definedName name="_xlnm.Print_Area" localSheetId="1">Plotting!$A$2:$J$22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1" l="1"/>
  <c r="J2" i="41"/>
  <c r="A2" i="4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tc={83F5D399-4214-4728-8F26-41CC4D7ADDF3}</author>
    <author>tc={5E02F931-9F8D-49DB-A66F-2C4834CF33C5}</author>
    <author>tc={8424EEC1-431B-4C86-B9BB-0E71C6DD158D}</author>
  </authors>
  <commentList>
    <comment ref="G9" authorId="0" shapeId="0" xr:uid="{83F5D399-4214-4728-8F26-41CC4D7ADDF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E02F931-9F8D-49DB-A66F-2C4834CF33C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424EEC1-431B-4C86-B9BB-0E71C6DD158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<sst xmlns="http://schemas.openxmlformats.org/spreadsheetml/2006/main" count="228" uniqueCount="131">
  <si>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</si>
  <si>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</si>
  <si>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</si>
  <si>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</si>
  <si>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</si>
  <si>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</si>
  <si>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</si>
  <si>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</si>
  <si>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</si>
  <si>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</si>
  <si>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</si>
  <si>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</si>
  <si>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</si>
  <si>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</si>
  <si>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</si>
  <si>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</si>
  <si>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</si>
  <si>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</si>
  <si>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</si>
  <si>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</si>
  <si>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</si>
  <si>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</si>
  <si>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</si>
  <si>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</si>
  <si>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</si>
  <si>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</si>
  <si>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</si>
  <si>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</si>
  <si>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</si>
  <si>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</si>
  <si>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</si>
  <si>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</si>
  <si>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</si>
  <si>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</si>
  <si>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</si>
  <si>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</si>
  <si>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</si>
  <si>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</si>
  <si>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</si>
  <si>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</si>
  <si>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</si>
  <si>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</si>
  <si>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</si>
  <si>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</si>
  <si>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</si>
  <si>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</si>
  <si>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</si>
  <si>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</si>
  <si>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</si>
  <si>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</si>
  <si>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</si>
  <si>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</si>
  <si>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</si>
  <si>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</si>
  <si>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</si>
  <si>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</si>
  <si>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</si>
  <si>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</si>
  <si>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</si>
  <si>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</si>
  <si>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</si>
  <si>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</si>
  <si>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</si>
  <si>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</si>
  <si>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</si>
  <si>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</si>
  <si>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</si>
  <si>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</si>
  <si>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</si>
  <si>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</si>
  <si>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</si>
  <si>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</si>
  <si>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</si>
  <si>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</si>
  <si>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</si>
  <si>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</si>
  <si>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</si>
  <si>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</si>
  <si>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</si>
  <si>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</si>
  <si>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</si>
  <si>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</si>
  <si>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</si>
  <si>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</si>
  <si>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</si>
  <si>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</si>
  <si>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</si>
  <si>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</si>
  <si>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</si>
  <si>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</si>
  <si>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</si>
  <si>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</si>
  <si>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</si>
  <si>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</si>
  <si>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</si>
  <si>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</si>
  <si>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</si>
  <si>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</si>
  <si>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</si>
  <si>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</si>
  <si>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</si>
  <si>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</si>
  <si>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</si>
  <si>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</si>
  <si>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plot1</t>
  </si>
  <si>
    <t>Shall we plot the pressure profile for the adsorption column? (i.e. P(t) vs. t)?
0 = No, 1 = Yes.</t>
  </si>
  <si>
    <t>plot2</t>
  </si>
  <si>
    <t>Shall we plot the pressure profile for the product receiver tanks? (i.e., P(t) vs. t)?
0 = No, 1 = Yes.</t>
  </si>
  <si>
    <t>plot3</t>
  </si>
  <si>
    <t>Shall we plot the gas phase concentration profile (C_i(z) vs column height z) at the end of high pressure feed?
0 = No, 1 = Yes.</t>
  </si>
  <si>
    <t>plot4</t>
  </si>
  <si>
    <t>Shall we plot the adsorbed phase concentration profile (q_i(z) vs column height z) at the end of high pressure feed?
0 = No, 1 = Yes.</t>
  </si>
  <si>
    <t>plot5</t>
  </si>
  <si>
    <t>Shall we plot the breakthrough curve? In other words, product end CSTR gas phase concentration as a function of time.
0 = No, 1 = Yes.</t>
  </si>
  <si>
    <t>plot6</t>
  </si>
  <si>
    <t>Shall we plot the average product purity inside the product receiver tank?
0 = No, 1 = Yes.</t>
  </si>
  <si>
    <t>plot7</t>
  </si>
  <si>
    <t>Shall we plot the temperature profile (T(z) vs column height z) at the end of high pressure feed?
0 = No, 1 = Yes.</t>
  </si>
  <si>
    <t>plot8</t>
  </si>
  <si>
    <t>Shall we plot product purity?
0 = No, 1 = Yes.</t>
  </si>
  <si>
    <t>plot9</t>
  </si>
  <si>
    <t>Shall we plot product recovery?
0 = No, 1 = Yes.</t>
  </si>
  <si>
    <t>plot10</t>
  </si>
  <si>
    <t>Shall we plot productivity?
0 = No, 1 = Yes.</t>
  </si>
  <si>
    <t>plot11</t>
  </si>
  <si>
    <t>Shall we plot energy efficiency?
0 = No, 1 = Yes.</t>
  </si>
  <si>
    <t>plot12</t>
  </si>
  <si>
    <t>Shall we plot the CSS convergence plot?
0 = No, 1 = Yes.</t>
  </si>
  <si>
    <t>Finalized the spreadsheet for the v1.0 release</t>
  </si>
  <si>
    <t>Initial development of the "0.3_simulation_outputs.xlsm"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</si>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</sst>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13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80683</xdr:colOff>
      <xdr:row>4</xdr:row>
      <xdr:rowOff>0</xdr:rowOff>
    </xdr:from>
    <xdr:to>
      <xdr:col>4</xdr:col>
      <xdr:colOff>490395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3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100-0000016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1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1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2326E5-CC65-4D79-AEA1-2E475C945D5B}" name="Table162" displayName="Table162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F6E17BEC-F12D-40D0-ACA2-B808CFC18C4E}" name="Variable" dataDxfId="9"/>
    <tableColumn id="4" xr3:uid="{EDD76024-22A3-4A63-B27A-B1BCEE92E975}" name="Value" dataDxfId="8"/>
    <tableColumn id="5" xr3:uid="{56AA989B-DB70-415F-AD58-17DC5890E2B0}" name="Unit" dataDxfId="7"/>
    <tableColumn id="6" xr3:uid="{4FBFF315-7AA3-41B7-884D-FF1D837228ED}" name="Comparisons" dataDxfId="6"/>
    <tableColumn id="7" xr3:uid="{5C84CAEB-116E-4F77-8009-0436CAEA98CE}" name="Variable Type" dataDxfId="5"/>
    <tableColumn id="8" xr3:uid="{2D045F2E-F2D2-4AB6-AA74-BAE5062512AB}" name="Dependency" dataDxfId="4"/>
    <tableColumn id="12" xr3:uid="{F27852D9-9A22-47F8-BCF3-1955F2CA53DA}" name="Test 1" dataDxfId="3"/>
    <tableColumn id="10" xr3:uid="{33CD334F-8524-45F3-84C7-8DDF8DB0B87E}" name="Test 2" dataDxfId="2"/>
    <tableColumn id="2" xr3:uid="{7E3FCADF-3003-4FE0-A200-1AA73C1C88FA}" name="Test 3" dataDxfId="1"/>
    <tableColumn id="9" xr3:uid="{CFF3E391-76B6-4FD6-8ED9-568258D4704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83F5D399-4214-4728-8F26-41CC4D7ADDF3}">
    <text>place 1 if we want to keep the row when re-initializing. Otherwise, leave it as a blank.</text>
  </threadedComment>
  <threadedComment ref="H9" dT="2020-11-26T18:35:03.27" personId="{7F98AE94-13FB-49E1-9262-339C11E0EDB4}" id="{5E02F931-9F8D-49DB-A66F-2C4834CF33C5}">
    <text>supply a value greater than 1 if you want to duplicate the row</text>
  </threadedComment>
  <threadedComment ref="I9" dT="2020-11-28T01:53:47.29" personId="{7F98AE94-13FB-49E1-9262-339C11E0EDB4}" id="{8424EEC1-431B-4C86-B9BB-0E71C6DD158D}">
    <text>1 means we need to have the variable specified; 0 means we need not have the variable specified</text>
  </threadedComment>
  <threadedComment ref="I9" dT="2020-11-28T01:56:42.32" personId="{7F98AE94-13FB-49E1-9262-339C11E0EDB4}" id="{35C6FA84-06A5-400B-829E-EB92AFAD1137}" parentId="{8424EEC1-431B-4C86-B9BB-0E71C6DD158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46" t="s">
        <v>130</v>
      </c>
      <c r="E4" s="47"/>
      <c r="F4" s="48"/>
      <c r="G4" s="49"/>
      <c r="H4" s="49"/>
      <c r="I4" s="49"/>
      <c r="J4" s="39" t="s">
        <v>82</v>
      </c>
    </row>
    <row r="5" spans="4:10" ht="36">
      <c r="D5" s="52" t="s">
        <v>36</v>
      </c>
      <c r="E5" s="52"/>
      <c r="F5" s="52"/>
      <c r="G5" s="52"/>
      <c r="H5" s="52"/>
      <c r="I5" s="52"/>
      <c r="J5" s="52"/>
    </row>
    <row r="6" spans="4:10" ht="18">
      <c r="D6" s="45" t="s">
        <v>30</v>
      </c>
      <c r="E6" s="45" t="s">
        <v>103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54">
      <c r="D7" s="40">
        <v>1</v>
      </c>
      <c r="E7" s="41" t="s">
        <v>129</v>
      </c>
      <c r="F7" s="42">
        <v>44720</v>
      </c>
      <c r="G7" s="40" t="s">
        <v>37</v>
      </c>
      <c r="H7" s="40"/>
      <c r="I7" s="40"/>
      <c r="J7" s="41"/>
    </row>
    <row r="8" spans="4:10" ht="36">
      <c r="D8" s="40">
        <v>2</v>
      </c>
      <c r="E8" s="41" t="s">
        <v>128</v>
      </c>
      <c r="F8" s="42">
        <v>44818</v>
      </c>
      <c r="G8" s="40" t="s">
        <v>37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3010622-42ED-4560-98BD-A1FA4B69FAB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D098-EA67-4337-991E-06490D0F43F7}">
  <sheetPr codeName="Sheet8">
    <tabColor rgb="FF00B050"/>
  </sheetPr>
  <dimension ref="A2:K22"/>
  <sheetViews>
    <sheetView showGridLines="0" tabSelected="1" topLeftCell="A2" zoomScaleNormal="100" zoomScaleSheetLayoutView="70" workbookViewId="0">
      <pane ySplit="8" topLeftCell="A14" activePane="bottomLeft" state="frozen"/>
      <selection activeCell="B2" sqref="B2"/>
      <selection pane="bottomLeft" activeCell="B21" sqref="B2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7" t="str">
        <f>'Revision History'!$D$4</f>
        <v>REV. NO.2 (9/14/2022)</v>
      </c>
      <c r="B2" s="28"/>
      <c r="C2" s="28"/>
      <c r="D2" s="28"/>
      <c r="E2" s="28"/>
      <c r="F2" s="28"/>
      <c r="G2" s="28"/>
      <c r="H2" s="28"/>
      <c r="I2" s="28"/>
      <c r="J2" s="29" t="str">
        <f>'Revision History'!$J$4</f>
        <v>Scott Research Group (jkscottresearchgroup.com)</v>
      </c>
    </row>
    <row r="3" spans="1:10" ht="18">
      <c r="A3" s="53" t="s">
        <v>29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s="24" customFormat="1" ht="14.55" customHeight="1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IF(COUNTIF(Table162[Test 3],1)=COUNTA(Table162[Value]),"Ready","Not Ready")</f>
        <v>Ready</v>
      </c>
    </row>
    <row r="5" spans="1:10" s="25" customFormat="1" ht="14.55" customHeight="1">
      <c r="A5" s="17"/>
      <c r="B5" s="18"/>
      <c r="C5" s="44"/>
      <c r="D5" s="44"/>
      <c r="E5" s="44"/>
      <c r="F5" s="44"/>
      <c r="G5" s="19"/>
      <c r="H5" s="44"/>
      <c r="I5" s="44"/>
      <c r="J5" s="55"/>
    </row>
    <row r="6" spans="1:10" s="25" customFormat="1" ht="14.55" customHeight="1">
      <c r="A6" s="17"/>
      <c r="B6" s="18"/>
      <c r="C6" s="44"/>
      <c r="D6" s="44"/>
      <c r="E6" s="44"/>
      <c r="F6" s="44"/>
      <c r="G6" s="19"/>
      <c r="H6" s="44"/>
      <c r="I6" s="44"/>
      <c r="J6" s="55"/>
    </row>
    <row r="7" spans="1:10" s="25" customFormat="1" ht="14.55" customHeight="1">
      <c r="A7" s="17"/>
      <c r="B7" s="18"/>
      <c r="C7" s="44"/>
      <c r="D7" s="44"/>
      <c r="E7" s="44"/>
      <c r="F7" s="44"/>
      <c r="G7" s="19"/>
      <c r="H7" s="44"/>
      <c r="I7" s="44"/>
      <c r="J7" s="55"/>
    </row>
    <row r="8" spans="1:10" s="26" customFormat="1" ht="14.55" customHeight="1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4.4">
      <c r="A9" s="30" t="s">
        <v>0</v>
      </c>
      <c r="B9" s="31" t="s">
        <v>1</v>
      </c>
      <c r="C9" s="31" t="s">
        <v>2</v>
      </c>
      <c r="D9" s="31" t="s">
        <v>14</v>
      </c>
      <c r="E9" s="31" t="s">
        <v>62</v>
      </c>
      <c r="F9" s="32" t="s">
        <v>38</v>
      </c>
      <c r="G9" s="32" t="s">
        <v>63</v>
      </c>
      <c r="H9" s="31" t="s">
        <v>64</v>
      </c>
      <c r="I9" s="33" t="s">
        <v>71</v>
      </c>
      <c r="J9" s="33" t="s">
        <v>12</v>
      </c>
    </row>
    <row r="10" spans="1:10" ht="43.2">
      <c r="A10" s="4" t="s">
        <v>104</v>
      </c>
      <c r="B10" s="34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105</v>
      </c>
    </row>
    <row r="11" spans="1:10" ht="43.2">
      <c r="A11" s="50" t="s">
        <v>106</v>
      </c>
      <c r="B11" s="34">
        <v>1</v>
      </c>
      <c r="C11" s="51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107</v>
      </c>
    </row>
    <row r="12" spans="1:10" ht="57.6">
      <c r="A12" s="50" t="s">
        <v>108</v>
      </c>
      <c r="B12" s="34">
        <v>1</v>
      </c>
      <c r="C12" s="51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109</v>
      </c>
    </row>
    <row r="13" spans="1:10" ht="57.6">
      <c r="A13" s="50" t="s">
        <v>110</v>
      </c>
      <c r="B13" s="34">
        <v>1</v>
      </c>
      <c r="C13" s="51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111</v>
      </c>
    </row>
    <row r="14" spans="1:10" ht="57.6">
      <c r="A14" s="50" t="s">
        <v>112</v>
      </c>
      <c r="B14" s="34">
        <v>1</v>
      </c>
      <c r="C14" s="51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113</v>
      </c>
    </row>
    <row r="15" spans="1:10" ht="43.2">
      <c r="A15" s="50" t="s">
        <v>114</v>
      </c>
      <c r="B15" s="34">
        <v>1</v>
      </c>
      <c r="C15" s="51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115</v>
      </c>
    </row>
    <row r="16" spans="1:10" ht="57.6">
      <c r="A16" s="50" t="s">
        <v>116</v>
      </c>
      <c r="B16" s="34">
        <v>0</v>
      </c>
      <c r="C16" s="51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117</v>
      </c>
    </row>
    <row r="17" spans="1:10" ht="28.8">
      <c r="A17" s="50" t="s">
        <v>118</v>
      </c>
      <c r="B17" s="34">
        <v>1</v>
      </c>
      <c r="C17" s="51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119</v>
      </c>
    </row>
    <row r="18" spans="1:10" ht="28.8">
      <c r="A18" s="50" t="s">
        <v>120</v>
      </c>
      <c r="B18" s="34">
        <v>1</v>
      </c>
      <c r="C18" s="51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121</v>
      </c>
    </row>
    <row r="19" spans="1:10" ht="28.8">
      <c r="A19" s="50" t="s">
        <v>122</v>
      </c>
      <c r="B19" s="34">
        <v>1</v>
      </c>
      <c r="C19" s="51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50" t="s">
        <v>124</v>
      </c>
      <c r="B20" s="34">
        <v>1</v>
      </c>
      <c r="C20" s="51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125</v>
      </c>
    </row>
    <row r="21" spans="1:10" ht="28.8">
      <c r="A21" s="50" t="s">
        <v>126</v>
      </c>
      <c r="B21" s="34">
        <v>1</v>
      </c>
      <c r="C21" s="51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127</v>
      </c>
    </row>
    <row r="22" spans="1:10" ht="14.4">
      <c r="A22" s="8" t="s">
        <v>75</v>
      </c>
      <c r="B22" s="35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76</v>
      </c>
    </row>
  </sheetData>
  <sheetProtection algorithmName="SHA-512" hashValue="7ZGnVeeB2zg3pDwXAiO7BTyK/aYdJl6xVTorUiNGKiW5TaO6J3bXYiBYV3cNsTzgQ+UCPPqvHe/IYWJF8n9j3A==" saltValue="z5iNPKU09ZTS1N1N1aS5yg==" spinCount="100000" sheet="1" objects="1" scenarios="1" selectLockedCells="1"/>
  <mergeCells count="2">
    <mergeCell ref="A3:J3"/>
    <mergeCell ref="J4:J8"/>
  </mergeCells>
  <conditionalFormatting sqref="B10:B22">
    <cfRule type="expression" dxfId="19" priority="4">
      <formula>IF(AND($B10&lt;&gt;"",$I10=0),1,0)</formula>
    </cfRule>
    <cfRule type="expression" dxfId="18" priority="5">
      <formula>IF($B10&lt;&gt;"",1,0)</formula>
    </cfRule>
    <cfRule type="expression" dxfId="17" priority="6">
      <formula>$I10=0</formula>
    </cfRule>
  </conditionalFormatting>
  <conditionalFormatting sqref="J4">
    <cfRule type="expression" dxfId="16" priority="42">
      <formula>IF(COUNTA($B$10:$B$22)&lt;&gt;COUNTIF($I$10:$I$22,1),1,0)</formula>
    </cfRule>
    <cfRule type="expression" dxfId="15" priority="43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6CDBC0-F302-48A1-93D7-C6B89823234E}">
          <x14:formula1>
            <xm:f>Reference!$K$2:$K$4</xm:f>
          </x14:formula1>
          <xm:sqref>B10:B21</xm:sqref>
        </x14:dataValidation>
        <x14:dataValidation type="list" allowBlank="1" showInputMessage="1" showErrorMessage="1" xr:uid="{1261A636-84C9-411E-8959-D19C6B8ACE0E}">
          <x14:formula1>
            <xm:f>Reference!$C$2:$C$23</xm:f>
          </x14:formula1>
          <xm:sqref>F10:F22</xm:sqref>
        </x14:dataValidation>
        <x14:dataValidation type="list" allowBlank="1" showInputMessage="1" showErrorMessage="1" xr:uid="{F083F48B-E6DB-47D1-81F2-3DA7DD847A33}">
          <x14:formula1>
            <xm:f>Reference!$B$2:$B$18</xm:f>
          </x14:formula1>
          <xm:sqref>D10:D22</xm:sqref>
        </x14:dataValidation>
        <x14:dataValidation type="list" allowBlank="1" showInputMessage="1" showErrorMessage="1" xr:uid="{9E3BC53B-6BBE-42B9-B69E-C5D0EE18F691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topLeftCell="CF1"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1</v>
      </c>
      <c r="K2">
        <v>1</v>
      </c>
      <c r="L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Plotting</vt:lpstr>
      <vt:lpstr>Reference</vt:lpstr>
      <vt:lpstr>maintenance check list</vt:lpstr>
      <vt:lpstr>Data(Transposed)</vt:lpstr>
      <vt:lpstr>Data(Test)</vt:lpstr>
      <vt:lpstr>Plotting!Print_Area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2022-10-17T16:55:03Z</dcterms:modified>
</cp:coreProperties>
</file>