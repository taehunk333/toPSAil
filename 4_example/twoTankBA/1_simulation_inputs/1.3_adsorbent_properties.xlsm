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case_study_3.0\1_simulation_inputs\"/>
    </mc:Choice>
  </mc:AlternateContent>
  <xr:revisionPtr revIDLastSave="0" documentId="13_ncr:1_{4B4F54D0-AD03-4E35-9D12-1EC594D30E6E}" xr6:coauthVersionLast="47" xr6:coauthVersionMax="47" xr10:uidLastSave="{00000000-0000-0000-0000-000000000000}"/>
  <bookViews>
    <workbookView xWindow="30270" yWindow="1470" windowWidth="21600" windowHeight="13410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Isotherm'!$A$2:$J$62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1" i="53" l="1"/>
  <c r="I60" i="53"/>
  <c r="I59" i="53"/>
  <c r="I58" i="53"/>
  <c r="I57" i="53"/>
  <c r="I56" i="53"/>
  <c r="I55" i="53"/>
  <c r="I54" i="53"/>
  <c r="I53" i="53"/>
  <c r="I52" i="53"/>
  <c r="I51" i="53"/>
  <c r="I50" i="53"/>
  <c r="I49" i="53"/>
  <c r="I48" i="53"/>
  <c r="I47" i="53"/>
  <c r="I46" i="53"/>
  <c r="I45" i="53"/>
  <c r="I44" i="53"/>
  <c r="H61" i="53"/>
  <c r="H60" i="53"/>
  <c r="H59" i="53"/>
  <c r="H58" i="53"/>
  <c r="H57" i="53"/>
  <c r="H56" i="53"/>
  <c r="H55" i="53"/>
  <c r="H54" i="53"/>
  <c r="H53" i="53"/>
  <c r="H52" i="53"/>
  <c r="H51" i="53"/>
  <c r="H50" i="53"/>
  <c r="H49" i="53"/>
  <c r="H48" i="53"/>
  <c r="H47" i="53"/>
  <c r="H46" i="53"/>
  <c r="H45" i="53"/>
  <c r="H44" i="53"/>
  <c r="B22" i="53" l="1"/>
  <c r="B21" i="53"/>
  <c r="B20" i="53"/>
  <c r="I16" i="53" l="1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<sst xmlns="http://schemas.openxmlformats.org/spreadsheetml/2006/main" count="727" uniqueCount="235">
  <si>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</si>
  <si>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</si>
  <si>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</si>
  <si>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</si>
  <si>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</si>
  <si>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</si>
  <si>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</si>
  <si>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</si>
  <si>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</si>
  <si>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</si>
  <si>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</si>
  <si>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</si>
  <si>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</si>
  <si>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</si>
  <si>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</si>
  <si>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</si>
  <si>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</si>
  <si>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</si>
  <si>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</si>
  <si>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</si>
  <si>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</si>
  <si>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</si>
  <si>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</si>
  <si>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</si>
  <si>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</si>
  <si>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</si>
  <si>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</si>
  <si>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</si>
  <si>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</si>
  <si>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</si>
  <si>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</si>
  <si>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</si>
  <si>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</si>
  <si>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</si>
  <si>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</si>
  <si>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</si>
  <si>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</si>
  <si>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</si>
  <si>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</si>
  <si>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</si>
  <si>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</si>
  <si>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</si>
  <si>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</si>
  <si>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</si>
  <si>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</si>
  <si>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</si>
  <si>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</si>
  <si>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</si>
  <si>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</si>
  <si>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</si>
  <si>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</si>
  <si>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</si>
  <si>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</si>
  <si>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</si>
  <si>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</si>
  <si>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</si>
  <si>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</si>
  <si>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</si>
  <si>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</si>
  <si>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</si>
  <si>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</si>
  <si>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</si>
  <si>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</si>
  <si>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</si>
  <si>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</si>
  <si>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</si>
  <si>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</si>
  <si>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</si>
  <si>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</si>
  <si>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</si>
  <si>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</si>
  <si>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</si>
  <si>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</si>
  <si>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</si>
  <si>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</si>
  <si>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</si>
  <si>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</si>
  <si>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</si>
  <si>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</si>
  <si>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</si>
  <si>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</si>
  <si>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</si>
  <si>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</si>
  <si>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</si>
  <si>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</si>
  <si>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</si>
  <si>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</si>
  <si>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</si>
  <si>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</si>
  <si>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</si>
  <si>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</si>
  <si>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</si>
  <si>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</si>
  <si>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</si>
  <si>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</si>
  <si>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</si>
  <si>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</si>
  <si>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</si>
  <si>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</si>
  <si>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</si>
  <si>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</si>
  <si>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</si>
  <si>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</si>
  <si>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</si>
  <si>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</si>
  <si>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</si>
  <si>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</si>
  <si>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</si>
  <si>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</si>
  <si>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</si>
  <si>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</si>
  <si>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</si>
  <si>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</si>
  <si>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</si>
  <si>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</si>
  <si>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</si>
  <si>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</si>
  <si>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</si>
  <si>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</si>
  <si>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</si>
  <si>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</si>
  <si>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</si>
  <si>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</si>
  <si>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</si>
  <si>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</si>
  <si>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</si>
  <si>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</si>
  <si>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</si>
  <si>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</si>
  <si>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</si>
  <si>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</si>
  <si>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</si>
  <si>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</si>
  <si>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</si>
  <si>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</si>
  <si>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</si>
  <si>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</si>
  <si>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</si>
  <si>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</si>
  <si>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</si>
  <si>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</si>
  <si>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</si>
  <si>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</si>
  <si>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</si>
  <si>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</si>
  <si>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</si>
  <si>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</si>
  <si>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</si>
  <si>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</si>
  <si>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</si>
  <si>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</si>
  <si>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</si>
  <si>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</si>
  <si>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</si>
  <si>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</si>
  <si>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</si>
  <si>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</si>
  <si>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</si>
  <si>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</si>
  <si>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</si>
  <si>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</si>
  <si>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</si>
  <si>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</si>
  <si>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</si>
  <si>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</si>
  <si>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</si>
  <si>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</si>
  <si>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</si>
  <si>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</si>
  <si>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</si>
  <si>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</si>
  <si>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</si>
  <si>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</si>
  <si>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</si>
  <si>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</si>
  <si>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</si>
  <si>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</si>
  <si>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</si>
  <si>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</si>
  <si>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</si>
  <si>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</si>
  <si>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</si>
  <si>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</si>
  <si>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</si>
  <si>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</si>
  <si>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</si>
  <si>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</si>
  <si>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</si>
  <si>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</si>
  <si>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</si>
  <si>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</si>
  <si>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</si>
  <si>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</si>
  <si>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</si>
  <si>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</si>
  <si>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</si>
  <si>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</si>
  <si>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</si>
  <si>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</si>
  <si>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</si>
  <si>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</si>
  <si>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</si>
  <si>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</si>
  <si>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</si>
  <si>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</si>
  <si>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</si>
  <si>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</si>
  <si>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</si>
  <si>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</si>
  <si>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qSatSiteOneC3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</si>
  <si>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</si>
  <si>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</si>
  <si>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</si>
  <si>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</si>
  <si>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qSatSiteTwoC3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</si>
  <si>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</si>
  <si>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</si>
  <si>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</si>
  <si>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</si>
  <si>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bSiteOneC3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</si>
  <si>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</si>
  <si>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</si>
  <si>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</si>
  <si>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</si>
  <si>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bSiteTwoC3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</si>
  <si>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</si>
  <si>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</si>
  <si>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</si>
  <si>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</si>
  <si>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nSiteOneC3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</si>
  <si>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</si>
  <si>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</si>
  <si>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</si>
  <si>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</si>
  <si>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nSiteTwoC3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</si>
</sst>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1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2" fillId="6" borderId="0" xfId="1" applyFont="1" applyFill="1" applyAlignment="1">
      <alignment horizontal="left" vertical="center"/>
    </xf>
    <xf numFmtId="0" fontId="13" fillId="6" borderId="0" xfId="1" applyFont="1" applyFill="1" applyAlignment="1">
      <alignment vertical="center" wrapText="1"/>
    </xf>
    <xf numFmtId="0" fontId="13" fillId="6" borderId="0" xfId="1" applyFont="1" applyFill="1" applyAlignment="1">
      <alignment horizontal="center" vertical="center"/>
    </xf>
    <xf numFmtId="0" fontId="13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90575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171015" y="1187262"/>
          <a:ext cx="4283477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2.0\4_example\case_study_3.0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86" dataDxfId="184" headerRowBorderDxfId="185" tableBorderDxfId="183" totalsRowBorderDxfId="182">
  <autoFilter ref="A9:J11" xr:uid="{B089C5C3-2CCE-4800-96CA-2131BB6E3E4F}"/>
  <tableColumns count="10">
    <tableColumn id="1" xr3:uid="{A63D443C-23FA-C546-879B-699C109A0CA2}" name="Variable" dataDxfId="181"/>
    <tableColumn id="4" xr3:uid="{1A5FFB41-EB4E-E74A-8922-4B34B9316DE5}" name="Value" dataDxfId="180">
      <calculatedColumnFormula>0.0008*100</calculatedColumnFormula>
    </tableColumn>
    <tableColumn id="5" xr3:uid="{BF7F7945-F7EF-9B43-BD77-AD1154395D6F}" name="Unit" dataDxfId="179"/>
    <tableColumn id="6" xr3:uid="{97B66A41-BCC9-AB4A-9001-73F9BCD59411}" name="Comparisons" dataDxfId="178"/>
    <tableColumn id="7" xr3:uid="{0CC57FA7-D6D5-D04B-8A50-C681928970E3}" name="Variable Type" dataDxfId="177"/>
    <tableColumn id="8" xr3:uid="{793541F2-DD76-C241-9A02-11BCAFDBFB73}" name="Dependency" dataDxfId="176"/>
    <tableColumn id="12" xr3:uid="{77D37813-222C-3645-B2B0-7C5CE186734F}" name="Test 1" dataDxfId="175"/>
    <tableColumn id="10" xr3:uid="{705C6C59-C9FA-CF40-8C63-CC7BAA8D5513}" name="Test 2" dataDxfId="174"/>
    <tableColumn id="2" xr3:uid="{3CCF3320-E3BD-5A4C-926A-DD0EC2697FB0}" name="Test 3" dataDxfId="173"/>
    <tableColumn id="9" xr3:uid="{DFCD7E77-6792-EC4A-8937-7BD5661A57E7}" name="Description" dataDxfId="1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63" dataDxfId="161" headerRowBorderDxfId="162" tableBorderDxfId="160" totalsRowBorderDxfId="159">
  <autoFilter ref="A9:J13" xr:uid="{B089C5C3-2CCE-4800-96CA-2131BB6E3E4F}"/>
  <tableColumns count="10">
    <tableColumn id="1" xr3:uid="{20310A95-CEA4-0E46-A375-D38774A1331C}" name="Variable" dataDxfId="158"/>
    <tableColumn id="4" xr3:uid="{677D6E7A-ABBB-7F47-BEBA-202C00329494}" name="Value" dataDxfId="157"/>
    <tableColumn id="5" xr3:uid="{4C9D6E28-38C2-434B-8F96-F002277F8DF6}" name="Unit" dataDxfId="156"/>
    <tableColumn id="6" xr3:uid="{14421855-DDE0-1B4F-9E2F-0DCEAE184349}" name="Comparisons" dataDxfId="155"/>
    <tableColumn id="7" xr3:uid="{B52A6C11-F701-BB42-BCC5-C034770E9DBB}" name="Variable Type" dataDxfId="154"/>
    <tableColumn id="8" xr3:uid="{7995AC5C-141D-1241-85F4-ED670AA6D852}" name="Dependency" dataDxfId="153"/>
    <tableColumn id="12" xr3:uid="{36F66342-4897-3D48-B96B-71B0734889A5}" name="Test 1" dataDxfId="152"/>
    <tableColumn id="10" xr3:uid="{7FE5DC9B-6534-0E47-9DE7-3B926E4C9E93}" name="Test 2" dataDxfId="151"/>
    <tableColumn id="2" xr3:uid="{B9967632-3249-EA4A-A375-C9085B3EE56A}" name="Test 3" dataDxfId="150"/>
    <tableColumn id="9" xr3:uid="{A656D5B2-43BE-D144-B69B-B013AE6BC6D4}" name="Description" dataDxfId="1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43" dataDxfId="141" headerRowBorderDxfId="142" tableBorderDxfId="140" totalsRowBorderDxfId="139">
  <autoFilter ref="A9:J12" xr:uid="{B089C5C3-2CCE-4800-96CA-2131BB6E3E4F}"/>
  <tableColumns count="10">
    <tableColumn id="1" xr3:uid="{29F8658A-9F09-7042-A7EC-353D08C08D34}" name="Variable" dataDxfId="138"/>
    <tableColumn id="4" xr3:uid="{0AC5C09B-7B5C-9640-A6C7-5BA8E05A9F0D}" name="Value" dataDxfId="137"/>
    <tableColumn id="5" xr3:uid="{4A165AEE-D3E0-DB4C-9890-DA2D18843B58}" name="Unit" dataDxfId="136"/>
    <tableColumn id="6" xr3:uid="{23F62B44-EB3B-FD48-85F1-55541D28F146}" name="Comparisons" dataDxfId="135"/>
    <tableColumn id="7" xr3:uid="{24641755-61AF-6C44-A79C-0EC6F77B3090}" name="Variable Type" dataDxfId="134"/>
    <tableColumn id="8" xr3:uid="{8EB70C81-0937-1548-8A36-195915CD1F99}" name="Dependency" dataDxfId="133"/>
    <tableColumn id="12" xr3:uid="{636C1BEE-1088-1842-B84F-652A0A7EFF6A}" name="Test 1" dataDxfId="132"/>
    <tableColumn id="10" xr3:uid="{611EFDE4-0DDB-044D-8690-A970063DA108}" name="Test 2" dataDxfId="131"/>
    <tableColumn id="2" xr3:uid="{2E2B9EE9-BE3C-354D-8E63-B39DE80C44A0}" name="Test 3" dataDxfId="130"/>
    <tableColumn id="9" xr3:uid="{F8DFB1CD-985B-4E45-BA3D-DD47F4100DAE}" name="Description" dataDxfId="1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62" totalsRowShown="0" headerRowDxfId="60" dataDxfId="58" headerRowBorderDxfId="59" tableBorderDxfId="57" totalsRowBorderDxfId="56">
  <autoFilter ref="A9:J62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5" zeroHeight="1"/>
  <cols>
    <col min="1" max="2" width="3.28515625" style="36" hidden="1" customWidth="1"/>
    <col min="3" max="3" width="2.42578125" style="36" customWidth="1"/>
    <col min="4" max="4" width="13.7109375" style="36" customWidth="1"/>
    <col min="5" max="5" width="51.28515625" style="37" bestFit="1" customWidth="1"/>
    <col min="6" max="6" width="15.7109375" style="38" bestFit="1" customWidth="1"/>
    <col min="7" max="9" width="13.28515625" style="36" customWidth="1"/>
    <col min="10" max="10" width="48.7109375" style="36" customWidth="1"/>
    <col min="11" max="11" width="2.42578125" style="36" customWidth="1"/>
    <col min="12" max="12" width="0" style="36" hidden="1" customWidth="1"/>
    <col min="13" max="16384" width="9" style="36" hidden="1"/>
  </cols>
  <sheetData>
    <row r="3" spans="4:10"/>
    <row r="4" spans="4:10" ht="18.7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5.25">
      <c r="D5" s="60" t="s">
        <v>39</v>
      </c>
      <c r="E5" s="60"/>
      <c r="F5" s="60"/>
      <c r="G5" s="60"/>
      <c r="H5" s="60"/>
      <c r="I5" s="60"/>
      <c r="J5" s="60"/>
    </row>
    <row r="6" spans="4:10" ht="18.75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6.25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7.5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.75">
      <c r="D9" s="40">
        <v>3</v>
      </c>
      <c r="E9" s="41"/>
      <c r="F9" s="42"/>
      <c r="G9" s="40"/>
      <c r="H9" s="40"/>
      <c r="I9" s="40"/>
      <c r="J9" s="41"/>
    </row>
    <row r="10" spans="4:10" ht="18.75">
      <c r="D10" s="40">
        <v>4</v>
      </c>
      <c r="E10" s="41"/>
      <c r="F10" s="42"/>
      <c r="G10" s="40"/>
      <c r="H10" s="40"/>
      <c r="I10" s="40"/>
      <c r="J10" s="41"/>
    </row>
    <row r="11" spans="4:10" ht="18.75">
      <c r="D11" s="40">
        <v>5</v>
      </c>
      <c r="E11" s="41"/>
      <c r="F11" s="42"/>
      <c r="G11" s="40"/>
      <c r="H11" s="40"/>
      <c r="I11" s="40"/>
      <c r="J11" s="41"/>
    </row>
    <row r="12" spans="4:10" ht="18.75">
      <c r="D12" s="40">
        <v>6</v>
      </c>
      <c r="E12" s="41"/>
      <c r="F12" s="42"/>
      <c r="G12" s="40"/>
      <c r="H12" s="40"/>
      <c r="I12" s="40"/>
      <c r="J12" s="41"/>
    </row>
    <row r="13" spans="4:10" ht="18.75">
      <c r="D13" s="40">
        <v>7</v>
      </c>
      <c r="E13" s="41"/>
      <c r="F13" s="42"/>
      <c r="G13" s="40"/>
      <c r="H13" s="40"/>
      <c r="I13" s="40"/>
      <c r="J13" s="41"/>
    </row>
    <row r="14" spans="4:10" ht="18.75">
      <c r="D14" s="40">
        <v>8</v>
      </c>
      <c r="E14" s="41"/>
      <c r="F14" s="42"/>
      <c r="G14" s="40"/>
      <c r="H14" s="40"/>
      <c r="I14" s="40"/>
      <c r="J14" s="41"/>
    </row>
    <row r="15" spans="4:10" ht="18.75">
      <c r="D15" s="40">
        <v>9</v>
      </c>
      <c r="E15" s="41"/>
      <c r="F15" s="42"/>
      <c r="G15" s="40"/>
      <c r="H15" s="40"/>
      <c r="I15" s="40"/>
      <c r="J15" s="41"/>
    </row>
    <row r="16" spans="4:10" ht="18.75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IF(COUNTIF(Table1931213142[Test 3],1)=COUNTA(Table1931213142[Value]),"Ready","Not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0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5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94" priority="7">
      <formula>IF(AND($B11&lt;&gt;"",$I11=0),1,0)</formula>
    </cfRule>
    <cfRule type="expression" dxfId="193" priority="8">
      <formula>IF($B11&lt;&gt;"",1,0)</formula>
    </cfRule>
    <cfRule type="expression" dxfId="192" priority="9">
      <formula>$I11=0</formula>
    </cfRule>
  </conditionalFormatting>
  <conditionalFormatting sqref="B10">
    <cfRule type="expression" dxfId="191" priority="1">
      <formula>IF(AND($B10&lt;&gt;"",$I10=0),1,0)</formula>
    </cfRule>
    <cfRule type="expression" dxfId="190" priority="2">
      <formula>IF($B10&lt;&gt;"",1,0)</formula>
    </cfRule>
    <cfRule type="expression" dxfId="189" priority="3">
      <formula>$I10=0</formula>
    </cfRule>
  </conditionalFormatting>
  <conditionalFormatting sqref="J4">
    <cfRule type="expression" dxfId="188" priority="2056">
      <formula>IF(COUNTA($B$10:$B$11)&lt;&gt;COUNTIF($I$10:$I$11,1),1,0)</formula>
    </cfRule>
    <cfRule type="expression" dxfId="187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IF(COUNTIF(Table1931213143[Test 3],1)=COUNTA(Table1931213143[Value]),"Ready","Not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5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5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5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5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71" priority="7">
      <formula>IF(AND($B11&lt;&gt;"",$I11=0),1,0)</formula>
    </cfRule>
    <cfRule type="expression" dxfId="170" priority="8">
      <formula>IF($B11&lt;&gt;"",1,0)</formula>
    </cfRule>
    <cfRule type="expression" dxfId="169" priority="9">
      <formula>$I11=0</formula>
    </cfRule>
  </conditionalFormatting>
  <conditionalFormatting sqref="B10">
    <cfRule type="expression" dxfId="168" priority="1">
      <formula>IF(AND($B10&lt;&gt;"",$I10=0),1,0)</formula>
    </cfRule>
    <cfRule type="expression" dxfId="167" priority="2">
      <formula>IF($B10&lt;&gt;"",1,0)</formula>
    </cfRule>
    <cfRule type="expression" dxfId="166" priority="3">
      <formula>$I10=0</formula>
    </cfRule>
  </conditionalFormatting>
  <conditionalFormatting sqref="J4">
    <cfRule type="expression" dxfId="165" priority="2058">
      <formula>IF(COUNTA($B$10:$B$13)&lt;&gt;COUNTIF($I$10:$I$13,1),1,0)</formula>
    </cfRule>
    <cfRule type="expression" dxfId="164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IF(COUNTIF(Table1931213144[Test 3],1)=COUNTA(Table1931213144[Value]),"Ready","Not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0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0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5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48" priority="7">
      <formula>IF(AND($B10&lt;&gt;"",$I10=0),1,0)</formula>
    </cfRule>
    <cfRule type="expression" dxfId="147" priority="8">
      <formula>IF($B10&lt;&gt;"",1,0)</formula>
    </cfRule>
    <cfRule type="expression" dxfId="146" priority="9">
      <formula>$I10=0</formula>
    </cfRule>
  </conditionalFormatting>
  <conditionalFormatting sqref="J4">
    <cfRule type="expression" dxfId="145" priority="2062">
      <formula>IF(COUNTA($B$10:$B$12)&lt;&gt;COUNTIF($I$10:$I$12,1),1,0)</formula>
    </cfRule>
    <cfRule type="expression" dxfId="144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6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4.65" customHeight="1"/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IF(COUNTIF(Table193121314[Test 3],1)=COUNTA(Table193121314[Value]),"Ready","Not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0">
      <c r="A10" s="46" t="s">
        <v>132</v>
      </c>
      <c r="B10" s="33">
        <v>323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108">
      <c r="A11" s="46" t="s">
        <v>157</v>
      </c>
      <c r="B11" s="33"/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3</v>
      </c>
      <c r="I11" s="44">
        <f>IF('[2]Model Selection'!$B$10=1,1,0)</f>
        <v>0</v>
      </c>
      <c r="J11" s="5" t="s">
        <v>180</v>
      </c>
    </row>
    <row r="12" spans="1:10" ht="108">
      <c r="A12" s="46" t="s">
        <v>158</v>
      </c>
      <c r="B12" s="33"/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3</v>
      </c>
      <c r="I12" s="44">
        <f>IF('[2]Model Selection'!$B$10=1,1,0)</f>
        <v>0</v>
      </c>
      <c r="J12" s="5" t="s">
        <v>180</v>
      </c>
    </row>
    <row r="13" spans="1:10" ht="108">
      <c r="A13" s="46" t="s">
        <v>199</v>
      </c>
      <c r="B13" s="33"/>
      <c r="C13" s="35" t="s">
        <v>159</v>
      </c>
      <c r="D13" s="1" t="s">
        <v>24</v>
      </c>
      <c r="E13" s="1" t="s">
        <v>7</v>
      </c>
      <c r="F13" s="2" t="s">
        <v>5</v>
      </c>
      <c r="G13" s="1"/>
      <c r="H13" s="55">
        <f>[1]Initialization!$B$10</f>
        <v>3</v>
      </c>
      <c r="I13" s="44">
        <f>IF('[2]Model Selection'!$B$10=1,1,0)</f>
        <v>0</v>
      </c>
      <c r="J13" s="5" t="s">
        <v>180</v>
      </c>
    </row>
    <row r="14" spans="1:10" ht="63">
      <c r="A14" s="4" t="s">
        <v>71</v>
      </c>
      <c r="B14" s="33">
        <v>28.870999999999999</v>
      </c>
      <c r="C14" s="35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63">
      <c r="A15" s="4" t="s">
        <v>74</v>
      </c>
      <c r="B15" s="33">
        <v>29.675999999999998</v>
      </c>
      <c r="C15" s="35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63">
      <c r="A16" s="4" t="s">
        <v>197</v>
      </c>
      <c r="B16" s="33">
        <v>17.901</v>
      </c>
      <c r="C16" s="35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7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7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7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23">
      <c r="A20" s="46" t="s">
        <v>163</v>
      </c>
      <c r="B20" s="33">
        <f>0.0000434*EXP(15675/(8.314*$B$10))</f>
        <v>1.487639278386854E-2</v>
      </c>
      <c r="C20" s="35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5" t="s">
        <v>183</v>
      </c>
    </row>
    <row r="21" spans="1:10" ht="123">
      <c r="A21" s="46" t="s">
        <v>164</v>
      </c>
      <c r="B21" s="33">
        <f>0.0000179*EXP(15716/(8.314*$B$10))</f>
        <v>6.2300506970614433E-3</v>
      </c>
      <c r="C21" s="35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5" t="s">
        <v>183</v>
      </c>
    </row>
    <row r="22" spans="1:10" ht="123">
      <c r="A22" s="46" t="s">
        <v>196</v>
      </c>
      <c r="B22" s="56">
        <f>0.0000000032*EXP(54729/(8.314*$B$10))</f>
        <v>2.2703229200334412</v>
      </c>
      <c r="C22" s="35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5" t="s">
        <v>183</v>
      </c>
    </row>
    <row r="23" spans="1:10" ht="63">
      <c r="A23" s="46" t="s">
        <v>165</v>
      </c>
      <c r="B23" s="33">
        <v>8.1359999999999992</v>
      </c>
      <c r="C23" s="35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5" t="s">
        <v>184</v>
      </c>
    </row>
    <row r="24" spans="1:10" ht="63">
      <c r="A24" s="46" t="s">
        <v>166</v>
      </c>
      <c r="B24" s="33">
        <v>7.9169999999999998</v>
      </c>
      <c r="C24" s="35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5" t="s">
        <v>184</v>
      </c>
    </row>
    <row r="25" spans="1:10" ht="63">
      <c r="A25" s="46" t="s">
        <v>195</v>
      </c>
      <c r="B25" s="33">
        <v>13.12</v>
      </c>
      <c r="C25" s="35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5" t="s">
        <v>184</v>
      </c>
    </row>
    <row r="26" spans="1:10" ht="78">
      <c r="A26" s="46" t="s">
        <v>167</v>
      </c>
      <c r="B26" s="33"/>
      <c r="C26" s="35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5" t="s">
        <v>185</v>
      </c>
    </row>
    <row r="27" spans="1:10" ht="78">
      <c r="A27" s="46" t="s">
        <v>168</v>
      </c>
      <c r="B27" s="33"/>
      <c r="C27" s="35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5" t="s">
        <v>185</v>
      </c>
    </row>
    <row r="28" spans="1:10" ht="78">
      <c r="A28" s="46" t="s">
        <v>194</v>
      </c>
      <c r="B28" s="33"/>
      <c r="C28" s="35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5" t="s">
        <v>185</v>
      </c>
    </row>
    <row r="29" spans="1:10" ht="78">
      <c r="A29" s="46" t="s">
        <v>169</v>
      </c>
      <c r="B29" s="33"/>
      <c r="C29" s="35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5" t="s">
        <v>186</v>
      </c>
    </row>
    <row r="30" spans="1:10" ht="78">
      <c r="A30" s="46" t="s">
        <v>170</v>
      </c>
      <c r="B30" s="33"/>
      <c r="C30" s="35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5" t="s">
        <v>186</v>
      </c>
    </row>
    <row r="31" spans="1:10" ht="78">
      <c r="A31" s="46" t="s">
        <v>193</v>
      </c>
      <c r="B31" s="33"/>
      <c r="C31" s="35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5" t="s">
        <v>186</v>
      </c>
    </row>
    <row r="32" spans="1:10" ht="78">
      <c r="A32" s="46" t="s">
        <v>171</v>
      </c>
      <c r="B32" s="33"/>
      <c r="C32" s="35" t="s">
        <v>202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5" t="s">
        <v>187</v>
      </c>
    </row>
    <row r="33" spans="1:10" ht="78">
      <c r="A33" s="46" t="s">
        <v>172</v>
      </c>
      <c r="B33" s="33"/>
      <c r="C33" s="35" t="s">
        <v>202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5" t="s">
        <v>187</v>
      </c>
    </row>
    <row r="34" spans="1:10" ht="78">
      <c r="A34" s="46" t="s">
        <v>192</v>
      </c>
      <c r="B34" s="33"/>
      <c r="C34" s="35" t="s">
        <v>202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5" t="s">
        <v>187</v>
      </c>
    </row>
    <row r="35" spans="1:10" ht="78">
      <c r="A35" s="46" t="s">
        <v>173</v>
      </c>
      <c r="B35" s="33"/>
      <c r="C35" s="35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5" t="s">
        <v>188</v>
      </c>
    </row>
    <row r="36" spans="1:10" ht="78">
      <c r="A36" s="46" t="s">
        <v>174</v>
      </c>
      <c r="B36" s="33"/>
      <c r="C36" s="35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5" t="s">
        <v>188</v>
      </c>
    </row>
    <row r="37" spans="1:10" ht="78">
      <c r="A37" s="46" t="s">
        <v>191</v>
      </c>
      <c r="B37" s="33"/>
      <c r="C37" s="35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5" t="s">
        <v>188</v>
      </c>
    </row>
    <row r="38" spans="1:10" ht="108">
      <c r="A38" s="46" t="s">
        <v>175</v>
      </c>
      <c r="B38" s="33"/>
      <c r="C38" s="35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5" t="s">
        <v>203</v>
      </c>
    </row>
    <row r="39" spans="1:10" ht="108">
      <c r="A39" s="46" t="s">
        <v>176</v>
      </c>
      <c r="B39" s="33"/>
      <c r="C39" s="35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5" t="s">
        <v>203</v>
      </c>
    </row>
    <row r="40" spans="1:10" ht="108">
      <c r="A40" s="46" t="s">
        <v>190</v>
      </c>
      <c r="B40" s="33"/>
      <c r="C40" s="35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5" t="s">
        <v>203</v>
      </c>
    </row>
    <row r="41" spans="1:10" ht="78">
      <c r="A41" s="46" t="s">
        <v>177</v>
      </c>
      <c r="B41" s="33"/>
      <c r="C41" s="35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5" t="s">
        <v>204</v>
      </c>
    </row>
    <row r="42" spans="1:10" ht="78">
      <c r="A42" s="46" t="s">
        <v>178</v>
      </c>
      <c r="B42" s="33"/>
      <c r="C42" s="35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5" t="s">
        <v>204</v>
      </c>
    </row>
    <row r="43" spans="1:10" ht="78">
      <c r="A43" s="46" t="s">
        <v>189</v>
      </c>
      <c r="B43" s="33"/>
      <c r="C43" s="35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5" t="s">
        <v>204</v>
      </c>
    </row>
    <row r="44" spans="1:10" ht="45">
      <c r="A44" s="57" t="s">
        <v>205</v>
      </c>
      <c r="B44" s="58"/>
      <c r="C44" s="35" t="s">
        <v>161</v>
      </c>
      <c r="D44" s="1" t="s">
        <v>24</v>
      </c>
      <c r="E44" s="1" t="s">
        <v>11</v>
      </c>
      <c r="F44" s="2" t="s">
        <v>5</v>
      </c>
      <c r="G44" s="1">
        <v>1</v>
      </c>
      <c r="H44" s="55">
        <f>[1]Initialization!$B$10</f>
        <v>3</v>
      </c>
      <c r="I44" s="44">
        <f>IF(OR('[2]Model Selection'!$B$10=5,'[2]Model Selection'!$B$10=6),1,0)</f>
        <v>0</v>
      </c>
      <c r="J44" s="59" t="s">
        <v>206</v>
      </c>
    </row>
    <row r="45" spans="1:10" ht="45">
      <c r="A45" s="57" t="s">
        <v>207</v>
      </c>
      <c r="B45" s="58"/>
      <c r="C45" s="35" t="s">
        <v>161</v>
      </c>
      <c r="D45" s="1" t="s">
        <v>24</v>
      </c>
      <c r="E45" s="1" t="s">
        <v>11</v>
      </c>
      <c r="F45" s="2" t="s">
        <v>5</v>
      </c>
      <c r="G45" s="1"/>
      <c r="H45" s="55">
        <f>[1]Initialization!$B$10</f>
        <v>3</v>
      </c>
      <c r="I45" s="44">
        <f>IF(OR('[2]Model Selection'!$B$10=5,'[2]Model Selection'!$B$10=6),1,0)</f>
        <v>0</v>
      </c>
      <c r="J45" s="59" t="s">
        <v>208</v>
      </c>
    </row>
    <row r="46" spans="1:10" ht="45">
      <c r="A46" s="57" t="s">
        <v>209</v>
      </c>
      <c r="B46" s="58"/>
      <c r="C46" s="35" t="s">
        <v>161</v>
      </c>
      <c r="D46" s="1" t="s">
        <v>24</v>
      </c>
      <c r="E46" s="1" t="s">
        <v>11</v>
      </c>
      <c r="F46" s="2" t="s">
        <v>5</v>
      </c>
      <c r="G46" s="1"/>
      <c r="H46" s="55">
        <f>[1]Initialization!$B$10</f>
        <v>3</v>
      </c>
      <c r="I46" s="44">
        <f>IF(OR('[2]Model Selection'!$B$10=5,'[2]Model Selection'!$B$10=6),1,0)</f>
        <v>0</v>
      </c>
      <c r="J46" s="59" t="s">
        <v>208</v>
      </c>
    </row>
    <row r="47" spans="1:10" ht="45">
      <c r="A47" s="57" t="s">
        <v>210</v>
      </c>
      <c r="B47" s="58"/>
      <c r="C47" s="35" t="s">
        <v>161</v>
      </c>
      <c r="D47" s="1" t="s">
        <v>24</v>
      </c>
      <c r="E47" s="1" t="s">
        <v>11</v>
      </c>
      <c r="F47" s="2" t="s">
        <v>5</v>
      </c>
      <c r="G47" s="1">
        <v>1</v>
      </c>
      <c r="H47" s="55">
        <f>[1]Initialization!$B$10</f>
        <v>3</v>
      </c>
      <c r="I47" s="44">
        <f>IF(OR('[2]Model Selection'!$B$10=5,'[2]Model Selection'!$B$10=6),1,0)</f>
        <v>0</v>
      </c>
      <c r="J47" s="59" t="s">
        <v>211</v>
      </c>
    </row>
    <row r="48" spans="1:10" ht="45">
      <c r="A48" s="57" t="s">
        <v>212</v>
      </c>
      <c r="B48" s="58"/>
      <c r="C48" s="35" t="s">
        <v>161</v>
      </c>
      <c r="D48" s="1" t="s">
        <v>24</v>
      </c>
      <c r="E48" s="1" t="s">
        <v>11</v>
      </c>
      <c r="F48" s="2" t="s">
        <v>5</v>
      </c>
      <c r="G48" s="1"/>
      <c r="H48" s="55">
        <f>[1]Initialization!$B$10</f>
        <v>3</v>
      </c>
      <c r="I48" s="44">
        <f>IF(OR('[2]Model Selection'!$B$10=5,'[2]Model Selection'!$B$10=6),1,0)</f>
        <v>0</v>
      </c>
      <c r="J48" s="59" t="s">
        <v>213</v>
      </c>
    </row>
    <row r="49" spans="1:10" ht="45">
      <c r="A49" s="57" t="s">
        <v>214</v>
      </c>
      <c r="B49" s="58"/>
      <c r="C49" s="35" t="s">
        <v>161</v>
      </c>
      <c r="D49" s="1" t="s">
        <v>24</v>
      </c>
      <c r="E49" s="1" t="s">
        <v>11</v>
      </c>
      <c r="F49" s="2" t="s">
        <v>5</v>
      </c>
      <c r="G49" s="1"/>
      <c r="H49" s="55">
        <f>[1]Initialization!$B$10</f>
        <v>3</v>
      </c>
      <c r="I49" s="44">
        <f>IF(OR('[2]Model Selection'!$B$10=5,'[2]Model Selection'!$B$10=6),1,0)</f>
        <v>0</v>
      </c>
      <c r="J49" s="59" t="s">
        <v>213</v>
      </c>
    </row>
    <row r="50" spans="1:10" ht="45">
      <c r="A50" s="57" t="s">
        <v>215</v>
      </c>
      <c r="B50" s="58"/>
      <c r="C50" s="35" t="s">
        <v>160</v>
      </c>
      <c r="D50" s="1" t="s">
        <v>24</v>
      </c>
      <c r="E50" s="1" t="s">
        <v>11</v>
      </c>
      <c r="F50" s="2" t="s">
        <v>5</v>
      </c>
      <c r="G50" s="1">
        <v>1</v>
      </c>
      <c r="H50" s="55">
        <f>[1]Initialization!$B$10</f>
        <v>3</v>
      </c>
      <c r="I50" s="44">
        <f>IF(OR('[2]Model Selection'!$B$10=5,'[2]Model Selection'!$B$10=6),1,0)</f>
        <v>0</v>
      </c>
      <c r="J50" s="59" t="s">
        <v>216</v>
      </c>
    </row>
    <row r="51" spans="1:10" ht="45">
      <c r="A51" s="57" t="s">
        <v>217</v>
      </c>
      <c r="B51" s="58"/>
      <c r="C51" s="35" t="s">
        <v>160</v>
      </c>
      <c r="D51" s="1" t="s">
        <v>24</v>
      </c>
      <c r="E51" s="1" t="s">
        <v>11</v>
      </c>
      <c r="F51" s="2" t="s">
        <v>5</v>
      </c>
      <c r="G51" s="1"/>
      <c r="H51" s="55">
        <f>[1]Initialization!$B$10</f>
        <v>3</v>
      </c>
      <c r="I51" s="44">
        <f>IF(OR('[2]Model Selection'!$B$10=5,'[2]Model Selection'!$B$10=6),1,0)</f>
        <v>0</v>
      </c>
      <c r="J51" s="59" t="s">
        <v>218</v>
      </c>
    </row>
    <row r="52" spans="1:10" ht="45">
      <c r="A52" s="57" t="s">
        <v>219</v>
      </c>
      <c r="B52" s="58"/>
      <c r="C52" s="35" t="s">
        <v>160</v>
      </c>
      <c r="D52" s="1" t="s">
        <v>24</v>
      </c>
      <c r="E52" s="1" t="s">
        <v>11</v>
      </c>
      <c r="F52" s="2" t="s">
        <v>5</v>
      </c>
      <c r="G52" s="1"/>
      <c r="H52" s="55">
        <f>[1]Initialization!$B$10</f>
        <v>3</v>
      </c>
      <c r="I52" s="44">
        <f>IF(OR('[2]Model Selection'!$B$10=5,'[2]Model Selection'!$B$10=6),1,0)</f>
        <v>0</v>
      </c>
      <c r="J52" s="59" t="s">
        <v>218</v>
      </c>
    </row>
    <row r="53" spans="1:10" ht="45">
      <c r="A53" s="57" t="s">
        <v>220</v>
      </c>
      <c r="B53" s="58"/>
      <c r="C53" s="35" t="s">
        <v>160</v>
      </c>
      <c r="D53" s="1" t="s">
        <v>24</v>
      </c>
      <c r="E53" s="1" t="s">
        <v>11</v>
      </c>
      <c r="F53" s="2" t="s">
        <v>5</v>
      </c>
      <c r="G53" s="1">
        <v>1</v>
      </c>
      <c r="H53" s="55">
        <f>[1]Initialization!$B$10</f>
        <v>3</v>
      </c>
      <c r="I53" s="44">
        <f>IF(OR('[2]Model Selection'!$B$10=5,'[2]Model Selection'!$B$10=6),1,0)</f>
        <v>0</v>
      </c>
      <c r="J53" s="59" t="s">
        <v>221</v>
      </c>
    </row>
    <row r="54" spans="1:10" ht="45">
      <c r="A54" s="57" t="s">
        <v>222</v>
      </c>
      <c r="B54" s="58"/>
      <c r="C54" s="35" t="s">
        <v>160</v>
      </c>
      <c r="D54" s="1" t="s">
        <v>24</v>
      </c>
      <c r="E54" s="1" t="s">
        <v>11</v>
      </c>
      <c r="F54" s="2" t="s">
        <v>5</v>
      </c>
      <c r="G54" s="1"/>
      <c r="H54" s="55">
        <f>[1]Initialization!$B$10</f>
        <v>3</v>
      </c>
      <c r="I54" s="44">
        <f>IF(OR('[2]Model Selection'!$B$10=5,'[2]Model Selection'!$B$10=6),1,0)</f>
        <v>0</v>
      </c>
      <c r="J54" s="59" t="s">
        <v>223</v>
      </c>
    </row>
    <row r="55" spans="1:10" ht="45">
      <c r="A55" s="57" t="s">
        <v>224</v>
      </c>
      <c r="B55" s="58"/>
      <c r="C55" s="35" t="s">
        <v>160</v>
      </c>
      <c r="D55" s="1" t="s">
        <v>24</v>
      </c>
      <c r="E55" s="1" t="s">
        <v>11</v>
      </c>
      <c r="F55" s="2" t="s">
        <v>5</v>
      </c>
      <c r="G55" s="1"/>
      <c r="H55" s="55">
        <f>[1]Initialization!$B$10</f>
        <v>3</v>
      </c>
      <c r="I55" s="44">
        <f>IF(OR('[2]Model Selection'!$B$10=5,'[2]Model Selection'!$B$10=6),1,0)</f>
        <v>0</v>
      </c>
      <c r="J55" s="59" t="s">
        <v>223</v>
      </c>
    </row>
    <row r="56" spans="1:10" ht="45">
      <c r="A56" s="57" t="s">
        <v>225</v>
      </c>
      <c r="B56" s="58"/>
      <c r="C56" s="35" t="s">
        <v>3</v>
      </c>
      <c r="D56" s="1" t="s">
        <v>24</v>
      </c>
      <c r="E56" s="1" t="s">
        <v>11</v>
      </c>
      <c r="F56" s="2" t="s">
        <v>5</v>
      </c>
      <c r="G56" s="1">
        <v>1</v>
      </c>
      <c r="H56" s="55">
        <f>[1]Initialization!$B$10</f>
        <v>3</v>
      </c>
      <c r="I56" s="44">
        <f>IF(OR('[2]Model Selection'!$B$10=5,'[2]Model Selection'!$B$10=6),1,0)</f>
        <v>0</v>
      </c>
      <c r="J56" s="59" t="s">
        <v>226</v>
      </c>
    </row>
    <row r="57" spans="1:10" ht="45">
      <c r="A57" s="57" t="s">
        <v>227</v>
      </c>
      <c r="B57" s="58"/>
      <c r="C57" s="35" t="s">
        <v>3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3</v>
      </c>
      <c r="I57" s="44">
        <f>IF(OR('[2]Model Selection'!$B$10=5,'[2]Model Selection'!$B$10=6),1,0)</f>
        <v>0</v>
      </c>
      <c r="J57" s="59" t="s">
        <v>228</v>
      </c>
    </row>
    <row r="58" spans="1:10" ht="45">
      <c r="A58" s="57" t="s">
        <v>229</v>
      </c>
      <c r="B58" s="58"/>
      <c r="C58" s="35" t="s">
        <v>3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3</v>
      </c>
      <c r="I58" s="44">
        <f>IF(OR('[2]Model Selection'!$B$10=5,'[2]Model Selection'!$B$10=6),1,0)</f>
        <v>0</v>
      </c>
      <c r="J58" s="59" t="s">
        <v>228</v>
      </c>
    </row>
    <row r="59" spans="1:10" ht="45">
      <c r="A59" s="57" t="s">
        <v>230</v>
      </c>
      <c r="B59" s="58"/>
      <c r="C59" s="35" t="s">
        <v>3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3</v>
      </c>
      <c r="I59" s="44">
        <f>IF(OR('[2]Model Selection'!$B$10=5,'[2]Model Selection'!$B$10=6),1,0)</f>
        <v>0</v>
      </c>
      <c r="J59" s="59" t="s">
        <v>231</v>
      </c>
    </row>
    <row r="60" spans="1:10" ht="45">
      <c r="A60" s="57" t="s">
        <v>232</v>
      </c>
      <c r="B60" s="58"/>
      <c r="C60" s="35" t="s">
        <v>3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3</v>
      </c>
      <c r="I60" s="44">
        <f>IF(OR('[2]Model Selection'!$B$10=5,'[2]Model Selection'!$B$10=6),1,0)</f>
        <v>0</v>
      </c>
      <c r="J60" s="59" t="s">
        <v>233</v>
      </c>
    </row>
    <row r="61" spans="1:10" ht="45">
      <c r="A61" s="57" t="s">
        <v>234</v>
      </c>
      <c r="B61" s="58"/>
      <c r="C61" s="35" t="s">
        <v>3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3</v>
      </c>
      <c r="I61" s="44">
        <f>IF(OR('[2]Model Selection'!$B$10=5,'[2]Model Selection'!$B$10=6),1,0)</f>
        <v>0</v>
      </c>
      <c r="J61" s="59" t="s">
        <v>233</v>
      </c>
    </row>
    <row r="62" spans="1:10" ht="15">
      <c r="A62" s="8" t="s">
        <v>88</v>
      </c>
      <c r="B62" s="34"/>
      <c r="C62" s="9"/>
      <c r="D62" s="10"/>
      <c r="E62" s="10"/>
      <c r="F62" s="9"/>
      <c r="G62" s="10">
        <v>1</v>
      </c>
      <c r="H62" s="10">
        <v>1</v>
      </c>
      <c r="I62" s="11">
        <v>0</v>
      </c>
      <c r="J62" s="12" t="s">
        <v>89</v>
      </c>
    </row>
  </sheetData>
  <sheetProtection algorithmName="SHA-512" hashValue="HEB5z/+4ETJvH/KXBHKRlAwySDLkDu6h9Y19BC3IO7pFrX0vyJobB9ZlQxIuhE5Ojds4bYqy44vCxuuRLWsz/w==" saltValue="beeHfufHE0LcASaYwbyghw==" spinCount="100000" sheet="1" objects="1" scenarios="1" selectLockedCells="1"/>
  <mergeCells count="2">
    <mergeCell ref="A3:J3"/>
    <mergeCell ref="J4:J8"/>
  </mergeCells>
  <conditionalFormatting sqref="B10:B11 B41 B38 B35 B32 B29 B26 B23 B20 B17 B14 B62">
    <cfRule type="expression" dxfId="128" priority="82">
      <formula>IF(AND($B10&lt;&gt;"",$I10=0),1,0)</formula>
    </cfRule>
    <cfRule type="expression" dxfId="127" priority="83">
      <formula>IF($B10&lt;&gt;"",1,0)</formula>
    </cfRule>
    <cfRule type="expression" dxfId="126" priority="84">
      <formula>$I10=0</formula>
    </cfRule>
  </conditionalFormatting>
  <conditionalFormatting sqref="B14">
    <cfRule type="expression" dxfId="125" priority="73">
      <formula>IF(AND($B14&lt;&gt;"",$I14=0),1,0)</formula>
    </cfRule>
    <cfRule type="expression" dxfId="124" priority="74">
      <formula>IF($B14&lt;&gt;"",1,0)</formula>
    </cfRule>
    <cfRule type="expression" dxfId="123" priority="75">
      <formula>$I14=0</formula>
    </cfRule>
  </conditionalFormatting>
  <conditionalFormatting sqref="B10">
    <cfRule type="expression" dxfId="122" priority="70">
      <formula>IF(AND($B10&lt;&gt;"",$I10=0),1,0)</formula>
    </cfRule>
    <cfRule type="expression" dxfId="121" priority="71">
      <formula>IF($B10&lt;&gt;"",1,0)</formula>
    </cfRule>
    <cfRule type="expression" dxfId="120" priority="72">
      <formula>$I10=0</formula>
    </cfRule>
  </conditionalFormatting>
  <conditionalFormatting sqref="B42:B43">
    <cfRule type="expression" dxfId="119" priority="61">
      <formula>IF(AND($B42&lt;&gt;"",$I42=0),1,0)</formula>
    </cfRule>
    <cfRule type="expression" dxfId="118" priority="62">
      <formula>IF($B42&lt;&gt;"",1,0)</formula>
    </cfRule>
    <cfRule type="expression" dxfId="117" priority="63">
      <formula>$I42=0</formula>
    </cfRule>
  </conditionalFormatting>
  <conditionalFormatting sqref="B39:B40">
    <cfRule type="expression" dxfId="116" priority="58">
      <formula>IF(AND($B39&lt;&gt;"",$I39=0),1,0)</formula>
    </cfRule>
    <cfRule type="expression" dxfId="115" priority="59">
      <formula>IF($B39&lt;&gt;"",1,0)</formula>
    </cfRule>
    <cfRule type="expression" dxfId="114" priority="60">
      <formula>$I39=0</formula>
    </cfRule>
  </conditionalFormatting>
  <conditionalFormatting sqref="B36:B37">
    <cfRule type="expression" dxfId="113" priority="55">
      <formula>IF(AND($B36&lt;&gt;"",$I36=0),1,0)</formula>
    </cfRule>
    <cfRule type="expression" dxfId="112" priority="56">
      <formula>IF($B36&lt;&gt;"",1,0)</formula>
    </cfRule>
    <cfRule type="expression" dxfId="111" priority="57">
      <formula>$I36=0</formula>
    </cfRule>
  </conditionalFormatting>
  <conditionalFormatting sqref="B33:B34">
    <cfRule type="expression" dxfId="110" priority="52">
      <formula>IF(AND($B33&lt;&gt;"",$I33=0),1,0)</formula>
    </cfRule>
    <cfRule type="expression" dxfId="109" priority="53">
      <formula>IF($B33&lt;&gt;"",1,0)</formula>
    </cfRule>
    <cfRule type="expression" dxfId="108" priority="54">
      <formula>$I33=0</formula>
    </cfRule>
  </conditionalFormatting>
  <conditionalFormatting sqref="B30:B31">
    <cfRule type="expression" dxfId="107" priority="49">
      <formula>IF(AND($B30&lt;&gt;"",$I30=0),1,0)</formula>
    </cfRule>
    <cfRule type="expression" dxfId="106" priority="50">
      <formula>IF($B30&lt;&gt;"",1,0)</formula>
    </cfRule>
    <cfRule type="expression" dxfId="105" priority="51">
      <formula>$I30=0</formula>
    </cfRule>
  </conditionalFormatting>
  <conditionalFormatting sqref="B27:B28">
    <cfRule type="expression" dxfId="104" priority="46">
      <formula>IF(AND($B27&lt;&gt;"",$I27=0),1,0)</formula>
    </cfRule>
    <cfRule type="expression" dxfId="103" priority="47">
      <formula>IF($B27&lt;&gt;"",1,0)</formula>
    </cfRule>
    <cfRule type="expression" dxfId="102" priority="48">
      <formula>$I27=0</formula>
    </cfRule>
  </conditionalFormatting>
  <conditionalFormatting sqref="B24:B25">
    <cfRule type="expression" dxfId="101" priority="43">
      <formula>IF(AND($B24&lt;&gt;"",$I24=0),1,0)</formula>
    </cfRule>
    <cfRule type="expression" dxfId="100" priority="44">
      <formula>IF($B24&lt;&gt;"",1,0)</formula>
    </cfRule>
    <cfRule type="expression" dxfId="99" priority="45">
      <formula>$I24=0</formula>
    </cfRule>
  </conditionalFormatting>
  <conditionalFormatting sqref="B21:B22">
    <cfRule type="expression" dxfId="98" priority="40">
      <formula>IF(AND($B21&lt;&gt;"",$I21=0),1,0)</formula>
    </cfRule>
    <cfRule type="expression" dxfId="97" priority="41">
      <formula>IF($B21&lt;&gt;"",1,0)</formula>
    </cfRule>
    <cfRule type="expression" dxfId="96" priority="42">
      <formula>$I21=0</formula>
    </cfRule>
  </conditionalFormatting>
  <conditionalFormatting sqref="B18:B19">
    <cfRule type="expression" dxfId="95" priority="31">
      <formula>IF(AND($B18&lt;&gt;"",$I18=0),1,0)</formula>
    </cfRule>
    <cfRule type="expression" dxfId="94" priority="32">
      <formula>IF($B18&lt;&gt;"",1,0)</formula>
    </cfRule>
    <cfRule type="expression" dxfId="93" priority="33">
      <formula>$I18=0</formula>
    </cfRule>
  </conditionalFormatting>
  <conditionalFormatting sqref="B15:B16">
    <cfRule type="expression" dxfId="92" priority="28">
      <formula>IF(AND($B15&lt;&gt;"",$I15=0),1,0)</formula>
    </cfRule>
    <cfRule type="expression" dxfId="91" priority="29">
      <formula>IF($B15&lt;&gt;"",1,0)</formula>
    </cfRule>
    <cfRule type="expression" dxfId="90" priority="30">
      <formula>$I15=0</formula>
    </cfRule>
  </conditionalFormatting>
  <conditionalFormatting sqref="B15:B16">
    <cfRule type="expression" dxfId="89" priority="25">
      <formula>IF(AND($B15&lt;&gt;"",$I15=0),1,0)</formula>
    </cfRule>
    <cfRule type="expression" dxfId="88" priority="26">
      <formula>IF($B15&lt;&gt;"",1,0)</formula>
    </cfRule>
    <cfRule type="expression" dxfId="87" priority="27">
      <formula>$I15=0</formula>
    </cfRule>
  </conditionalFormatting>
  <conditionalFormatting sqref="B12:B13">
    <cfRule type="expression" dxfId="86" priority="22">
      <formula>IF(AND($B12&lt;&gt;"",$I12=0),1,0)</formula>
    </cfRule>
    <cfRule type="expression" dxfId="85" priority="23">
      <formula>IF($B12&lt;&gt;"",1,0)</formula>
    </cfRule>
    <cfRule type="expression" dxfId="84" priority="24">
      <formula>$I12=0</formula>
    </cfRule>
  </conditionalFormatting>
  <conditionalFormatting sqref="J4">
    <cfRule type="expression" dxfId="83" priority="2264">
      <formula>IF(COUNTA($B$10:$B$62)&lt;&gt;COUNTIF($I$10:$I$62,1),1,0)</formula>
    </cfRule>
    <cfRule type="expression" dxfId="82" priority="2265">
      <formula>IF(COUNTA($B$10:$B$62)=COUNTIF($I$10:$I$62,1),1,0)</formula>
    </cfRule>
  </conditionalFormatting>
  <conditionalFormatting sqref="B44:B45 B47:B48 B50:B51 B53:B54 B56:B57 B59:B60">
    <cfRule type="expression" dxfId="81" priority="19">
      <formula>IF(AND($B44&lt;&gt;"",$I44=0),1,0)</formula>
    </cfRule>
    <cfRule type="expression" dxfId="80" priority="20">
      <formula>IF($B44&lt;&gt;"",1,0)</formula>
    </cfRule>
    <cfRule type="expression" dxfId="79" priority="21">
      <formula>$I44=0</formula>
    </cfRule>
  </conditionalFormatting>
  <conditionalFormatting sqref="B46">
    <cfRule type="expression" dxfId="78" priority="16">
      <formula>IF(AND($B46&lt;&gt;"",$I46=0),1,0)</formula>
    </cfRule>
    <cfRule type="expression" dxfId="77" priority="17">
      <formula>IF($B46&lt;&gt;"",1,0)</formula>
    </cfRule>
    <cfRule type="expression" dxfId="76" priority="18">
      <formula>$I46=0</formula>
    </cfRule>
  </conditionalFormatting>
  <conditionalFormatting sqref="B49">
    <cfRule type="expression" dxfId="75" priority="13">
      <formula>IF(AND($B49&lt;&gt;"",$I49=0),1,0)</formula>
    </cfRule>
    <cfRule type="expression" dxfId="74" priority="14">
      <formula>IF($B49&lt;&gt;"",1,0)</formula>
    </cfRule>
    <cfRule type="expression" dxfId="73" priority="15">
      <formula>$I49=0</formula>
    </cfRule>
  </conditionalFormatting>
  <conditionalFormatting sqref="B52">
    <cfRule type="expression" dxfId="72" priority="10">
      <formula>IF(AND($B52&lt;&gt;"",$I52=0),1,0)</formula>
    </cfRule>
    <cfRule type="expression" dxfId="71" priority="11">
      <formula>IF($B52&lt;&gt;"",1,0)</formula>
    </cfRule>
    <cfRule type="expression" dxfId="70" priority="12">
      <formula>$I52=0</formula>
    </cfRule>
  </conditionalFormatting>
  <conditionalFormatting sqref="B55">
    <cfRule type="expression" dxfId="69" priority="7">
      <formula>IF(AND($B55&lt;&gt;"",$I55=0),1,0)</formula>
    </cfRule>
    <cfRule type="expression" dxfId="68" priority="8">
      <formula>IF($B55&lt;&gt;"",1,0)</formula>
    </cfRule>
    <cfRule type="expression" dxfId="67" priority="9">
      <formula>$I55=0</formula>
    </cfRule>
  </conditionalFormatting>
  <conditionalFormatting sqref="B58">
    <cfRule type="expression" dxfId="66" priority="4">
      <formula>IF(AND($B58&lt;&gt;"",$I58=0),1,0)</formula>
    </cfRule>
    <cfRule type="expression" dxfId="65" priority="5">
      <formula>IF($B58&lt;&gt;"",1,0)</formula>
    </cfRule>
    <cfRule type="expression" dxfId="64" priority="6">
      <formula>$I58=0</formula>
    </cfRule>
  </conditionalFormatting>
  <conditionalFormatting sqref="B61">
    <cfRule type="expression" dxfId="63" priority="1">
      <formula>IF(AND($B61&lt;&gt;"",$I61=0),1,0)</formula>
    </cfRule>
    <cfRule type="expression" dxfId="62" priority="2">
      <formula>IF($B61&lt;&gt;"",1,0)</formula>
    </cfRule>
    <cfRule type="expression" dxfId="61" priority="3">
      <formula>$I61=0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E10:E62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F10:F62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D10:D62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IF(COUNTIF(Table19312131415[Test 3],1)=COUNTA(Table19312131415[Value]),"Ready","Not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5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5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5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5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IF(COUNTIF(Table1931213141516[Test 3],1)=COUNTA(Table1931213141516[Value]),"Ready","Not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5">
      <c r="A10" s="46" t="s">
        <v>127</v>
      </c>
      <c r="B10" s="33">
        <v>1000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5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89Tl5N3OZiZol5XywyJ8Bi5Fg+AL+4jh2TPB/X6tpqYx16c0y54IgfBWzXBqMWYKERhZxxaX8LQhUZmMRMK5WQ==" saltValue="qsiy8uw6/CEDrepBosKR7w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65" customHeight="1" zeroHeight="1"/>
  <cols>
    <col min="1" max="2" width="8.7109375" style="48" customWidth="1"/>
    <col min="3" max="3" width="13.140625" style="48" customWidth="1"/>
    <col min="4" max="4" width="13.42578125" style="48" customWidth="1"/>
    <col min="5" max="7" width="8.7109375" style="48" customWidth="1"/>
    <col min="8" max="8" width="14.7109375" style="48" customWidth="1"/>
    <col min="9" max="9" width="11.7109375" style="48" customWidth="1"/>
    <col min="10" max="10" width="10.28515625" style="48" customWidth="1"/>
    <col min="11" max="11" width="33.7109375" style="48" customWidth="1"/>
    <col min="12" max="12" width="40.7109375" style="48" customWidth="1"/>
    <col min="13" max="18" width="8.7109375" style="48" customWidth="1"/>
    <col min="19" max="48" width="0" style="48" hidden="1" customWidth="1"/>
    <col min="49" max="16384" width="8.7109375" style="48" hidden="1"/>
  </cols>
  <sheetData>
    <row r="1" spans="1:18" ht="14.6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>
      <c r="A2" s="65" t="s">
        <v>103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1:18" ht="15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P2"/>
  <sheetViews>
    <sheetView workbookViewId="0">
      <selection activeCell="CM2" sqref="CM2"/>
    </sheetView>
  </sheetViews>
  <sheetFormatPr defaultColWidth="8.7109375" defaultRowHeight="15"/>
  <sheetData>
    <row r="1" spans="1:6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205</v>
      </c>
      <c r="AS1" t="s">
        <v>207</v>
      </c>
      <c r="AT1" t="s">
        <v>209</v>
      </c>
      <c r="AU1" t="s">
        <v>210</v>
      </c>
      <c r="AV1" t="s">
        <v>212</v>
      </c>
      <c r="AW1" t="s">
        <v>214</v>
      </c>
      <c r="AX1" t="s">
        <v>215</v>
      </c>
      <c r="AY1" t="s">
        <v>217</v>
      </c>
      <c r="AZ1" t="s">
        <v>219</v>
      </c>
      <c r="BA1" t="s">
        <v>220</v>
      </c>
      <c r="BB1" t="s">
        <v>222</v>
      </c>
      <c r="BC1" t="s">
        <v>224</v>
      </c>
      <c r="BD1" t="s">
        <v>225</v>
      </c>
      <c r="BE1" t="s">
        <v>227</v>
      </c>
      <c r="BF1" t="s">
        <v>229</v>
      </c>
      <c r="BG1" t="s">
        <v>230</v>
      </c>
      <c r="BH1" t="s">
        <v>232</v>
      </c>
      <c r="BI1" t="s">
        <v>234</v>
      </c>
      <c r="BJ1" t="s">
        <v>88</v>
      </c>
      <c r="BK1" t="s">
        <v>84</v>
      </c>
      <c r="BL1" t="s">
        <v>85</v>
      </c>
      <c r="BM1" t="s">
        <v>200</v>
      </c>
      <c r="BN1" t="s">
        <v>88</v>
      </c>
      <c r="BO1" t="s">
        <v>127</v>
      </c>
      <c r="BP1" t="s">
        <v>88</v>
      </c>
    </row>
    <row r="2" spans="1:68">
      <c r="A2">
        <v>0.08</v>
      </c>
      <c r="C2">
        <v>1</v>
      </c>
      <c r="G2">
        <v>1.1299999999999999E-3</v>
      </c>
      <c r="H2">
        <v>7.5646000000000003E-4</v>
      </c>
      <c r="J2">
        <v>323</v>
      </c>
      <c r="N2">
        <v>28.870999999999999</v>
      </c>
      <c r="O2">
        <v>29.675999999999998</v>
      </c>
      <c r="P2">
        <v>17.901</v>
      </c>
      <c r="T2">
        <v>1.487639278386854E-2</v>
      </c>
      <c r="U2">
        <v>6.2300506970614433E-3</v>
      </c>
      <c r="V2">
        <v>2.2703229200334412</v>
      </c>
      <c r="W2">
        <v>8.1359999999999992</v>
      </c>
      <c r="X2">
        <v>7.9169999999999998</v>
      </c>
      <c r="Y2">
        <v>13.12</v>
      </c>
      <c r="BK2">
        <v>0.1176</v>
      </c>
      <c r="BL2">
        <v>0.14080000000000001</v>
      </c>
      <c r="BM2">
        <v>9.8400000000000001E-2</v>
      </c>
      <c r="BO2">
        <v>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P2"/>
  <sheetViews>
    <sheetView topLeftCell="CC1" workbookViewId="0">
      <selection activeCell="CR2" sqref="CR2"/>
    </sheetView>
  </sheetViews>
  <sheetFormatPr defaultColWidth="8.7109375" defaultRowHeight="15"/>
  <sheetData>
    <row r="1" spans="1:6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205</v>
      </c>
      <c r="AS1" t="s">
        <v>207</v>
      </c>
      <c r="AT1" t="s">
        <v>209</v>
      </c>
      <c r="AU1" t="s">
        <v>210</v>
      </c>
      <c r="AV1" t="s">
        <v>212</v>
      </c>
      <c r="AW1" t="s">
        <v>214</v>
      </c>
      <c r="AX1" t="s">
        <v>215</v>
      </c>
      <c r="AY1" t="s">
        <v>217</v>
      </c>
      <c r="AZ1" t="s">
        <v>219</v>
      </c>
      <c r="BA1" t="s">
        <v>220</v>
      </c>
      <c r="BB1" t="s">
        <v>222</v>
      </c>
      <c r="BC1" t="s">
        <v>224</v>
      </c>
      <c r="BD1" t="s">
        <v>225</v>
      </c>
      <c r="BE1" t="s">
        <v>227</v>
      </c>
      <c r="BF1" t="s">
        <v>229</v>
      </c>
      <c r="BG1" t="s">
        <v>230</v>
      </c>
      <c r="BH1" t="s">
        <v>232</v>
      </c>
      <c r="BI1" t="s">
        <v>234</v>
      </c>
      <c r="BJ1" t="s">
        <v>88</v>
      </c>
      <c r="BK1" t="s">
        <v>84</v>
      </c>
      <c r="BL1" t="s">
        <v>85</v>
      </c>
      <c r="BM1" t="s">
        <v>200</v>
      </c>
      <c r="BN1" t="s">
        <v>88</v>
      </c>
      <c r="BO1" t="s">
        <v>127</v>
      </c>
      <c r="BP1" t="s">
        <v>88</v>
      </c>
    </row>
    <row r="2" spans="1:6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0</v>
      </c>
      <c r="BO2">
        <v>1</v>
      </c>
      <c r="B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2024-11-07T16:52:02Z</dcterms:modified>
</cp:coreProperties>
</file>