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2.f.e\1_simulation_inputs\"/>
    </mc:Choice>
  </mc:AlternateContent>
  <xr:revisionPtr revIDLastSave="0" documentId="13_ncr:1_{786B4C0E-CACE-44D2-A649-8B8D0F1DDDC9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state="hidden" r:id="rId4"/>
    <sheet name="Reference" sheetId="2" state="hidden" r:id="rId5"/>
    <sheet name="maintenance check list" sheetId="28" state="hidden" r:id="rId6"/>
    <sheet name="Data(Transposed)" sheetId="3" state="hidden" r:id="rId7"/>
    <sheet name="Data(Test)" sheetId="9" state="hidden" r:id="rId8"/>
  </sheets>
  <functionGroups builtInGroupCount="19"/>
  <definedNames>
    <definedName name="_xlnm._FilterDatabase" localSheetId="1" hidden="1">Initialization!$A$9:$J$22</definedName>
    <definedName name="_xlnm._FilterDatabase" localSheetId="2" hidden="1">'Model Selection'!$A$9:$J$17</definedName>
    <definedName name="_xlnm.Print_Area" localSheetId="1">Initialization!$A$2:$J$22</definedName>
    <definedName name="_xlnm.Print_Area" localSheetId="2">'Model Selection'!$A$2:$J$17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<sst xmlns="http://schemas.openxmlformats.org/spreadsheetml/2006/main" count="305" uniqueCount="134">
  <si>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</si>
  <si>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</si>
  <si>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</si>
  <si>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</si>
  <si>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</si>
  <si>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</si>
  <si>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</si>
  <si>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</si>
  <si>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</si>
  <si>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</si>
  <si>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</si>
  <si>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</si>
  <si>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</si>
  <si>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</si>
  <si>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</si>
  <si>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</si>
  <si>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</si>
  <si>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</si>
  <si>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</si>
  <si>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</si>
  <si>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</si>
  <si>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</si>
  <si>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</si>
  <si>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</si>
  <si>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</si>
  <si>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</si>
  <si>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</si>
  <si>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</si>
  <si>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</si>
  <si>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</si>
  <si>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</si>
  <si>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</si>
  <si>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</si>
  <si>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</si>
  <si>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</si>
  <si>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</si>
  <si>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</si>
  <si>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</si>
  <si>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</si>
  <si>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</si>
  <si>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</si>
  <si>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</si>
  <si>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</si>
  <si>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</si>
  <si>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</si>
  <si>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</si>
  <si>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</si>
  <si>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</si>
  <si>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</si>
  <si>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</si>
  <si>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</si>
  <si>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</si>
  <si>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</si>
  <si>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</si>
  <si>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</si>
  <si>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</si>
  <si>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</si>
  <si>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</si>
  <si>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</si>
  <si>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</si>
  <si>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</si>
  <si>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</si>
  <si>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</si>
  <si>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</si>
  <si>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</si>
  <si>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</si>
  <si>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</si>
  <si>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</si>
  <si>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</si>
  <si>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</si>
  <si>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</si>
  <si>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</si>
  <si>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</si>
  <si>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</si>
  <si>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</si>
  <si>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</si>
  <si>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</si>
  <si>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</si>
  <si>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</si>
  <si>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</si>
  <si>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</si>
  <si>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</si>
  <si>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</si>
  <si>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</si>
  <si>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</si>
  <si>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</si>
  <si>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</si>
  <si>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</si>
  <si>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</si>
  <si>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</si>
  <si>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</si>
  <si>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</si>
  <si>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</si>
  <si>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</si>
  <si>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</si>
  <si>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</si>
  <si>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</si>
  <si>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</si>
  <si>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</si>
  <si>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</si>
  <si>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ideal gas law,
1 = other equation of state.</t>
  </si>
  <si>
    <t>0 = a uni-bed PSA process,
1 = a multi-bed PSA process.</t>
  </si>
  <si>
    <t>0 = feed already available at a high pressure,
1 = feed compression required.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</si>
  <si>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</si>
  <si>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</si>
  <si>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</si>
  <si>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</si>
  <si>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</si>
  <si>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</si>
  <si>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</si>
  <si>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</si>
  <si>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</si>
  <si>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</si>
  <si>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Initialization of the Simulation Environment</t>
  </si>
  <si>
    <t>Information on Model Selection</t>
  </si>
  <si>
    <t>Specify a heat capacity model: 
0 = a constant heat capacity model</t>
  </si>
  <si>
    <t>0 = time driven mode (fixed step duration),
1 = event driven mode (termination with a criteria).</t>
  </si>
  <si>
    <t>Specify an equation of states:
0 = none
1 = ideal gas law</t>
  </si>
  <si>
    <t>Specify a valve model:
0 = none
1 = a linear valve</t>
  </si>
  <si>
    <t>Specify an adsorption rate model:
0 = none
1 = linear driving force (LDF)</t>
  </si>
  <si>
    <t>0 = explicit adsorption isotherm model,
1 = implicit adsorption isotherm model.</t>
  </si>
  <si>
    <t>0 = explicit adsorption rate model,
1 = implicit adsorption rate model.</t>
  </si>
  <si>
    <t>0 = depressurization to the ambient pressure,
1 = depressurization to the vacuum pressure.</t>
  </si>
  <si>
    <t>0 = only recover the raffinate product,
1 = recover both raffinate and extract products.</t>
  </si>
  <si>
    <t>Finalized the spreadsheet for the v1.0 release</t>
  </si>
  <si>
    <t>Specify a model for the cyclic steady state (CSS) convergence calculation: 
0 = overall states
1 = 1st column ststes
2 = all column states
3 = the raffinate product tank states</t>
  </si>
  <si>
    <t>Initial development of the "0.1_simulation_configurations.xlsm" sheet.</t>
  </si>
  <si>
    <t>REV. NO.2 (9/14/2022)</t>
  </si>
  <si>
    <t>0 = no-axial pressure drop (flow-driven),
1 = axial pressure drop (pressure-driven).</t>
  </si>
  <si>
    <t>REV. NO.1 (6/8/2022)</t>
  </si>
  <si>
    <t>Specify the axial pressure drop model:
0 = no axial pressure drop
1 = Kozeny-Carman equation
2 = Ergun equation</t>
  </si>
  <si>
    <t>0 = isothermal operation,
1 = non-isothermal operation.</t>
  </si>
  <si>
    <t>0 = no hysteresis in adsorption isotherm
1 = there is hysteresis in adsorption isotherm</t>
  </si>
  <si>
    <t>Specify an adsorption isotherm model:
0 = none
1 = linear isotherm
2 = extended Langmuir isotherm
3 = multi-site Langmuir isotherm
4 = extended Langmuir-Freundlich isotherm
5 = dual-site Langmuir-Freundlich isotherm
6 = extended dual-site Langmuir-Freundlich isotherm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</si>
</sst>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1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 applyProtection="1">
      <alignment horizontal="left" vertical="center" indent="1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3" borderId="14" xfId="0" applyFont="1" applyFill="1" applyBorder="1" applyAlignment="1">
      <alignment horizontal="left" vertical="center" wrapText="1" indent="1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22" totalsRowShown="0" headerRowDxfId="39" dataDxfId="37" headerRowBorderDxfId="38" tableBorderDxfId="36" totalsRowBorderDxfId="35">
  <autoFilter ref="A9:J22" xr:uid="{B089C5C3-2CCE-4800-96CA-2131BB6E3E4F}"/>
  <tableColumns count="10">
    <tableColumn id="1" xr3:uid="{68F80D25-29F2-4666-84E3-9B384B347FD6}" name="Variable" dataDxfId="34"/>
    <tableColumn id="4" xr3:uid="{970AC59F-A924-43F5-8348-8D9DC81CE55B}" name="Value" dataDxfId="33"/>
    <tableColumn id="5" xr3:uid="{4FD08566-BE5D-47FE-B0A9-0CA38A822BD7}" name="Unit" dataDxfId="32"/>
    <tableColumn id="6" xr3:uid="{0F3D7A19-FE09-47B5-B728-B70B368EF4CC}" name="Comparisons" dataDxfId="31"/>
    <tableColumn id="7" xr3:uid="{5AF158AA-FE83-40DC-9724-0492D92AFA6F}" name="Variable Type" dataDxfId="30"/>
    <tableColumn id="8" xr3:uid="{78535DA3-AFED-41F4-9B3B-57036563810F}" name="Dependency" dataDxfId="29"/>
    <tableColumn id="12" xr3:uid="{38B40BA1-DBE1-4774-8D5F-BDC4A25DDD46}" name="Test 1" dataDxfId="28"/>
    <tableColumn id="10" xr3:uid="{89B3A532-8A94-4DC0-B282-E767ECBF7A34}" name="Test 2" dataDxfId="27"/>
    <tableColumn id="2" xr3:uid="{8BB3F0AB-F341-44C2-860A-A879E77C3D5D}" name="Test 3" dataDxfId="26"/>
    <tableColumn id="9" xr3:uid="{9BB1CE86-B342-454F-B7CA-E8FDD6004FB1}" name="Description" dataDxfId="2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7" totalsRowShown="0" headerRowDxfId="24" dataDxfId="22" headerRowBorderDxfId="23" tableBorderDxfId="21" totalsRowBorderDxfId="20">
  <autoFilter ref="A9:J17" xr:uid="{B089C5C3-2CCE-4800-96CA-2131BB6E3E4F}"/>
  <tableColumns count="10">
    <tableColumn id="1" xr3:uid="{E0503319-4244-40BF-80AC-47EAB20F9D82}" name="Variable" dataDxfId="19"/>
    <tableColumn id="4" xr3:uid="{C9B93118-2D75-48EB-867F-A112A1413B3A}" name="Value" dataDxfId="18"/>
    <tableColumn id="5" xr3:uid="{6DB24D56-641D-41E7-A0AF-33D3EA326C9E}" name="Unit" dataDxfId="17"/>
    <tableColumn id="6" xr3:uid="{EC0DB7D6-1463-4C4D-9A2A-4BC3C7916932}" name="Comparisons" dataDxfId="16"/>
    <tableColumn id="7" xr3:uid="{6FE91FB5-8BB7-4A02-B5AC-265E1EBFD7A4}" name="Variable Type" dataDxfId="15"/>
    <tableColumn id="8" xr3:uid="{A6460C6C-273A-466F-8C24-29520D28AB0E}" name="Dependency" dataDxfId="14"/>
    <tableColumn id="12" xr3:uid="{0D55DF56-EF41-44E6-9DE8-92E85F8BC954}" name="Test 1" dataDxfId="13"/>
    <tableColumn id="10" xr3:uid="{FE581202-0C06-4BC7-8D50-2FDDC17F8184}" name="Test 2" dataDxfId="12"/>
    <tableColumn id="2" xr3:uid="{0C40960E-3CC9-432B-A5CB-D76546536ADF}" name="Test 3" dataDxfId="11"/>
    <tableColumn id="9" xr3:uid="{05A43EF2-B89E-41B1-ABA5-98E847A1B9DC}" name="Description" dataDxfId="1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9" hidden="1" customWidth="1"/>
    <col min="3" max="3" width="2.44140625" style="29" customWidth="1"/>
    <col min="4" max="4" width="13.77734375" style="29" customWidth="1"/>
    <col min="5" max="5" width="51.33203125" style="30" bestFit="1" customWidth="1"/>
    <col min="6" max="6" width="15.77734375" style="31" bestFit="1" customWidth="1"/>
    <col min="7" max="9" width="13.33203125" style="29" customWidth="1"/>
    <col min="10" max="10" width="48.77734375" style="29" customWidth="1"/>
    <col min="11" max="11" width="2.44140625" style="29" customWidth="1"/>
    <col min="12" max="12" width="0" style="29" hidden="1" customWidth="1"/>
    <col min="13" max="16384" width="9" style="29" hidden="1"/>
  </cols>
  <sheetData>
    <row r="3" spans="4:10"/>
    <row r="4" spans="4:10" ht="18">
      <c r="D4" s="39" t="s">
        <v>127</v>
      </c>
      <c r="E4" s="40"/>
      <c r="F4" s="41"/>
      <c r="G4" s="42"/>
      <c r="H4" s="42"/>
      <c r="I4" s="42"/>
      <c r="J4" s="32" t="s">
        <v>85</v>
      </c>
    </row>
    <row r="5" spans="4:10" ht="36">
      <c r="D5" s="47" t="s">
        <v>36</v>
      </c>
      <c r="E5" s="47"/>
      <c r="F5" s="47"/>
      <c r="G5" s="47"/>
      <c r="H5" s="47"/>
      <c r="I5" s="47"/>
      <c r="J5" s="47"/>
    </row>
    <row r="6" spans="4:10" ht="18">
      <c r="D6" s="38" t="s">
        <v>30</v>
      </c>
      <c r="E6" s="38" t="s">
        <v>111</v>
      </c>
      <c r="F6" s="38" t="s">
        <v>31</v>
      </c>
      <c r="G6" s="38" t="s">
        <v>32</v>
      </c>
      <c r="H6" s="38" t="s">
        <v>33</v>
      </c>
      <c r="I6" s="38" t="s">
        <v>34</v>
      </c>
      <c r="J6" s="38" t="s">
        <v>35</v>
      </c>
    </row>
    <row r="7" spans="4:10" ht="54">
      <c r="D7" s="33">
        <v>1</v>
      </c>
      <c r="E7" s="34" t="s">
        <v>126</v>
      </c>
      <c r="F7" s="35">
        <v>44720</v>
      </c>
      <c r="G7" s="33" t="s">
        <v>37</v>
      </c>
      <c r="H7" s="33"/>
      <c r="I7" s="33"/>
      <c r="J7" s="34"/>
    </row>
    <row r="8" spans="4:10" ht="36">
      <c r="D8" s="33">
        <v>2</v>
      </c>
      <c r="E8" s="34" t="s">
        <v>124</v>
      </c>
      <c r="F8" s="35">
        <v>44818</v>
      </c>
      <c r="G8" s="33" t="s">
        <v>37</v>
      </c>
      <c r="H8" s="33"/>
      <c r="I8" s="33"/>
      <c r="J8" s="34"/>
    </row>
    <row r="9" spans="4:10" ht="18">
      <c r="D9" s="33">
        <v>3</v>
      </c>
      <c r="E9" s="34"/>
      <c r="F9" s="35"/>
      <c r="G9" s="33"/>
      <c r="H9" s="33"/>
      <c r="I9" s="33"/>
      <c r="J9" s="34"/>
    </row>
    <row r="10" spans="4:10" ht="18">
      <c r="D10" s="33">
        <v>4</v>
      </c>
      <c r="E10" s="34"/>
      <c r="F10" s="35"/>
      <c r="G10" s="33"/>
      <c r="H10" s="33"/>
      <c r="I10" s="33"/>
      <c r="J10" s="34"/>
    </row>
    <row r="11" spans="4:10" ht="18">
      <c r="D11" s="33">
        <v>5</v>
      </c>
      <c r="E11" s="34"/>
      <c r="F11" s="35"/>
      <c r="G11" s="33"/>
      <c r="H11" s="33"/>
      <c r="I11" s="33"/>
      <c r="J11" s="34"/>
    </row>
    <row r="12" spans="4:10" ht="18">
      <c r="D12" s="33">
        <v>6</v>
      </c>
      <c r="E12" s="34"/>
      <c r="F12" s="35"/>
      <c r="G12" s="33"/>
      <c r="H12" s="33"/>
      <c r="I12" s="33"/>
      <c r="J12" s="34"/>
    </row>
    <row r="13" spans="4:10" ht="18">
      <c r="D13" s="33">
        <v>7</v>
      </c>
      <c r="E13" s="34"/>
      <c r="F13" s="35"/>
      <c r="G13" s="33"/>
      <c r="H13" s="33"/>
      <c r="I13" s="33"/>
      <c r="J13" s="34"/>
    </row>
    <row r="14" spans="4:10" ht="18">
      <c r="D14" s="33">
        <v>8</v>
      </c>
      <c r="E14" s="34"/>
      <c r="F14" s="35"/>
      <c r="G14" s="33"/>
      <c r="H14" s="33"/>
      <c r="I14" s="33"/>
      <c r="J14" s="34"/>
    </row>
    <row r="15" spans="4:10" ht="18">
      <c r="D15" s="33">
        <v>9</v>
      </c>
      <c r="E15" s="34"/>
      <c r="F15" s="35"/>
      <c r="G15" s="33"/>
      <c r="H15" s="33"/>
      <c r="I15" s="33"/>
      <c r="J15" s="34"/>
    </row>
    <row r="16" spans="4:10" ht="18">
      <c r="D16" s="33">
        <v>10</v>
      </c>
      <c r="E16" s="34"/>
      <c r="F16" s="35"/>
      <c r="G16" s="33"/>
      <c r="H16" s="33"/>
      <c r="I16" s="33"/>
      <c r="J16" s="36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K22"/>
  <sheetViews>
    <sheetView showGridLines="0" topLeftCell="A2" zoomScaleNormal="100" zoomScaleSheetLayoutView="70" workbookViewId="0">
      <pane ySplit="8" topLeftCell="A19" activePane="bottomLeft" state="frozen"/>
      <selection activeCell="B2" sqref="B2"/>
      <selection pane="bottomLeft" activeCell="B22" sqref="B2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IF(COUNTIF(Table132[Test 3],1)=COUNTA(Table132[Value]),"Ready","Not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28.8">
      <c r="A10" s="4" t="s">
        <v>43</v>
      </c>
      <c r="B10" s="27">
        <v>1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101</v>
      </c>
    </row>
    <row r="11" spans="1:10" ht="28.8">
      <c r="A11" s="4" t="s">
        <v>42</v>
      </c>
      <c r="B11" s="27">
        <v>1</v>
      </c>
      <c r="C11" s="2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58</v>
      </c>
    </row>
    <row r="12" spans="1:10" ht="28.8">
      <c r="A12" s="4" t="s">
        <v>44</v>
      </c>
      <c r="B12" s="27">
        <v>0</v>
      </c>
      <c r="C12" s="2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128</v>
      </c>
    </row>
    <row r="13" spans="1:10" ht="43.2">
      <c r="A13" s="4" t="s">
        <v>45</v>
      </c>
      <c r="B13" s="27">
        <v>1</v>
      </c>
      <c r="C13" s="2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116</v>
      </c>
    </row>
    <row r="14" spans="1:10" ht="28.8">
      <c r="A14" s="4" t="s">
        <v>46</v>
      </c>
      <c r="B14" s="27">
        <v>1</v>
      </c>
      <c r="C14" s="2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131</v>
      </c>
    </row>
    <row r="15" spans="1:10" ht="28.8">
      <c r="A15" s="4" t="s">
        <v>47</v>
      </c>
      <c r="B15" s="27">
        <v>0</v>
      </c>
      <c r="C15" s="2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100</v>
      </c>
    </row>
    <row r="16" spans="1:10" ht="28.8">
      <c r="A16" s="4" t="s">
        <v>48</v>
      </c>
      <c r="B16" s="27">
        <v>0</v>
      </c>
      <c r="C16" s="2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120</v>
      </c>
    </row>
    <row r="17" spans="1:10" ht="28.8">
      <c r="A17" s="4" t="s">
        <v>49</v>
      </c>
      <c r="B17" s="27">
        <v>0</v>
      </c>
      <c r="C17" s="2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121</v>
      </c>
    </row>
    <row r="18" spans="1:10" ht="28.8">
      <c r="A18" s="4" t="s">
        <v>50</v>
      </c>
      <c r="B18" s="27">
        <v>1</v>
      </c>
      <c r="C18" s="2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102</v>
      </c>
    </row>
    <row r="19" spans="1:10" ht="28.8">
      <c r="A19" s="4" t="s">
        <v>51</v>
      </c>
      <c r="B19" s="27">
        <v>0</v>
      </c>
      <c r="C19" s="2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123</v>
      </c>
    </row>
    <row r="20" spans="1:10" ht="28.8">
      <c r="A20" s="4" t="s">
        <v>52</v>
      </c>
      <c r="B20" s="27">
        <v>1</v>
      </c>
      <c r="C20" s="2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122</v>
      </c>
    </row>
    <row r="21" spans="1:10" ht="28.8">
      <c r="A21" s="57" t="s">
        <v>53</v>
      </c>
      <c r="B21" s="27">
        <v>0</v>
      </c>
      <c r="C21" s="58" t="s">
        <v>3</v>
      </c>
      <c r="D21" s="55" t="s">
        <v>57</v>
      </c>
      <c r="E21" s="55" t="s">
        <v>6</v>
      </c>
      <c r="F21" s="54" t="s">
        <v>39</v>
      </c>
      <c r="G21" s="55">
        <v>1</v>
      </c>
      <c r="H21" s="55">
        <v>1</v>
      </c>
      <c r="I21" s="56">
        <v>1</v>
      </c>
      <c r="J21" s="59" t="s">
        <v>132</v>
      </c>
    </row>
    <row r="22" spans="1:10" ht="14.4">
      <c r="A22" s="8" t="s">
        <v>78</v>
      </c>
      <c r="B22" s="28"/>
      <c r="C22" s="9"/>
      <c r="D22" s="10"/>
      <c r="E22" s="10"/>
      <c r="F22" s="9"/>
      <c r="G22" s="10">
        <v>1</v>
      </c>
      <c r="H22" s="10">
        <v>1</v>
      </c>
      <c r="I22" s="11">
        <v>0</v>
      </c>
      <c r="J22" s="12" t="s">
        <v>79</v>
      </c>
    </row>
  </sheetData>
  <sheetProtection algorithmName="SHA-512" hashValue="P2YEaorTAYB6UOKyeeQRywsl69r141gek6cM4M9LVWRzVLaYtla71sijH99heqCwZaab8QXPLeKyR8NiLOkkeQ==" saltValue="CZ9WAOZtLgJuaVvjuKnaQw==" spinCount="100000" sheet="1" objects="1" scenarios="1" selectLockedCells="1"/>
  <mergeCells count="2">
    <mergeCell ref="A3:J3"/>
    <mergeCell ref="J4:J8"/>
  </mergeCells>
  <phoneticPr fontId="1" type="noConversion"/>
  <conditionalFormatting sqref="B10:B22">
    <cfRule type="expression" dxfId="9" priority="1">
      <formula>IF(AND($B10&lt;&gt;"",$I10=0),1,0)</formula>
    </cfRule>
    <cfRule type="expression" dxfId="8" priority="2">
      <formula>IF($B10&lt;&gt;"",1,0)</formula>
    </cfRule>
    <cfRule type="expression" dxfId="7" priority="3">
      <formula>$I10 = 0</formula>
    </cfRule>
  </conditionalFormatting>
  <conditionalFormatting sqref="J4">
    <cfRule type="expression" dxfId="6" priority="1934">
      <formula>IF(COUNTA($B$10:$B$22)&lt;&gt;COUNTIF($I$10:$I$22,1),1,0)</formula>
    </cfRule>
    <cfRule type="expression" dxfId="5" priority="1935">
      <formula>IF(COUNTA($B$10:$B$22)=COUNTIF($I$10:$I$22,1),1,0)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B15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B14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B13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B12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B11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B10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B16:B21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F10:F22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D10:D22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E10:E22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7"/>
  <sheetViews>
    <sheetView showGridLines="0" tabSelected="1" topLeftCell="A2" zoomScaleNormal="85" zoomScaleSheetLayoutView="70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IF(COUNTIF(Table13[Test 3],1)=COUNTA(Table13[Value]),"Ready","Not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129.6">
      <c r="A10" s="4" t="s">
        <v>69</v>
      </c>
      <c r="B10" s="27">
        <v>4</v>
      </c>
      <c r="C10" s="2" t="s">
        <v>3</v>
      </c>
      <c r="D10" s="1" t="s">
        <v>57</v>
      </c>
      <c r="E10" s="1" t="s">
        <v>82</v>
      </c>
      <c r="F10" s="2" t="s">
        <v>39</v>
      </c>
      <c r="G10" s="1">
        <v>1</v>
      </c>
      <c r="H10" s="1">
        <v>1</v>
      </c>
      <c r="I10" s="6">
        <v>1</v>
      </c>
      <c r="J10" s="60" t="s">
        <v>133</v>
      </c>
    </row>
    <row r="11" spans="1:10" ht="43.2">
      <c r="A11" s="4" t="s">
        <v>70</v>
      </c>
      <c r="B11" s="27">
        <v>1</v>
      </c>
      <c r="C11" s="2" t="s">
        <v>3</v>
      </c>
      <c r="D11" s="1" t="s">
        <v>57</v>
      </c>
      <c r="E11" s="1" t="s">
        <v>82</v>
      </c>
      <c r="F11" s="2" t="s">
        <v>39</v>
      </c>
      <c r="G11" s="1">
        <v>1</v>
      </c>
      <c r="H11" s="1">
        <v>1</v>
      </c>
      <c r="I11" s="6">
        <v>1</v>
      </c>
      <c r="J11" s="5" t="s">
        <v>119</v>
      </c>
    </row>
    <row r="12" spans="1:10" ht="43.2">
      <c r="A12" s="4" t="s">
        <v>71</v>
      </c>
      <c r="B12" s="27">
        <v>1</v>
      </c>
      <c r="C12" s="2" t="s">
        <v>3</v>
      </c>
      <c r="D12" s="1" t="s">
        <v>57</v>
      </c>
      <c r="E12" s="1" t="s">
        <v>82</v>
      </c>
      <c r="F12" s="2" t="s">
        <v>39</v>
      </c>
      <c r="G12" s="1">
        <v>1</v>
      </c>
      <c r="H12" s="1">
        <v>1</v>
      </c>
      <c r="I12" s="6">
        <v>1</v>
      </c>
      <c r="J12" s="5" t="s">
        <v>117</v>
      </c>
    </row>
    <row r="13" spans="1:10" ht="43.2">
      <c r="A13" s="4" t="s">
        <v>72</v>
      </c>
      <c r="B13" s="27">
        <v>1</v>
      </c>
      <c r="C13" s="2" t="s">
        <v>3</v>
      </c>
      <c r="D13" s="1" t="s">
        <v>57</v>
      </c>
      <c r="E13" s="1" t="s">
        <v>82</v>
      </c>
      <c r="F13" s="2" t="s">
        <v>39</v>
      </c>
      <c r="G13" s="1">
        <v>1</v>
      </c>
      <c r="H13" s="1">
        <v>1</v>
      </c>
      <c r="I13" s="6">
        <v>1</v>
      </c>
      <c r="J13" s="5" t="s">
        <v>118</v>
      </c>
    </row>
    <row r="14" spans="1:10" ht="28.8">
      <c r="A14" s="4" t="s">
        <v>73</v>
      </c>
      <c r="B14" s="27">
        <v>0</v>
      </c>
      <c r="C14" s="2" t="s">
        <v>3</v>
      </c>
      <c r="D14" s="1" t="s">
        <v>57</v>
      </c>
      <c r="E14" s="1" t="s">
        <v>82</v>
      </c>
      <c r="F14" s="2" t="s">
        <v>39</v>
      </c>
      <c r="G14" s="1">
        <v>1</v>
      </c>
      <c r="H14" s="1">
        <v>1</v>
      </c>
      <c r="I14" s="6">
        <v>1</v>
      </c>
      <c r="J14" s="5" t="s">
        <v>115</v>
      </c>
    </row>
    <row r="15" spans="1:10" ht="57.6">
      <c r="A15" s="4" t="s">
        <v>86</v>
      </c>
      <c r="B15" s="27">
        <v>0</v>
      </c>
      <c r="C15" s="2" t="s">
        <v>3</v>
      </c>
      <c r="D15" s="1" t="s">
        <v>57</v>
      </c>
      <c r="E15" s="1" t="s">
        <v>82</v>
      </c>
      <c r="F15" s="2" t="s">
        <v>39</v>
      </c>
      <c r="G15" s="1">
        <v>1</v>
      </c>
      <c r="H15" s="1">
        <v>1</v>
      </c>
      <c r="I15" s="6">
        <v>1</v>
      </c>
      <c r="J15" s="5" t="s">
        <v>130</v>
      </c>
    </row>
    <row r="16" spans="1:10" ht="86.4">
      <c r="A16" s="4" t="s">
        <v>87</v>
      </c>
      <c r="B16" s="27">
        <v>0</v>
      </c>
      <c r="C16" s="2" t="s">
        <v>3</v>
      </c>
      <c r="D16" s="1" t="s">
        <v>57</v>
      </c>
      <c r="E16" s="1" t="s">
        <v>82</v>
      </c>
      <c r="F16" s="2" t="s">
        <v>39</v>
      </c>
      <c r="G16" s="1">
        <v>1</v>
      </c>
      <c r="H16" s="1">
        <v>1</v>
      </c>
      <c r="I16" s="6">
        <v>1</v>
      </c>
      <c r="J16" s="5" t="s">
        <v>125</v>
      </c>
    </row>
    <row r="17" spans="1:10">
      <c r="A17" s="8" t="s">
        <v>78</v>
      </c>
      <c r="B17" s="28"/>
      <c r="C17" s="9"/>
      <c r="D17" s="10"/>
      <c r="E17" s="10"/>
      <c r="F17" s="9"/>
      <c r="G17" s="10">
        <v>1</v>
      </c>
      <c r="H17" s="10">
        <v>1</v>
      </c>
      <c r="I17" s="11">
        <v>0</v>
      </c>
      <c r="J17" s="12" t="s">
        <v>79</v>
      </c>
    </row>
  </sheetData>
  <sheetProtection algorithmName="SHA-512" hashValue="FbUhOXMAf2KfJh+Aem3fA1LrXdpl4MmWDI6v99TJwn0siiGeXDvoPVhw37pNhVwpe3aaPuUBh30bXYc06JIyJA==" saltValue="3C8p29fTK8BAn6ee0cU2Tw==" spinCount="100000" sheet="1" objects="1" scenarios="1" selectLockedCells="1"/>
  <mergeCells count="2">
    <mergeCell ref="A3:J3"/>
    <mergeCell ref="J4:J8"/>
  </mergeCells>
  <phoneticPr fontId="1" type="noConversion"/>
  <conditionalFormatting sqref="B10:B17">
    <cfRule type="expression" dxfId="4" priority="1">
      <formula>IF(AND($B10&lt;&gt;"",$I10=0),1,0)</formula>
    </cfRule>
    <cfRule type="expression" dxfId="3" priority="2">
      <formula>IF($B10&lt;&gt;"",1,0)</formula>
    </cfRule>
    <cfRule type="expression" dxfId="2" priority="8">
      <formula>$I10 = 0</formula>
    </cfRule>
  </conditionalFormatting>
  <conditionalFormatting sqref="J4">
    <cfRule type="expression" dxfId="1" priority="1942">
      <formula>IF(COUNTA($B$10:$B$17)&lt;&gt;COUNTIF($I$10:$I$17,1),1,0)</formula>
    </cfRule>
    <cfRule type="expression" dxfId="0" priority="1943">
      <formula>IF(COUNTA($B$10:$B$17)=COUNTIF($I$10:$I$17,1),1,0)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B6C3A73A-B6B2-43B7-8595-D4931E22BD65}">
          <x14:formula1>
            <xm:f>Reference!$G$2:$G$12</xm:f>
          </x14:formula1>
          <xm:sqref>B14:B16</xm:sqref>
        </x14:dataValidation>
        <x14:dataValidation type="list" allowBlank="1" showInputMessage="1" showErrorMessage="1" xr:uid="{855C3F17-8723-4266-BB46-571EAC30DF3F}">
          <x14:formula1>
            <xm:f>Reference!$G$2:$G$12</xm:f>
          </x14:formula1>
          <xm:sqref>B10</xm:sqref>
        </x14:dataValidation>
        <x14:dataValidation type="list" allowBlank="1" showInputMessage="1" showErrorMessage="1" xr:uid="{2C55464B-383C-4320-95E4-D9F745A8F77F}">
          <x14:formula1>
            <xm:f>Reference!$G$2:$G$12</xm:f>
          </x14:formula1>
          <xm:sqref>B11</xm:sqref>
        </x14:dataValidation>
        <x14:dataValidation type="list" allowBlank="1" showInputMessage="1" showErrorMessage="1" xr:uid="{F1257DA9-225B-42E9-BAE5-6A8C1355F643}">
          <x14:formula1>
            <xm:f>Reference!$G$2:$G$12</xm:f>
          </x14:formula1>
          <xm:sqref>B12</xm:sqref>
        </x14:dataValidation>
        <x14:dataValidation type="list" allowBlank="1" showInputMessage="1" showErrorMessage="1" xr:uid="{C8A58468-2EF4-4D0C-915F-EDA728A186BA}">
          <x14:formula1>
            <xm:f>Reference!$G$2:$G$12</xm:f>
          </x14:formula1>
          <xm:sqref>B13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E10:E17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D10:D17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defaultColWidth="0" defaultRowHeight="0" customHeight="1" zeroHeight="1"/>
  <cols>
    <col min="1" max="2" width="8.77734375" style="43" customWidth="1"/>
    <col min="3" max="3" width="13.109375" style="43" customWidth="1"/>
    <col min="4" max="4" width="13.44140625" style="43" customWidth="1"/>
    <col min="5" max="6" width="8.77734375" style="43" customWidth="1"/>
    <col min="7" max="7" width="14.77734375" style="43" customWidth="1"/>
    <col min="8" max="8" width="11.6640625" style="43" customWidth="1"/>
    <col min="9" max="9" width="10.33203125" style="43" customWidth="1"/>
    <col min="10" max="10" width="5.6640625" style="43" customWidth="1"/>
    <col min="11" max="11" width="10.44140625" style="43" customWidth="1"/>
    <col min="12" max="17" width="8.77734375" style="43" customWidth="1"/>
    <col min="18" max="16384" width="8.77734375" style="43" hidden="1"/>
  </cols>
  <sheetData>
    <row r="1" spans="1:17" ht="14.4">
      <c r="A1" s="20" t="s">
        <v>129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85</v>
      </c>
    </row>
    <row r="2" spans="1:17" ht="14.4">
      <c r="A2" s="52" t="s">
        <v>113</v>
      </c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</row>
    <row r="3" spans="1:17" ht="14.4">
      <c r="A3" s="44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</row>
    <row r="4" spans="1:17" ht="14.4">
      <c r="A4" s="44"/>
      <c r="B4" s="45" t="s">
        <v>112</v>
      </c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</row>
    <row r="5" spans="1:17" ht="14.4">
      <c r="A5" s="44"/>
      <c r="B5" s="46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</row>
    <row r="6" spans="1:17" ht="14.4">
      <c r="A6" s="44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</row>
    <row r="7" spans="1:17" ht="14.4">
      <c r="A7" s="44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</row>
    <row r="8" spans="1:17" ht="14.4">
      <c r="A8" s="44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</row>
    <row r="9" spans="1:17" ht="14.4">
      <c r="A9" s="44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</row>
    <row r="10" spans="1:17" ht="14.4">
      <c r="A10" s="44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</row>
    <row r="11" spans="1:17" ht="14.4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</row>
    <row r="12" spans="1:17" ht="14.4">
      <c r="A12" s="4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</row>
    <row r="13" spans="1:17" ht="14.4">
      <c r="A13" s="44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</row>
    <row r="14" spans="1:17" ht="14.4">
      <c r="A14" s="44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</row>
    <row r="15" spans="1:17" ht="14.4">
      <c r="A15" s="44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</row>
    <row r="16" spans="1:17" ht="14.4">
      <c r="A16" s="44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</row>
    <row r="17" spans="1:17" ht="14.4">
      <c r="A17" s="44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</row>
    <row r="18" spans="1:17" ht="14.4">
      <c r="A18" s="52" t="s">
        <v>114</v>
      </c>
      <c r="B18" s="53"/>
      <c r="C18" s="53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</row>
    <row r="19" spans="1:17" ht="14.4">
      <c r="A19" s="44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</row>
    <row r="20" spans="1:17" ht="14.4">
      <c r="A20" s="44"/>
      <c r="B20" s="45" t="s">
        <v>112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</row>
    <row r="21" spans="1:17" ht="14.4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</row>
    <row r="22" spans="1:17" ht="14.4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</row>
    <row r="23" spans="1:17" ht="14.4">
      <c r="A23" s="44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</row>
    <row r="24" spans="1:17" ht="14.4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</row>
    <row r="25" spans="1:17" ht="14.4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</row>
    <row r="26" spans="1:17" ht="14.4">
      <c r="A26" s="44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</row>
    <row r="27" spans="1:17" ht="14.4">
      <c r="A27" s="44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</row>
    <row r="28" spans="1:17" ht="14.4">
      <c r="A28" s="44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</row>
    <row r="29" spans="1:17" ht="14.4">
      <c r="A29" s="44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</row>
    <row r="30" spans="1:17" ht="14.4">
      <c r="A30" s="44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</row>
    <row r="31" spans="1:17" ht="14.4">
      <c r="A31" s="44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</row>
    <row r="32" spans="1:17" ht="14.4">
      <c r="A32" s="44"/>
      <c r="B32" s="46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</row>
    <row r="33" spans="1:17" ht="14.4">
      <c r="A33" s="44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</row>
    <row r="34" spans="1:17" ht="14.4">
      <c r="A34" s="44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</row>
  </sheetData>
  <sheetProtection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66</v>
      </c>
      <c r="E1" t="s">
        <v>67</v>
      </c>
      <c r="F1" t="s">
        <v>68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91</v>
      </c>
      <c r="Q1" t="s">
        <v>94</v>
      </c>
      <c r="R1" t="s">
        <v>95</v>
      </c>
      <c r="S1" t="s">
        <v>96</v>
      </c>
      <c r="T1" t="s">
        <v>99</v>
      </c>
      <c r="U1" t="s">
        <v>103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104</v>
      </c>
    </row>
    <row r="4" spans="1:21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105</v>
      </c>
    </row>
    <row r="5" spans="1:21">
      <c r="A5" t="s">
        <v>10</v>
      </c>
      <c r="B5" t="s">
        <v>22</v>
      </c>
      <c r="C5" t="s">
        <v>42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106</v>
      </c>
    </row>
    <row r="6" spans="1:21">
      <c r="A6" t="s">
        <v>6</v>
      </c>
      <c r="B6" t="s">
        <v>23</v>
      </c>
      <c r="C6" t="s">
        <v>44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107</v>
      </c>
    </row>
    <row r="7" spans="1:21">
      <c r="A7" t="s">
        <v>9</v>
      </c>
      <c r="B7" t="s">
        <v>25</v>
      </c>
      <c r="C7" t="s">
        <v>45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108</v>
      </c>
    </row>
    <row r="8" spans="1:21">
      <c r="A8" t="s">
        <v>11</v>
      </c>
      <c r="B8" t="s">
        <v>26</v>
      </c>
      <c r="C8" t="s">
        <v>46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109</v>
      </c>
    </row>
    <row r="9" spans="1:21">
      <c r="B9" t="s">
        <v>92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110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97</v>
      </c>
    </row>
    <row r="12" spans="1:21">
      <c r="B12" t="s">
        <v>93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98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90</v>
      </c>
    </row>
    <row r="2" spans="1:1">
      <c r="A2" t="s">
        <v>88</v>
      </c>
    </row>
    <row r="3" spans="1:1">
      <c r="A3" t="s">
        <v>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U2"/>
  <sheetViews>
    <sheetView workbookViewId="0">
      <selection activeCell="CM2" sqref="CM2"/>
    </sheetView>
  </sheetViews>
  <sheetFormatPr defaultColWidth="8.77734375" defaultRowHeight="14.4"/>
  <sheetData>
    <row r="1" spans="1:21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53</v>
      </c>
      <c r="M1" t="s">
        <v>78</v>
      </c>
      <c r="N1" t="s">
        <v>69</v>
      </c>
      <c r="O1" t="s">
        <v>70</v>
      </c>
      <c r="P1" t="s">
        <v>71</v>
      </c>
      <c r="Q1" t="s">
        <v>72</v>
      </c>
      <c r="R1" t="s">
        <v>73</v>
      </c>
      <c r="S1" t="s">
        <v>86</v>
      </c>
      <c r="T1" t="s">
        <v>87</v>
      </c>
      <c r="U1" t="s">
        <v>78</v>
      </c>
    </row>
    <row r="2" spans="1:21">
      <c r="A2">
        <v>1</v>
      </c>
      <c r="B2">
        <v>1</v>
      </c>
      <c r="C2">
        <v>0</v>
      </c>
      <c r="D2">
        <v>1</v>
      </c>
      <c r="E2">
        <v>1</v>
      </c>
      <c r="F2">
        <v>0</v>
      </c>
      <c r="G2">
        <v>0</v>
      </c>
      <c r="H2">
        <v>0</v>
      </c>
      <c r="I2">
        <v>1</v>
      </c>
      <c r="J2">
        <v>0</v>
      </c>
      <c r="K2">
        <v>1</v>
      </c>
      <c r="L2">
        <v>0</v>
      </c>
      <c r="N2">
        <v>4</v>
      </c>
      <c r="O2">
        <v>1</v>
      </c>
      <c r="P2">
        <v>1</v>
      </c>
      <c r="Q2">
        <v>1</v>
      </c>
      <c r="R2">
        <v>0</v>
      </c>
      <c r="S2">
        <v>0</v>
      </c>
      <c r="T2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U2"/>
  <sheetViews>
    <sheetView workbookViewId="0">
      <selection activeCell="CR2" sqref="CR2"/>
    </sheetView>
  </sheetViews>
  <sheetFormatPr defaultColWidth="8.77734375" defaultRowHeight="14.4"/>
  <sheetData>
    <row r="1" spans="1:21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53</v>
      </c>
      <c r="M1" t="s">
        <v>78</v>
      </c>
      <c r="N1" t="s">
        <v>69</v>
      </c>
      <c r="O1" t="s">
        <v>70</v>
      </c>
      <c r="P1" t="s">
        <v>71</v>
      </c>
      <c r="Q1" t="s">
        <v>72</v>
      </c>
      <c r="R1" t="s">
        <v>73</v>
      </c>
      <c r="S1" t="s">
        <v>86</v>
      </c>
      <c r="T1" t="s">
        <v>87</v>
      </c>
      <c r="U1" t="s">
        <v>78</v>
      </c>
    </row>
    <row r="2" spans="1:21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0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Revision History</vt:lpstr>
      <vt:lpstr>Initialization</vt:lpstr>
      <vt:lpstr>Model Selection</vt:lpstr>
      <vt:lpstr>Help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2023-04-14T00:03:29Z</dcterms:modified>
</cp:coreProperties>
</file>