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2\1_simulation_inputs\"/>
    </mc:Choice>
  </mc:AlternateContent>
  <xr:revisionPtr revIDLastSave="0" documentId="13_ncr:1_{9BE1352E-E749-432B-BF86-FFEB3FA593CF}" xr6:coauthVersionLast="47" xr6:coauthVersionMax="47" xr10:uidLastSave="{00000000-0000-0000-0000-000000000000}"/>
  <bookViews>
    <workbookView xWindow="-108" yWindow="-108" windowWidth="23256" windowHeight="13176" tabRatio="818" firstSheet="1" activeTab="2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B10" i="44"/>
  <c r="I13" i="31" l="1"/>
  <c r="I11" i="31"/>
  <c r="I10" i="31"/>
  <c r="I12" i="44"/>
  <c r="I11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<sst xmlns="http://schemas.openxmlformats.org/spreadsheetml/2006/main" count="281" uniqueCount="140">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</sst>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2" borderId="1" xfId="0" applyNumberFormat="1" applyFont="1" applyFill="1" applyBorder="1" applyAlignment="1" applyProtection="1">
      <alignment horizontal="center" vertical="center"/>
      <protection locked="0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0"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7" dataDxfId="85" headerRowBorderDxfId="86" tableBorderDxfId="84" totalsRowBorderDxfId="83">
  <autoFilter ref="A9:J13" xr:uid="{B089C5C3-2CCE-4800-96CA-2131BB6E3E4F}"/>
  <tableColumns count="10">
    <tableColumn id="1" xr3:uid="{3E4F27FA-9CCD-488C-9FFE-8189DF89B2B5}" name="Variable" dataDxfId="82"/>
    <tableColumn id="4" xr3:uid="{4D38B92D-B1E9-4DDE-B914-6A4E9DB63C9E}" name="Value" dataDxfId="81"/>
    <tableColumn id="5" xr3:uid="{DE2ACEA5-F459-4C5B-ADEC-6214F75935FA}" name="Unit" dataDxfId="80"/>
    <tableColumn id="6" xr3:uid="{BBE9846A-4956-4FAF-848B-0B1F56311296}" name="Comparisons" dataDxfId="79"/>
    <tableColumn id="7" xr3:uid="{7604F104-935C-4D6C-98BF-97589769DD42}" name="Variable Type" dataDxfId="78"/>
    <tableColumn id="8" xr3:uid="{7D3892CD-8765-4699-977F-B3AA8A9AB120}" name="Dependency" dataDxfId="77"/>
    <tableColumn id="12" xr3:uid="{161D2FD1-7A78-4D8E-8024-885B20FF313F}" name="Test 1" dataDxfId="76"/>
    <tableColumn id="10" xr3:uid="{1AA44E52-6629-487F-B43F-5CEC7D36BB2A}" name="Test 2" dataDxfId="75"/>
    <tableColumn id="2" xr3:uid="{6AF5B301-E925-40CD-B0FD-ED73E5B71C10}" name="Test 3" dataDxfId="74"/>
    <tableColumn id="9" xr3:uid="{29E572B6-C772-4761-B1A5-7C1BBC5A9A8E}" name="Description" dataDxfId="7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4" dataDxfId="62" headerRowBorderDxfId="63" tableBorderDxfId="61" totalsRowBorderDxfId="60">
  <autoFilter ref="A9:J13" xr:uid="{B089C5C3-2CCE-4800-96CA-2131BB6E3E4F}"/>
  <tableColumns count="10">
    <tableColumn id="1" xr3:uid="{33A6A58D-364D-4A35-922C-DE212771E5A3}" name="Variable" dataDxfId="59"/>
    <tableColumn id="4" xr3:uid="{941C2A7D-BF3F-418E-B42D-DD80A4DE2A81}" name="Value" dataDxfId="58"/>
    <tableColumn id="5" xr3:uid="{C4E86D48-03E8-46FA-B8CA-6F5D6C6A2D12}" name="Unit" dataDxfId="57"/>
    <tableColumn id="6" xr3:uid="{665361F6-20BF-415D-BBF1-F45B832A29DE}" name="Comparisons" dataDxfId="56"/>
    <tableColumn id="7" xr3:uid="{F7A189BB-30E4-471C-9393-FF44966433C9}" name="Variable Type" dataDxfId="55"/>
    <tableColumn id="8" xr3:uid="{536CEEB4-5D6D-4FC9-B347-8D4F6CE10C67}" name="Dependency" dataDxfId="54"/>
    <tableColumn id="12" xr3:uid="{41F5DBE5-C5A3-4D63-A4BF-9774F11F14D3}" name="Test 1" dataDxfId="53"/>
    <tableColumn id="10" xr3:uid="{75ACAF5C-BDFE-45DE-AD7B-8EA0171A905D}" name="Test 2" dataDxfId="52"/>
    <tableColumn id="2" xr3:uid="{E0C16DCE-CCB9-4239-B5AF-7F90FE1422EF}" name="Test 3" dataDxfId="51"/>
    <tableColumn id="9" xr3:uid="{11A90378-9784-4E77-9A9A-BDE1BD80CAC4}" name="Description" dataDxfId="5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8" dataDxfId="36" headerRowBorderDxfId="37" tableBorderDxfId="35" totalsRowBorderDxfId="34">
  <autoFilter ref="A9:J14" xr:uid="{B089C5C3-2CCE-4800-96CA-2131BB6E3E4F}"/>
  <tableColumns count="10">
    <tableColumn id="1" xr3:uid="{897C7A45-3F96-4FAD-9D88-64BEDA59EE04}" name="Variable" dataDxfId="33"/>
    <tableColumn id="4" xr3:uid="{AC44F3C7-74B4-4404-BA30-07059568F4CD}" name="Value" dataDxfId="32"/>
    <tableColumn id="5" xr3:uid="{6083DF57-24E4-4D4A-B84A-AB4CE9566C0A}" name="Unit" dataDxfId="31"/>
    <tableColumn id="6" xr3:uid="{7B5B4F38-11BC-48C2-B29A-22FAFA39A76A}" name="Comparisons" dataDxfId="30"/>
    <tableColumn id="7" xr3:uid="{687831A6-7122-45C8-9279-6A017FA30571}" name="Variable Type" dataDxfId="29"/>
    <tableColumn id="8" xr3:uid="{F0D98687-63CA-49F2-A0F5-F43443FEED82}" name="Dependency" dataDxfId="28"/>
    <tableColumn id="12" xr3:uid="{57EFF7D5-281B-4073-9550-73D369BA3603}" name="Test 1" dataDxfId="27"/>
    <tableColumn id="10" xr3:uid="{886EC4A5-54AE-4612-B5FF-8B6E7B32A853}" name="Test 2" dataDxfId="26"/>
    <tableColumn id="2" xr3:uid="{C5B5DD0C-C82D-4FD9-A165-974B4B54478C}" name="Test 3" dataDxfId="25"/>
    <tableColumn id="9" xr3:uid="{E8B12666-0292-4BAB-9166-E185CB24DBFE}" name="Description" dataDxfId="2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5" dataDxfId="13" headerRowBorderDxfId="14" tableBorderDxfId="12" totalsRowBorderDxfId="11">
  <autoFilter ref="A9:J13" xr:uid="{B089C5C3-2CCE-4800-96CA-2131BB6E3E4F}"/>
  <tableColumns count="10">
    <tableColumn id="1" xr3:uid="{7B96E1E5-F914-134F-92CB-11A246CE83CF}" name="Variable" dataDxfId="10"/>
    <tableColumn id="4" xr3:uid="{769FCB14-07FC-C744-854D-32A560D0AF7A}" name="Value" dataDxfId="0">
      <calculatedColumnFormula>11*1.01325</calculatedColumnFormula>
    </tableColumn>
    <tableColumn id="5" xr3:uid="{72A57B60-A9BA-AE4D-A8F2-15A7CE6E01F2}" name="Unit" dataDxfId="9"/>
    <tableColumn id="6" xr3:uid="{0B5A6A21-E099-944F-B63D-34DD49049A32}" name="Comparisons" dataDxfId="8"/>
    <tableColumn id="7" xr3:uid="{FA5D9905-FBB3-8046-A15F-70FC367F1300}" name="Variable Type" dataDxfId="7"/>
    <tableColumn id="8" xr3:uid="{B5D6DCA6-6A6D-FF4C-8D65-BCD68325F679}" name="Dependency" dataDxfId="6"/>
    <tableColumn id="12" xr3:uid="{6E9A6F79-99F9-4743-BEFC-2D32C4AC335A}" name="Test 1" dataDxfId="5"/>
    <tableColumn id="10" xr3:uid="{C289927B-FF71-D34E-934B-A67BC094E72F}" name="Test 2" dataDxfId="4"/>
    <tableColumn id="2" xr3:uid="{BB8A802E-BB46-104C-AA29-A71DDC86E102}" name="Test 3" dataDxfId="3"/>
    <tableColumn id="9" xr3:uid="{933A5953-2B8A-914C-A6C0-D1761A99B722}" name="Description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293.14999999999998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2">
        <f>11*1.01325*0.9</f>
        <v>10.031174999999999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WmH0AUuzPPFz5eRX0Mu7u/+eMzjEre8xcjKIpUUsnUib6TzWom8tbrNWo3UIKLqAacuCjv1Ex92s9IpAgji7bA==" saltValue="BPxlQvaTzXoe/229zwf/9w==" spinCount="100000" sheet="1" objects="1" scenarios="1" selectLockedCells="1"/>
  <mergeCells count="2">
    <mergeCell ref="A3:J3"/>
    <mergeCell ref="J4:J8"/>
  </mergeCells>
  <conditionalFormatting sqref="B13">
    <cfRule type="expression" dxfId="99" priority="44">
      <formula>IF(AND($B13&lt;&gt;"",$I13=0),1,0)</formula>
    </cfRule>
    <cfRule type="expression" dxfId="98" priority="45">
      <formula>IF($B13&lt;&gt;"",1,0)</formula>
    </cfRule>
    <cfRule type="expression" dxfId="97" priority="46">
      <formula>$I13=0</formula>
    </cfRule>
  </conditionalFormatting>
  <conditionalFormatting sqref="B10">
    <cfRule type="expression" dxfId="96" priority="35">
      <formula>IF(AND($B10&lt;&gt;"",$I10=0),1,0)</formula>
    </cfRule>
    <cfRule type="expression" dxfId="95" priority="36">
      <formula>IF($B10&lt;&gt;"",1,0)</formula>
    </cfRule>
    <cfRule type="expression" dxfId="94" priority="37">
      <formula>$I10=0</formula>
    </cfRule>
  </conditionalFormatting>
  <conditionalFormatting sqref="B11">
    <cfRule type="expression" dxfId="93" priority="5">
      <formula>IF(AND($B11&lt;&gt;"",$I11=0),1,0)</formula>
    </cfRule>
    <cfRule type="expression" dxfId="92" priority="6">
      <formula>IF($B11&lt;&gt;"",1,0)</formula>
    </cfRule>
    <cfRule type="expression" dxfId="91" priority="7">
      <formula>$I11=0</formula>
    </cfRule>
  </conditionalFormatting>
  <conditionalFormatting sqref="J4">
    <cfRule type="expression" dxfId="90" priority="2250">
      <formula>IF(COUNTA($B$10:$B$13)&lt;&gt;COUNTIF($I$10:$I$13,1),1,0)</formula>
    </cfRule>
    <cfRule type="expression" dxfId="89" priority="2251">
      <formula>IF(COUNTA($B$10:$B$13)=COUNTIF($I$10:$I$13,1),1,0)</formula>
    </cfRule>
  </conditionalFormatting>
  <conditionalFormatting sqref="B12">
    <cfRule type="notContainsBlanks" dxfId="88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kVIzPeuGCbkEQSrrWJtFPZfiTIdI3xM+Ql7155yrUC/26F2ykKwqPZJy4c9/4EU2wvOndKFrNIzB1BbHxTsFdA==" saltValue="CbBEp/XPrR5Sv+hsuq0YeQ==" spinCount="100000" sheet="1" objects="1" scenarios="1" selectLockedCells="1"/>
  <mergeCells count="2">
    <mergeCell ref="A3:J3"/>
    <mergeCell ref="J4:J8"/>
  </mergeCells>
  <conditionalFormatting sqref="B13">
    <cfRule type="expression" dxfId="72" priority="31">
      <formula>IF(AND($B13&lt;&gt;"",$I13=0),1,0)</formula>
    </cfRule>
    <cfRule type="expression" dxfId="71" priority="32">
      <formula>IF($B13&lt;&gt;"",1,0)</formula>
    </cfRule>
    <cfRule type="expression" dxfId="70" priority="33">
      <formula>$I13=0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conditionalFormatting sqref="J4">
    <cfRule type="expression" dxfId="66" priority="2251">
      <formula>IF(COUNTA($B$10:$B$13)&lt;&gt;COUNTIF($I$10:$I$13,1),1,0)</formula>
    </cfRule>
    <cfRule type="expression" dxfId="65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0.5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502.08000000000004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JsMCpf7LoP3gRiPqVgwcER+g2UI7d1l52x99WGCE61Iy7cy42dFRVUYBxpXo9tUmKOrXDqb24+aSpuYis4+eoQ==" saltValue="TGH3pe/OeitcqWi4yI6oFA==" spinCount="100000" sheet="1" objects="1" scenarios="1" selectLockedCells="1"/>
  <mergeCells count="2">
    <mergeCell ref="A3:J3"/>
    <mergeCell ref="J4:J8"/>
  </mergeCells>
  <conditionalFormatting sqref="B14">
    <cfRule type="expression" dxfId="49" priority="94">
      <formula>IF(AND($B14&lt;&gt;"",$I14=0),1,0)</formula>
    </cfRule>
    <cfRule type="expression" dxfId="48" priority="95">
      <formula>IF($B14&lt;&gt;"",1,0)</formula>
    </cfRule>
    <cfRule type="expression" dxfId="47" priority="96">
      <formula>$I14=0</formula>
    </cfRule>
  </conditionalFormatting>
  <conditionalFormatting sqref="B10:B11">
    <cfRule type="expression" dxfId="46" priority="1">
      <formula>IF(AND($B10&lt;&gt;"",$I10=0),1,0)</formula>
    </cfRule>
    <cfRule type="expression" dxfId="45" priority="2">
      <formula>IF($B10&lt;&gt;"",1,0)</formula>
    </cfRule>
    <cfRule type="expression" dxfId="44" priority="3">
      <formula>$I10=0</formula>
    </cfRule>
  </conditionalFormatting>
  <conditionalFormatting sqref="B12:B13">
    <cfRule type="expression" dxfId="43" priority="4">
      <formula>IF(AND($B12&lt;&gt;"",$I12=0),1,0)</formula>
    </cfRule>
    <cfRule type="expression" dxfId="42" priority="5">
      <formula>IF($B12&lt;&gt;"",1,0)</formula>
    </cfRule>
    <cfRule type="expression" dxfId="41" priority="6">
      <formula>$I12=0</formula>
    </cfRule>
  </conditionalFormatting>
  <conditionalFormatting sqref="J4">
    <cfRule type="expression" dxfId="40" priority="2253">
      <formula>IF(COUNTA($B$10:$B$14)&lt;&gt;COUNTIF($I$10:$I$14,1),1,0)</formula>
    </cfRule>
    <cfRule type="expression" dxfId="39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zoomScaleNormal="100" zoomScaleSheetLayoutView="85" workbookViewId="0">
      <pane ySplit="9" topLeftCell="A10" activePane="bottomLeft" state="frozen"/>
      <selection activeCell="C24" sqref="C24"/>
      <selection pane="bottomLeft" activeCell="B11" sqref="B11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8" width="0" style="3" hidden="1" customWidth="1"/>
    <col min="19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52">
        <f t="shared" ref="B10:B13" si="0">11*1.01325</f>
        <v>11.14575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11">
        <v>1</v>
      </c>
      <c r="J10" s="5" t="s">
        <v>128</v>
      </c>
    </row>
    <row r="11" spans="1:10" ht="14.4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0</v>
      </c>
      <c r="J11" s="5" t="s">
        <v>129</v>
      </c>
    </row>
    <row r="12" spans="1:10" ht="28.8">
      <c r="A12" s="38" t="s">
        <v>125</v>
      </c>
      <c r="B12" s="60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0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y/e99tDkbFLp9YMxvwO62sDp/6TXf5SAaGuj7zqdFtT2tXtmYJHpHtNHA/gwpOvltukNnjN2u+chD3TbFOLLw==" saltValue="jAai9jQXoXgjQeUlVofYmQ==" spinCount="100000" sheet="1" objects="1" scenarios="1" selectLockedCells="1"/>
  <mergeCells count="2">
    <mergeCell ref="A3:J3"/>
    <mergeCell ref="J4:J8"/>
  </mergeCells>
  <conditionalFormatting sqref="B12:B13">
    <cfRule type="expression" dxfId="23" priority="8">
      <formula>IF(AND($B12&lt;&gt;"",$I12=0),1,0)</formula>
    </cfRule>
    <cfRule type="expression" dxfId="22" priority="9">
      <formula>IF($B12&lt;&gt;"",1,0)</formula>
    </cfRule>
    <cfRule type="expression" dxfId="21" priority="10">
      <formula>$I12=0</formula>
    </cfRule>
  </conditionalFormatting>
  <conditionalFormatting sqref="B11">
    <cfRule type="expression" dxfId="20" priority="2">
      <formula>IF(AND($B11&lt;&gt;"",$I11=0),1,0)</formula>
    </cfRule>
    <cfRule type="expression" dxfId="19" priority="3">
      <formula>IF($B11&lt;&gt;"",1,0)</formula>
    </cfRule>
    <cfRule type="expression" dxfId="18" priority="4">
      <formula>$I11=0</formula>
    </cfRule>
  </conditionalFormatting>
  <conditionalFormatting sqref="J4">
    <cfRule type="expression" dxfId="17" priority="2259">
      <formula>IF(COUNTA($B$10:$B$13)&lt;&gt;COUNTIF($I$10:$I$13,1),1,0)</formula>
    </cfRule>
    <cfRule type="expression" dxfId="16" priority="2260">
      <formula>IF(COUNTA($B$10:$B$13)=COUNTIF($I$10:$I$13,1),1,0)</formula>
    </cfRule>
  </conditionalFormatting>
  <conditionalFormatting sqref="B10">
    <cfRule type="notContainsBlanks" dxfId="1" priority="1">
      <formula>LEN(TRIM(B10))&gt;0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293.14999999999998</v>
      </c>
      <c r="C2">
        <v>10.031174999999999</v>
      </c>
      <c r="E2">
        <v>20</v>
      </c>
      <c r="F2">
        <v>20.5</v>
      </c>
      <c r="G2">
        <v>33.800769771555913</v>
      </c>
      <c r="I2">
        <v>0.5</v>
      </c>
      <c r="J2">
        <v>1E-4</v>
      </c>
      <c r="K2">
        <v>7.8300000000000002E-3</v>
      </c>
      <c r="L2">
        <v>502.08000000000004</v>
      </c>
      <c r="N2">
        <v>11.14575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2022-12-01T21:28:22Z</dcterms:modified>
</cp:coreProperties>
</file>