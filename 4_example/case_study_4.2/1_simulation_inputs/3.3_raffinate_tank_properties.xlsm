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2\1_simulation_inputs\"/>
    </mc:Choice>
  </mc:AlternateContent>
  <xr:revisionPtr revIDLastSave="0" documentId="13_ncr:1_{62FC0180-F3F8-4F0A-A76C-5478712D161E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" i="44" l="1"/>
  <c r="B12" i="40"/>
  <c r="I13" i="31" l="1"/>
  <c r="I11" i="31"/>
  <c r="I10" i="31"/>
  <c r="I12" i="44"/>
  <c r="I11" i="44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<sst xmlns="http://schemas.openxmlformats.org/spreadsheetml/2006/main" count="281" uniqueCount="140">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</sst>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>
      <calculatedColumnFormula>11*1.01325*0.999</calculatedColumnFormula>
    </tableColumn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4" t="s">
        <v>39</v>
      </c>
      <c r="E5" s="54"/>
      <c r="F5" s="54"/>
      <c r="G5" s="54"/>
      <c r="H5" s="54"/>
      <c r="I5" s="54"/>
      <c r="J5" s="54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293.14999999999998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2">
        <f>11*1.01325*0.998</f>
        <v>11.1234585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ZtAXMnvABgy5NVqPLsiLDy46oA9v2ObVuA7FOhiSqOv8akzVEPsW289Hjrq5qSXOGpuByx/Inh74UH+BFGQ18A==" saltValue="ga9woMJNzF+KDrFHhGNPRQ==" spinCount="100000" sheet="1" objects="1" scenarios="1" selectLockedCells="1"/>
  <mergeCells count="2">
    <mergeCell ref="A3:J3"/>
    <mergeCell ref="J4:J8"/>
  </mergeCells>
  <conditionalFormatting sqref="B13">
    <cfRule type="expression" dxfId="98" priority="44">
      <formula>IF(AND($B13&lt;&gt;"",$I13=0),1,0)</formula>
    </cfRule>
    <cfRule type="expression" dxfId="97" priority="45">
      <formula>IF($B13&lt;&gt;"",1,0)</formula>
    </cfRule>
    <cfRule type="expression" dxfId="96" priority="46">
      <formula>$I13=0</formula>
    </cfRule>
  </conditionalFormatting>
  <conditionalFormatting sqref="B10">
    <cfRule type="expression" dxfId="95" priority="35">
      <formula>IF(AND($B10&lt;&gt;"",$I10=0),1,0)</formula>
    </cfRule>
    <cfRule type="expression" dxfId="94" priority="36">
      <formula>IF($B10&lt;&gt;"",1,0)</formula>
    </cfRule>
    <cfRule type="expression" dxfId="93" priority="37">
      <formula>$I10=0</formula>
    </cfRule>
  </conditionalFormatting>
  <conditionalFormatting sqref="B11">
    <cfRule type="expression" dxfId="92" priority="5">
      <formula>IF(AND($B11&lt;&gt;"",$I11=0),1,0)</formula>
    </cfRule>
    <cfRule type="expression" dxfId="91" priority="6">
      <formula>IF($B11&lt;&gt;"",1,0)</formula>
    </cfRule>
    <cfRule type="expression" dxfId="90" priority="7">
      <formula>$I11=0</formula>
    </cfRule>
  </conditionalFormatting>
  <conditionalFormatting sqref="J4">
    <cfRule type="expression" dxfId="89" priority="2250">
      <formula>IF(COUNTA($B$10:$B$13)&lt;&gt;COUNTIF($I$10:$I$13,1),1,0)</formula>
    </cfRule>
    <cfRule type="expression" dxfId="88" priority="2251">
      <formula>IF(COUNTA($B$10:$B$13)=COUNTIF($I$10:$I$13,1),1,0)</formula>
    </cfRule>
  </conditionalFormatting>
  <conditionalFormatting sqref="B12">
    <cfRule type="notContainsBlanks" dxfId="8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75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juvAa6vcu8AR9G28/pJmkchrcqmGd/V7YglKRVsLcfFnIAcuuo6xY6NNgQIS0S9aTo59XAm+7SnlCYP1oifZA==" saltValue="LQoWcu4RoiMeuW/7T2wUkw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0.5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1">
        <f>[1]Initialization!$B$14</f>
        <v>1</v>
      </c>
      <c r="J10" s="5" t="s">
        <v>136</v>
      </c>
    </row>
    <row r="11" spans="1:10" ht="28.8">
      <c r="A11" s="38" t="s">
        <v>120</v>
      </c>
      <c r="B11" s="32">
        <v>1E-3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1">
        <f>[1]Initialization!$B$14</f>
        <v>1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502.08000000000004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1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rtMIBK4VGgUxOQMvprTmqzwttS6KvOji7ngXxBTW6INIhG+j+9csj7yme3mU8i1VCnuazWErb6+1NaYTo/txpA==" saltValue="q1kxD6GJUvKcWeZeOvsXtw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zoomScaleNormal="100" zoomScaleSheetLayoutView="85" workbookViewId="0">
      <pane ySplit="9" topLeftCell="A10" activePane="bottomLeft" state="frozen"/>
      <selection activeCell="C24" sqref="C24"/>
      <selection pane="bottomLeft" activeCell="I1" sqref="F1:I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" width="0" style="3" hidden="1" customWidth="1"/>
    <col min="17" max="16384" width="0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61">
        <f>[1]Initialization!$B$12</f>
        <v>0</v>
      </c>
      <c r="J10" s="5" t="s">
        <v>128</v>
      </c>
    </row>
    <row r="11" spans="1:10" ht="14.4">
      <c r="A11" s="38" t="s">
        <v>126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1">
        <f>[1]Initialization!$B$12</f>
        <v>0</v>
      </c>
      <c r="J11" s="5" t="s">
        <v>129</v>
      </c>
    </row>
    <row r="12" spans="1:10" ht="28.8">
      <c r="A12" s="38" t="s">
        <v>125</v>
      </c>
      <c r="B12" s="53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1">
        <f>[1]Initialization!$B$12</f>
        <v>0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QhGnDfIrusKimi1aXTQGr7zHxEm5SwfpJig9nnnLEeU3LaM1onoA83AkQkaP33RsuUVVie9XewUYuxYRM4bazg==" saltValue="fxMKRt9wKCbWohshIHrVwA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4</v>
      </c>
      <c r="B2">
        <v>293.14999999999998</v>
      </c>
      <c r="C2">
        <v>11.1234585</v>
      </c>
      <c r="E2">
        <v>20</v>
      </c>
      <c r="F2">
        <v>20.5</v>
      </c>
      <c r="G2">
        <v>75</v>
      </c>
      <c r="I2">
        <v>0.5</v>
      </c>
      <c r="J2">
        <v>1E-3</v>
      </c>
      <c r="K2">
        <v>7.8300000000000002E-3</v>
      </c>
      <c r="L2">
        <v>502.08000000000004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2022-12-06T16:25:11Z</dcterms:modified>
</cp:coreProperties>
</file>