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2\1_simulation_inputs\"/>
    </mc:Choice>
  </mc:AlternateContent>
  <xr:revisionPtr revIDLastSave="0" documentId="13_ncr:1_{FE1AF9AC-DF19-454F-9E18-36C60E1579D1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Isotherm'!$A$2:$J$33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0" i="55" l="1"/>
  <c r="B26" i="53"/>
  <c r="B25" i="53"/>
  <c r="B11" i="58"/>
  <c r="B10" i="58"/>
  <c r="I14" i="53"/>
  <c r="I13" i="53"/>
  <c r="I11" i="53"/>
  <c r="I12" i="53"/>
  <c r="I32" i="53" l="1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I20" i="53"/>
  <c r="H20" i="53"/>
  <c r="I19" i="53"/>
  <c r="H19" i="53"/>
  <c r="I18" i="53"/>
  <c r="H18" i="53"/>
  <c r="I17" i="53"/>
  <c r="H17" i="53"/>
  <c r="I16" i="53" l="1"/>
  <c r="I15" i="53"/>
  <c r="H12" i="53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<sst xmlns="http://schemas.openxmlformats.org/spreadsheetml/2006/main" count="487" uniqueCount="191">
  <si>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</si>
  <si>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</si>
  <si>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</si>
  <si>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</si>
  <si>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</si>
  <si>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</si>
  <si>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</si>
  <si>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</si>
  <si>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</si>
  <si>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</si>
  <si>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</si>
  <si>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</si>
  <si>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</si>
  <si>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</si>
  <si>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</si>
  <si>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</si>
  <si>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</si>
  <si>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</si>
  <si>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</si>
  <si>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</si>
  <si>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</si>
  <si>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</si>
  <si>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</si>
  <si>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</si>
  <si>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</si>
  <si>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</si>
  <si>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</si>
  <si>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</si>
  <si>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</si>
  <si>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</si>
  <si>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</si>
  <si>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</si>
  <si>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</si>
  <si>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</si>
  <si>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</si>
  <si>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</si>
  <si>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</si>
  <si>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</si>
  <si>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</si>
  <si>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</si>
  <si>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</si>
  <si>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</si>
  <si>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</si>
  <si>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</si>
  <si>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</si>
  <si>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</si>
  <si>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</si>
  <si>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</si>
  <si>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</si>
  <si>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</si>
  <si>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</si>
  <si>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</si>
  <si>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</si>
  <si>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</si>
  <si>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</si>
  <si>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</si>
  <si>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</si>
  <si>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</si>
  <si>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</si>
  <si>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</si>
  <si>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</si>
  <si>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</si>
  <si>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</si>
  <si>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</si>
  <si>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</si>
  <si>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</si>
  <si>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</si>
  <si>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</si>
  <si>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</si>
  <si>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</si>
  <si>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</si>
  <si>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</si>
  <si>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</si>
  <si>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</si>
  <si>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</si>
  <si>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</si>
  <si>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</si>
  <si>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</si>
  <si>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</si>
  <si>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</si>
  <si>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</si>
  <si>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</si>
  <si>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</si>
  <si>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</si>
  <si>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</si>
  <si>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</si>
  <si>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</si>
  <si>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</si>
  <si>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</si>
  <si>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</si>
  <si>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</si>
  <si>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</si>
  <si>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</si>
  <si>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</si>
  <si>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</si>
  <si>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</si>
  <si>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</si>
  <si>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</si>
  <si>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</si>
  <si>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</si>
  <si>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</si>
  <si>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</si>
  <si>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</si>
  <si>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</si>
  <si>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</si>
  <si>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</si>
  <si>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</si>
  <si>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</si>
  <si>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</si>
  <si>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</si>
  <si>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</si>
  <si>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</si>
  <si>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</si>
  <si>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</si>
  <si>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</si>
  <si>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</si>
  <si>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</si>
  <si>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</si>
  <si>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</si>
  <si>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</si>
  <si>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</si>
  <si>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</si>
  <si>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</si>
  <si>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</si>
  <si>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</si>
  <si>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</si>
  <si>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</si>
  <si>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</si>
  <si>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</si>
  <si>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</si>
  <si>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</si>
  <si>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</si>
  <si>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</si>
  <si>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</si>
  <si>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</si>
  <si>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</si>
  <si>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</si>
  <si>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</si>
  <si>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</si>
  <si>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</si>
  <si>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</si>
  <si>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</si>
  <si>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</si>
  <si>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</si>
  <si>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</si>
  <si>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</si>
  <si>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</si>
  <si>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</si>
  <si>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</si>
  <si>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</si>
  <si>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</si>
  <si>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</si>
  <si>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</si>
  <si>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</si>
  <si>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</si>
  <si>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</si>
  <si>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</si>
  <si>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</si>
  <si>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</si>
  <si>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</si>
  <si>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</si>
  <si>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</si>
  <si>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</si>
  <si>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</si>
  <si>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</si>
  <si>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</si>
  <si>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</si>
  <si>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</si>
  <si>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</si>
  <si>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</si>
  <si>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</si>
  <si>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</si>
  <si>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</si>
  <si>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</si>
  <si>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</si>
  <si>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</si>
  <si>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</si>
  <si>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</si>
  <si>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</si>
  <si>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</si>
  <si>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[Extended Langmuir-Freundlich Isotherm] 
n_i (T) = kFivCi + kSixCi / T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</si>
  <si>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</si>
  <si>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</si>
  <si>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</si>
  <si>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</si>
  <si>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</si>
  <si>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</si>
  <si>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</si>
  <si>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</si>
  <si>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[Extended Langmuir-Freundlich Isotherm] 
n_i (T) = kFivCi + kSixCi / T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</si>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</sst>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9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>
        <row r="10">
          <cell r="B10">
            <v>4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29" dataDxfId="127" headerRowBorderDxfId="128" tableBorderDxfId="126" totalsRowBorderDxfId="125">
  <autoFilter ref="A9:J11" xr:uid="{B089C5C3-2CCE-4800-96CA-2131BB6E3E4F}"/>
  <tableColumns count="10">
    <tableColumn id="1" xr3:uid="{A63D443C-23FA-C546-879B-699C109A0CA2}" name="Variable" dataDxfId="124"/>
    <tableColumn id="4" xr3:uid="{1A5FFB41-EB4E-E74A-8922-4B34B9316DE5}" name="Value" dataDxfId="123"/>
    <tableColumn id="5" xr3:uid="{BF7F7945-F7EF-9B43-BD77-AD1154395D6F}" name="Unit" dataDxfId="122"/>
    <tableColumn id="6" xr3:uid="{97B66A41-BCC9-AB4A-9001-73F9BCD59411}" name="Comparisons" dataDxfId="121"/>
    <tableColumn id="7" xr3:uid="{0CC57FA7-D6D5-D04B-8A50-C681928970E3}" name="Variable Type" dataDxfId="120"/>
    <tableColumn id="8" xr3:uid="{793541F2-DD76-C241-9A02-11BCAFDBFB73}" name="Dependency" dataDxfId="119"/>
    <tableColumn id="12" xr3:uid="{77D37813-222C-3645-B2B0-7C5CE186734F}" name="Test 1" dataDxfId="118"/>
    <tableColumn id="10" xr3:uid="{705C6C59-C9FA-CF40-8C63-CC7BAA8D5513}" name="Test 2" dataDxfId="117"/>
    <tableColumn id="2" xr3:uid="{3CCF3320-E3BD-5A4C-926A-DD0EC2697FB0}" name="Test 3" dataDxfId="116"/>
    <tableColumn id="9" xr3:uid="{DFCD7E77-6792-EC4A-8937-7BD5661A57E7}" name="Description" dataDxfId="1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06" dataDxfId="104" headerRowBorderDxfId="105" tableBorderDxfId="103" totalsRowBorderDxfId="102">
  <autoFilter ref="A9:J13" xr:uid="{B089C5C3-2CCE-4800-96CA-2131BB6E3E4F}"/>
  <tableColumns count="10">
    <tableColumn id="1" xr3:uid="{20310A95-CEA4-0E46-A375-D38774A1331C}" name="Variable" dataDxfId="101"/>
    <tableColumn id="4" xr3:uid="{677D6E7A-ABBB-7F47-BEBA-202C00329494}" name="Value" dataDxfId="100"/>
    <tableColumn id="5" xr3:uid="{4C9D6E28-38C2-434B-8F96-F002277F8DF6}" name="Unit" dataDxfId="99"/>
    <tableColumn id="6" xr3:uid="{14421855-DDE0-1B4F-9E2F-0DCEAE184349}" name="Comparisons" dataDxfId="98"/>
    <tableColumn id="7" xr3:uid="{B52A6C11-F701-BB42-BCC5-C034770E9DBB}" name="Variable Type" dataDxfId="97"/>
    <tableColumn id="8" xr3:uid="{7995AC5C-141D-1241-85F4-ED670AA6D852}" name="Dependency" dataDxfId="96"/>
    <tableColumn id="12" xr3:uid="{36F66342-4897-3D48-B96B-71B0734889A5}" name="Test 1" dataDxfId="95"/>
    <tableColumn id="10" xr3:uid="{7FE5DC9B-6534-0E47-9DE7-3B926E4C9E93}" name="Test 2" dataDxfId="94"/>
    <tableColumn id="2" xr3:uid="{B9967632-3249-EA4A-A375-C9085B3EE56A}" name="Test 3" dataDxfId="93"/>
    <tableColumn id="9" xr3:uid="{A656D5B2-43BE-D144-B69B-B013AE6BC6D4}" name="Description" dataDxfId="9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86" dataDxfId="84" headerRowBorderDxfId="85" tableBorderDxfId="83" totalsRowBorderDxfId="82">
  <autoFilter ref="A9:J12" xr:uid="{B089C5C3-2CCE-4800-96CA-2131BB6E3E4F}"/>
  <tableColumns count="10">
    <tableColumn id="1" xr3:uid="{29F8658A-9F09-7042-A7EC-353D08C08D34}" name="Variable" dataDxfId="81"/>
    <tableColumn id="4" xr3:uid="{0AC5C09B-7B5C-9640-A6C7-5BA8E05A9F0D}" name="Value" dataDxfId="80"/>
    <tableColumn id="5" xr3:uid="{4A165AEE-D3E0-DB4C-9890-DA2D18843B58}" name="Unit" dataDxfId="79"/>
    <tableColumn id="6" xr3:uid="{23F62B44-EB3B-FD48-85F1-55541D28F146}" name="Comparisons" dataDxfId="78"/>
    <tableColumn id="7" xr3:uid="{24641755-61AF-6C44-A79C-0EC6F77B3090}" name="Variable Type" dataDxfId="77"/>
    <tableColumn id="8" xr3:uid="{8EB70C81-0937-1548-8A36-195915CD1F99}" name="Dependency" dataDxfId="76"/>
    <tableColumn id="12" xr3:uid="{636C1BEE-1088-1842-B84F-652A0A7EFF6A}" name="Test 1" dataDxfId="75"/>
    <tableColumn id="10" xr3:uid="{611EFDE4-0DDB-044D-8690-A970063DA108}" name="Test 2" dataDxfId="74"/>
    <tableColumn id="2" xr3:uid="{2E2B9EE9-BE3C-354D-8E63-B39DE80C44A0}" name="Test 3" dataDxfId="73"/>
    <tableColumn id="9" xr3:uid="{F8DFB1CD-985B-4E45-BA3D-DD47F4100DAE}" name="Description" dataDxfId="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33" totalsRowShown="0" headerRowDxfId="60" dataDxfId="58" headerRowBorderDxfId="59" tableBorderDxfId="57" totalsRowBorderDxfId="56">
  <autoFilter ref="A9:J33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37" dataDxfId="35" headerRowBorderDxfId="36" tableBorderDxfId="34" totalsRowBorderDxfId="33">
  <autoFilter ref="A9:J12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>
      <calculatedColumnFormula>0.22*1000*4.184</calculatedColumnFormula>
    </tableColumn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2" t="s">
        <v>39</v>
      </c>
      <c r="E5" s="62"/>
      <c r="F5" s="62"/>
      <c r="G5" s="62"/>
      <c r="H5" s="62"/>
      <c r="I5" s="62"/>
      <c r="J5" s="62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v>0.314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OeBReEX89TRU5gc+GHgvZ5HwvbirTqDtEdYVLHuv5TM3TFWrFexwqmJBKqEuJMmlxH0vHIsCqBMzm4igY364KQ==" saltValue="y7oRC+0LGKeWCNIS7Ov8zA==" spinCount="100000" sheet="1" objects="1" scenarios="1" selectLockedCells="1"/>
  <mergeCells count="2">
    <mergeCell ref="A3:J3"/>
    <mergeCell ref="J4:J8"/>
  </mergeCells>
  <conditionalFormatting sqref="B11">
    <cfRule type="expression" dxfId="137" priority="7">
      <formula>IF(AND($B11&lt;&gt;"",$I11=0),1,0)</formula>
    </cfRule>
    <cfRule type="expression" dxfId="136" priority="8">
      <formula>IF($B11&lt;&gt;"",1,0)</formula>
    </cfRule>
    <cfRule type="expression" dxfId="135" priority="9">
      <formula>$I11=0</formula>
    </cfRule>
  </conditionalFormatting>
  <conditionalFormatting sqref="B10">
    <cfRule type="expression" dxfId="134" priority="1">
      <formula>IF(AND($B10&lt;&gt;"",$I10=0),1,0)</formula>
    </cfRule>
    <cfRule type="expression" dxfId="133" priority="2">
      <formula>IF($B10&lt;&gt;"",1,0)</formula>
    </cfRule>
    <cfRule type="expression" dxfId="132" priority="3">
      <formula>$I10=0</formula>
    </cfRule>
  </conditionalFormatting>
  <conditionalFormatting sqref="J4">
    <cfRule type="expression" dxfId="131" priority="2056">
      <formula>IF(COUNTA($B$10:$B$11)&lt;&gt;COUNTIF($I$10:$I$11,1),1,0)</formula>
    </cfRule>
    <cfRule type="expression" dxfId="130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14" priority="7">
      <formula>IF(AND($B11&lt;&gt;"",$I11=0),1,0)</formula>
    </cfRule>
    <cfRule type="expression" dxfId="113" priority="8">
      <formula>IF($B11&lt;&gt;"",1,0)</formula>
    </cfRule>
    <cfRule type="expression" dxfId="112" priority="9">
      <formula>$I11=0</formula>
    </cfRule>
  </conditionalFormatting>
  <conditionalFormatting sqref="B10">
    <cfRule type="expression" dxfId="111" priority="1">
      <formula>IF(AND($B10&lt;&gt;"",$I10=0),1,0)</formula>
    </cfRule>
    <cfRule type="expression" dxfId="110" priority="2">
      <formula>IF($B10&lt;&gt;"",1,0)</formula>
    </cfRule>
    <cfRule type="expression" dxfId="109" priority="3">
      <formula>$I10=0</formula>
    </cfRule>
  </conditionalFormatting>
  <conditionalFormatting sqref="J4">
    <cfRule type="expression" dxfId="108" priority="2058">
      <formula>IF(COUNTA($B$10:$B$13)&lt;&gt;COUNTIF($I$10:$I$13,1),1,0)</formula>
    </cfRule>
    <cfRule type="expression" dxfId="107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f>1.16/1000</f>
        <v>1.16E-3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f>0.795/1000</f>
        <v>7.9500000000000003E-4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91" priority="7">
      <formula>IF(AND($B10&lt;&gt;"",$I10=0),1,0)</formula>
    </cfRule>
    <cfRule type="expression" dxfId="90" priority="8">
      <formula>IF($B10&lt;&gt;"",1,0)</formula>
    </cfRule>
    <cfRule type="expression" dxfId="89" priority="9">
      <formula>$I10=0</formula>
    </cfRule>
  </conditionalFormatting>
  <conditionalFormatting sqref="J4">
    <cfRule type="expression" dxfId="88" priority="2062">
      <formula>IF(COUNTA($B$10:$B$12)&lt;&gt;COUNTIF($I$10:$I$12,1),1,0)</formula>
    </cfRule>
    <cfRule type="expression" dxfId="87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33"/>
  <sheetViews>
    <sheetView showGridLines="0" tabSelected="1" topLeftCell="A2" zoomScaleNormal="100" zoomScaleSheetLayoutView="85" workbookViewId="0">
      <pane ySplit="8" topLeftCell="A10" activePane="bottomLeft" state="frozen"/>
      <selection activeCell="A10" sqref="A10:J10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303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/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2</v>
      </c>
      <c r="I11" s="61">
        <f>IF('[2]Model Selection'!$B$10=1,1,0)</f>
        <v>0</v>
      </c>
      <c r="J11" s="60" t="s">
        <v>181</v>
      </c>
    </row>
    <row r="12" spans="1:10" ht="87.6">
      <c r="A12" s="59" t="s">
        <v>158</v>
      </c>
      <c r="B12" s="33"/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2</v>
      </c>
      <c r="I12" s="61">
        <f>IF('[2]Model Selection'!$B$10=1,1,0)</f>
        <v>0</v>
      </c>
      <c r="J12" s="60" t="s">
        <v>181</v>
      </c>
    </row>
    <row r="13" spans="1:10" ht="58.8">
      <c r="A13" s="4" t="s">
        <v>71</v>
      </c>
      <c r="B13" s="33"/>
      <c r="C13" s="57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IF(OR('[2]Model Selection'!$B$10=2,'[2]Model Selection'!$B$10=3),1,0)</f>
        <v>0</v>
      </c>
      <c r="J13" s="5" t="s">
        <v>190</v>
      </c>
    </row>
    <row r="14" spans="1:10" ht="58.8">
      <c r="A14" s="4" t="s">
        <v>74</v>
      </c>
      <c r="B14" s="33"/>
      <c r="C14" s="57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IF(OR('[2]Model Selection'!$B$10=2,'[2]Model Selection'!$B$10=3),1,0)</f>
        <v>0</v>
      </c>
      <c r="J14" s="5" t="s">
        <v>190</v>
      </c>
    </row>
    <row r="15" spans="1:10" ht="58.8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IF('[2]Model Selection'!$B$10=2,1,0)</f>
        <v>0</v>
      </c>
      <c r="J15" s="5" t="s">
        <v>182</v>
      </c>
    </row>
    <row r="16" spans="1:10" ht="58.8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IF('[2]Model Selection'!$B$10=2,1,0)</f>
        <v>0</v>
      </c>
      <c r="J16" s="5" t="s">
        <v>182</v>
      </c>
    </row>
    <row r="17" spans="1:10" ht="102">
      <c r="A17" s="59" t="s">
        <v>163</v>
      </c>
      <c r="B17" s="33"/>
      <c r="C17" s="57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IF('[2]Model Selection'!$B$10=3,1,0)</f>
        <v>0</v>
      </c>
      <c r="J17" s="60" t="s">
        <v>183</v>
      </c>
    </row>
    <row r="18" spans="1:10" ht="102">
      <c r="A18" s="59" t="s">
        <v>164</v>
      </c>
      <c r="B18" s="33"/>
      <c r="C18" s="57" t="s">
        <v>160</v>
      </c>
      <c r="D18" s="1" t="s">
        <v>24</v>
      </c>
      <c r="E18" s="1" t="s">
        <v>7</v>
      </c>
      <c r="F18" s="2" t="s">
        <v>5</v>
      </c>
      <c r="G18" s="56"/>
      <c r="H18" s="55">
        <f>[1]Initialization!$B$10</f>
        <v>2</v>
      </c>
      <c r="I18" s="44">
        <f>IF('[2]Model Selection'!$B$10=3,1,0)</f>
        <v>0</v>
      </c>
      <c r="J18" s="60" t="s">
        <v>183</v>
      </c>
    </row>
    <row r="19" spans="1:10" ht="58.8">
      <c r="A19" s="59" t="s">
        <v>165</v>
      </c>
      <c r="B19" s="33"/>
      <c r="C19" s="57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IF('[2]Model Selection'!$B$10=3,1,0)</f>
        <v>0</v>
      </c>
      <c r="J19" s="60" t="s">
        <v>184</v>
      </c>
    </row>
    <row r="20" spans="1:10" ht="58.8">
      <c r="A20" s="59" t="s">
        <v>166</v>
      </c>
      <c r="B20" s="33"/>
      <c r="C20" s="57" t="s">
        <v>3</v>
      </c>
      <c r="D20" s="1" t="s">
        <v>24</v>
      </c>
      <c r="E20" s="1" t="s">
        <v>7</v>
      </c>
      <c r="F20" s="2" t="s">
        <v>5</v>
      </c>
      <c r="G20" s="56"/>
      <c r="H20" s="55">
        <f>[1]Initialization!$B$10</f>
        <v>2</v>
      </c>
      <c r="I20" s="44">
        <f>IF('[2]Model Selection'!$B$10=3,1,0)</f>
        <v>0</v>
      </c>
      <c r="J20" s="60" t="s">
        <v>184</v>
      </c>
    </row>
    <row r="21" spans="1:10" ht="58.8">
      <c r="A21" s="59" t="s">
        <v>167</v>
      </c>
      <c r="B21" s="33">
        <v>4.3099999999999996</v>
      </c>
      <c r="C21" s="57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IF('[2]Model Selection'!$B$10=4,1,0)</f>
        <v>1</v>
      </c>
      <c r="J21" s="60" t="s">
        <v>185</v>
      </c>
    </row>
    <row r="22" spans="1:10" ht="58.8">
      <c r="A22" s="59" t="s">
        <v>168</v>
      </c>
      <c r="B22" s="33">
        <v>5.05</v>
      </c>
      <c r="C22" s="57" t="s">
        <v>161</v>
      </c>
      <c r="D22" s="1" t="s">
        <v>24</v>
      </c>
      <c r="E22" s="1" t="s">
        <v>7</v>
      </c>
      <c r="F22" s="2" t="s">
        <v>5</v>
      </c>
      <c r="G22" s="56"/>
      <c r="H22" s="55">
        <f>[1]Initialization!$B$10</f>
        <v>2</v>
      </c>
      <c r="I22" s="44">
        <f>IF('[2]Model Selection'!$B$10=4,1,0)</f>
        <v>1</v>
      </c>
      <c r="J22" s="60" t="s">
        <v>185</v>
      </c>
    </row>
    <row r="23" spans="1:10" ht="58.8">
      <c r="A23" s="59" t="s">
        <v>169</v>
      </c>
      <c r="B23" s="33">
        <v>-1.06E-2</v>
      </c>
      <c r="C23" s="57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IF('[2]Model Selection'!$B$10=4,1,0)</f>
        <v>1</v>
      </c>
      <c r="J23" s="60" t="s">
        <v>186</v>
      </c>
    </row>
    <row r="24" spans="1:10" ht="58.8">
      <c r="A24" s="59" t="s">
        <v>170</v>
      </c>
      <c r="B24" s="33">
        <v>-9.0500000000000008E-3</v>
      </c>
      <c r="C24" s="57" t="s">
        <v>179</v>
      </c>
      <c r="D24" s="1" t="s">
        <v>24</v>
      </c>
      <c r="E24" s="1" t="s">
        <v>7</v>
      </c>
      <c r="F24" s="2" t="s">
        <v>5</v>
      </c>
      <c r="G24" s="56"/>
      <c r="H24" s="55">
        <f>[1]Initialization!$B$10</f>
        <v>2</v>
      </c>
      <c r="I24" s="44">
        <f>IF('[2]Model Selection'!$B$10=4,1,0)</f>
        <v>1</v>
      </c>
      <c r="J24" s="60" t="s">
        <v>186</v>
      </c>
    </row>
    <row r="25" spans="1:10" ht="58.8">
      <c r="A25" s="59" t="s">
        <v>171</v>
      </c>
      <c r="B25" s="33">
        <f>0.002515/1.01325</f>
        <v>2.4821120157907722E-3</v>
      </c>
      <c r="C25" s="57" t="s">
        <v>160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IF('[2]Model Selection'!$B$10=4,1,0)</f>
        <v>1</v>
      </c>
      <c r="J25" s="60" t="s">
        <v>187</v>
      </c>
    </row>
    <row r="26" spans="1:10" ht="58.8">
      <c r="A26" s="59" t="s">
        <v>172</v>
      </c>
      <c r="B26" s="33">
        <f>0.001137/1.01325</f>
        <v>1.1221317542561065E-3</v>
      </c>
      <c r="C26" s="57" t="s">
        <v>160</v>
      </c>
      <c r="D26" s="1" t="s">
        <v>24</v>
      </c>
      <c r="E26" s="1" t="s">
        <v>7</v>
      </c>
      <c r="F26" s="2" t="s">
        <v>5</v>
      </c>
      <c r="G26" s="56"/>
      <c r="H26" s="55">
        <f>[1]Initialization!$B$10</f>
        <v>2</v>
      </c>
      <c r="I26" s="44">
        <f>IF('[2]Model Selection'!$B$10=4,1,0)</f>
        <v>1</v>
      </c>
      <c r="J26" s="60" t="s">
        <v>187</v>
      </c>
    </row>
    <row r="27" spans="1:10" ht="58.8">
      <c r="A27" s="59" t="s">
        <v>173</v>
      </c>
      <c r="B27" s="33">
        <v>458.2</v>
      </c>
      <c r="C27" s="57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IF('[2]Model Selection'!$B$10=4,1,0)</f>
        <v>1</v>
      </c>
      <c r="J27" s="60" t="s">
        <v>188</v>
      </c>
    </row>
    <row r="28" spans="1:10" ht="58.8">
      <c r="A28" s="59" t="s">
        <v>174</v>
      </c>
      <c r="B28" s="33">
        <v>1617</v>
      </c>
      <c r="C28" s="57" t="s">
        <v>20</v>
      </c>
      <c r="D28" s="1" t="s">
        <v>24</v>
      </c>
      <c r="E28" s="1" t="s">
        <v>7</v>
      </c>
      <c r="F28" s="2" t="s">
        <v>5</v>
      </c>
      <c r="G28" s="56"/>
      <c r="H28" s="55">
        <f>[1]Initialization!$B$10</f>
        <v>2</v>
      </c>
      <c r="I28" s="44">
        <f>IF('[2]Model Selection'!$B$10=4,1,0)</f>
        <v>1</v>
      </c>
      <c r="J28" s="60" t="s">
        <v>188</v>
      </c>
    </row>
    <row r="29" spans="1:10" ht="87.6">
      <c r="A29" s="59" t="s">
        <v>175</v>
      </c>
      <c r="B29" s="33">
        <v>0.98599999999999999</v>
      </c>
      <c r="C29" s="57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IF('[2]Model Selection'!$B$10=4,1,0)</f>
        <v>1</v>
      </c>
      <c r="J29" s="60" t="s">
        <v>180</v>
      </c>
    </row>
    <row r="30" spans="1:10" ht="87.6">
      <c r="A30" s="59" t="s">
        <v>176</v>
      </c>
      <c r="B30" s="33">
        <v>0.52449999999999997</v>
      </c>
      <c r="C30" s="57" t="s">
        <v>3</v>
      </c>
      <c r="D30" s="1" t="s">
        <v>24</v>
      </c>
      <c r="E30" s="1" t="s">
        <v>7</v>
      </c>
      <c r="F30" s="2" t="s">
        <v>5</v>
      </c>
      <c r="G30" s="56"/>
      <c r="H30" s="55">
        <f>[1]Initialization!$B$10</f>
        <v>2</v>
      </c>
      <c r="I30" s="44">
        <f>IF('[2]Model Selection'!$B$10=4,1,0)</f>
        <v>1</v>
      </c>
      <c r="J30" s="60" t="s">
        <v>180</v>
      </c>
    </row>
    <row r="31" spans="1:10" ht="58.8">
      <c r="A31" s="59" t="s">
        <v>177</v>
      </c>
      <c r="B31" s="33">
        <v>43.03</v>
      </c>
      <c r="C31" s="57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IF('[2]Model Selection'!$B$10=4,1,0)</f>
        <v>1</v>
      </c>
      <c r="J31" s="60" t="s">
        <v>189</v>
      </c>
    </row>
    <row r="32" spans="1:10" ht="58.8">
      <c r="A32" s="46" t="s">
        <v>178</v>
      </c>
      <c r="B32" s="33">
        <v>256.5</v>
      </c>
      <c r="C32" s="35" t="s">
        <v>20</v>
      </c>
      <c r="D32" s="1" t="s">
        <v>24</v>
      </c>
      <c r="E32" s="1" t="s">
        <v>7</v>
      </c>
      <c r="F32" s="2" t="s">
        <v>5</v>
      </c>
      <c r="G32" s="56"/>
      <c r="H32" s="55">
        <f>[1]Initialization!$B$10</f>
        <v>2</v>
      </c>
      <c r="I32" s="44">
        <f>IF('[2]Model Selection'!$B$10=4,1,0)</f>
        <v>1</v>
      </c>
      <c r="J32" s="60" t="s">
        <v>189</v>
      </c>
    </row>
    <row r="33" spans="1:10" ht="14.4">
      <c r="A33" s="8" t="s">
        <v>88</v>
      </c>
      <c r="B33" s="34"/>
      <c r="C33" s="9"/>
      <c r="D33" s="10"/>
      <c r="E33" s="10"/>
      <c r="F33" s="9"/>
      <c r="G33" s="10">
        <v>1</v>
      </c>
      <c r="H33" s="10">
        <v>1</v>
      </c>
      <c r="I33" s="11">
        <v>0</v>
      </c>
      <c r="J33" s="12" t="s">
        <v>89</v>
      </c>
    </row>
  </sheetData>
  <sheetProtection algorithmName="SHA-512" hashValue="qoKOrG70AEV6lbOCAmK2R3nscHfawE+lBjGPqy02iOEcPlUj+SMWUVJZuYh+roZNr6ZR/G8OQDIaOS4Gl6F3vw==" saltValue="Gn2YoraTYPG+CET+fyhAcg==" spinCount="100000" sheet="1" objects="1" scenarios="1" selectLockedCells="1"/>
  <mergeCells count="2">
    <mergeCell ref="A3:J3"/>
    <mergeCell ref="J4:J8"/>
  </mergeCells>
  <conditionalFormatting sqref="B10:B1048576">
    <cfRule type="expression" dxfId="71" priority="19">
      <formula>IF(AND($B10&lt;&gt;"",$I10=0),1,0)</formula>
    </cfRule>
    <cfRule type="expression" dxfId="70" priority="20">
      <formula>IF($B10&lt;&gt;"",1,0)</formula>
    </cfRule>
    <cfRule type="expression" dxfId="69" priority="21">
      <formula>$I10=0</formula>
    </cfRule>
  </conditionalFormatting>
  <conditionalFormatting sqref="B13">
    <cfRule type="expression" dxfId="68" priority="10">
      <formula>IF(AND($B13&lt;&gt;"",$I13=0),1,0)</formula>
    </cfRule>
    <cfRule type="expression" dxfId="67" priority="11">
      <formula>IF($B13&lt;&gt;"",1,0)</formula>
    </cfRule>
    <cfRule type="expression" dxfId="66" priority="12">
      <formula>$I13=0</formula>
    </cfRule>
  </conditionalFormatting>
  <conditionalFormatting sqref="B10">
    <cfRule type="expression" dxfId="65" priority="7">
      <formula>IF(AND($B10&lt;&gt;"",$I10=0),1,0)</formula>
    </cfRule>
    <cfRule type="expression" dxfId="64" priority="8">
      <formula>IF($B10&lt;&gt;"",1,0)</formula>
    </cfRule>
    <cfRule type="expression" dxfId="63" priority="9">
      <formula>$I10=0</formula>
    </cfRule>
  </conditionalFormatting>
  <conditionalFormatting sqref="J4">
    <cfRule type="expression" dxfId="62" priority="2064">
      <formula>IF(COUNTA($B$10:$B$33)&lt;&gt;COUNTIF($I$10:$I$33,1),1,0)</formula>
    </cfRule>
    <cfRule type="expression" dxfId="61" priority="2065">
      <formula>IF(COUNTA($B$10:$B$33)=COUNTIF($I$10:$I$33,1),1,0)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E10:E33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F10:F33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D10:D33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v>0.58699999999999997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43.2">
      <c r="A11" s="4" t="s">
        <v>85</v>
      </c>
      <c r="B11" s="33">
        <v>2.1000000000000001E-2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ZBOSZs0k5eROPBR8w6A7K0vD3dSDCBqdTSNeGWj3l9dQQJvO+VBpFVNA6Kj0eC6S4yhyk52aXL1PYtk3OixEAQ==" saltValue="hwo4S/7qBwX8ynzQ6nREJg==" spinCount="100000" sheet="1" objects="1" scenarios="1" selectLockedCells="1"/>
  <mergeCells count="2">
    <mergeCell ref="A3:J3"/>
    <mergeCell ref="J4:J8"/>
  </mergeCells>
  <conditionalFormatting sqref="B12">
    <cfRule type="expression" dxfId="45" priority="10">
      <formula>IF(AND($B12&lt;&gt;"",$I12=0),1,0)</formula>
    </cfRule>
    <cfRule type="expression" dxfId="44" priority="11">
      <formula>IF($B12&lt;&gt;"",1,0)</formula>
    </cfRule>
    <cfRule type="expression" dxfId="43" priority="12">
      <formula>$I12=0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J4">
    <cfRule type="expression" dxfId="39" priority="2052">
      <formula>IF(COUNTA($B$10:$B$12)&lt;&gt;COUNTIF($I$10:$I$12,1),1,0)</formula>
    </cfRule>
    <cfRule type="expression" dxfId="38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>
        <f t="shared" ref="B10" si="0">0.22*1000*4.184</f>
        <v>920.48</v>
      </c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1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EjZUXAL3AAy5zyDAPQIVsNjeRQ6cqdGPZltcYISFXBnxsQTuEfP3rpehyRqLyK/jYfPArT9YOR8NDsU9WwcaEw==" saltValue="9iBty/mUOfkKo3NjxQ5dsg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7" t="s">
        <v>103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L2"/>
  <sheetViews>
    <sheetView topLeftCell="CF1" workbookViewId="0">
      <selection activeCell="CM2" sqref="CM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0.314</v>
      </c>
      <c r="C2">
        <v>1</v>
      </c>
      <c r="G2">
        <v>1.16E-3</v>
      </c>
      <c r="H2">
        <v>7.9500000000000003E-4</v>
      </c>
      <c r="J2">
        <v>303</v>
      </c>
      <c r="U2">
        <v>4.3099999999999996</v>
      </c>
      <c r="V2">
        <v>5.05</v>
      </c>
      <c r="W2">
        <v>-1.06E-2</v>
      </c>
      <c r="X2">
        <v>-9.0500000000000008E-3</v>
      </c>
      <c r="Y2">
        <v>2.4821120157907722E-3</v>
      </c>
      <c r="Z2">
        <v>1.1221317542561065E-3</v>
      </c>
      <c r="AA2">
        <v>458.2</v>
      </c>
      <c r="AB2">
        <v>1617</v>
      </c>
      <c r="AC2">
        <v>0.98599999999999999</v>
      </c>
      <c r="AD2">
        <v>0.52449999999999997</v>
      </c>
      <c r="AE2">
        <v>43.03</v>
      </c>
      <c r="AF2">
        <v>256.5</v>
      </c>
      <c r="AH2">
        <v>0.58699999999999997</v>
      </c>
      <c r="AI2">
        <v>2.1000000000000001E-2</v>
      </c>
      <c r="AK2">
        <v>920.48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L2"/>
  <sheetViews>
    <sheetView topLeftCell="CC1" workbookViewId="0">
      <selection activeCell="CR2" sqref="CR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1</v>
      </c>
      <c r="V2">
        <v>1</v>
      </c>
      <c r="W2">
        <v>1</v>
      </c>
      <c r="X2">
        <v>1</v>
      </c>
      <c r="Y2">
        <v>1</v>
      </c>
      <c r="Z2">
        <v>1</v>
      </c>
      <c r="AA2">
        <v>1</v>
      </c>
      <c r="AB2">
        <v>1</v>
      </c>
      <c r="AC2">
        <v>1</v>
      </c>
      <c r="AD2">
        <v>1</v>
      </c>
      <c r="AE2">
        <v>1</v>
      </c>
      <c r="AF2">
        <v>1</v>
      </c>
      <c r="AG2">
        <v>0</v>
      </c>
      <c r="AH2">
        <v>1</v>
      </c>
      <c r="AI2">
        <v>1</v>
      </c>
      <c r="AJ2">
        <v>0</v>
      </c>
      <c r="AK2">
        <v>1</v>
      </c>
      <c r="AL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2022-11-07T01:43:18Z</dcterms:modified>
</cp:coreProperties>
</file>