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AF21F079-FC9B-476A-92A7-FC35A11C4F2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<sst xmlns="http://schemas.openxmlformats.org/spreadsheetml/2006/main" count="583" uniqueCount="216">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</sst>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left" vertical="center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2" dataDxfId="90" headerRowBorderDxfId="91" tableBorderDxfId="89" totalsRowBorderDxfId="88">
  <autoFilter ref="A9:J45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/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kgWyuGMZd60L7Znno4IAUoeRM4eKCDfzUX9NkUYPzIWz5G2LPz168nOfplTJSi4DaxWr9plHhTs1kTurLB08Q==" saltValue="XuXy7kUUiibMFStz/wJykw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1" priority="7">
      <formula>IF(AND($B10&lt;&gt;"",$I10=0),1,0)</formula>
    </cfRule>
    <cfRule type="expression" dxfId="30" priority="8">
      <formula>IF($B10&lt;&gt;"",1,0)</formula>
    </cfRule>
    <cfRule type="expression" dxfId="29" priority="9">
      <formula>$I10=0</formula>
    </cfRule>
  </conditionalFormatting>
  <conditionalFormatting sqref="J4">
    <cfRule type="expression" dxfId="28" priority="2062">
      <formula>IF(COUNTA($B$10:$B$12)&lt;&gt;COUNTIF($I$10:$I$12,1),1,0)</formula>
    </cfRule>
    <cfRule type="expression" dxfId="2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59" t="s">
        <v>192</v>
      </c>
      <c r="B33" s="33"/>
      <c r="C33" s="57" t="s">
        <v>161</v>
      </c>
      <c r="D33" s="56" t="s">
        <v>24</v>
      </c>
      <c r="E33" s="56" t="s">
        <v>11</v>
      </c>
      <c r="F33" s="69" t="s">
        <v>5</v>
      </c>
      <c r="G33" s="56">
        <v>1</v>
      </c>
      <c r="H33" s="55">
        <f>[1]Initialization!$B$10</f>
        <v>2</v>
      </c>
      <c r="I33" s="61">
        <f>IF(OR('[2]Model Selection'!$B$10=5,'[2]Model Selection'!$B$10=6),1,0)</f>
        <v>0</v>
      </c>
      <c r="J33" s="60" t="s">
        <v>193</v>
      </c>
    </row>
    <row r="34" spans="1:10" ht="43.2">
      <c r="A34" s="59" t="s">
        <v>194</v>
      </c>
      <c r="B34" s="33"/>
      <c r="C34" s="57" t="s">
        <v>161</v>
      </c>
      <c r="D34" s="56" t="s">
        <v>24</v>
      </c>
      <c r="E34" s="56" t="s">
        <v>11</v>
      </c>
      <c r="F34" s="69" t="s">
        <v>5</v>
      </c>
      <c r="G34" s="56"/>
      <c r="H34" s="55">
        <f>[1]Initialization!$B$10</f>
        <v>2</v>
      </c>
      <c r="I34" s="61">
        <f>IF(OR('[2]Model Selection'!$B$10=5,'[2]Model Selection'!$B$10=6),1,0)</f>
        <v>0</v>
      </c>
      <c r="J34" s="60" t="s">
        <v>195</v>
      </c>
    </row>
    <row r="35" spans="1:10" ht="43.2">
      <c r="A35" s="59" t="s">
        <v>196</v>
      </c>
      <c r="B35" s="33"/>
      <c r="C35" s="57" t="s">
        <v>161</v>
      </c>
      <c r="D35" s="56" t="s">
        <v>24</v>
      </c>
      <c r="E35" s="56" t="s">
        <v>11</v>
      </c>
      <c r="F35" s="69" t="s">
        <v>5</v>
      </c>
      <c r="G35" s="56">
        <v>1</v>
      </c>
      <c r="H35" s="55">
        <f>[1]Initialization!$B$10</f>
        <v>2</v>
      </c>
      <c r="I35" s="61">
        <f>IF(OR('[2]Model Selection'!$B$10=5,'[2]Model Selection'!$B$10=6),1,0)</f>
        <v>0</v>
      </c>
      <c r="J35" s="60" t="s">
        <v>197</v>
      </c>
    </row>
    <row r="36" spans="1:10" ht="43.2">
      <c r="A36" s="59" t="s">
        <v>198</v>
      </c>
      <c r="B36" s="33"/>
      <c r="C36" s="57" t="s">
        <v>161</v>
      </c>
      <c r="D36" s="56" t="s">
        <v>24</v>
      </c>
      <c r="E36" s="56" t="s">
        <v>11</v>
      </c>
      <c r="F36" s="69" t="s">
        <v>5</v>
      </c>
      <c r="G36" s="56"/>
      <c r="H36" s="55">
        <f>[1]Initialization!$B$10</f>
        <v>2</v>
      </c>
      <c r="I36" s="61">
        <f>IF(OR('[2]Model Selection'!$B$10=5,'[2]Model Selection'!$B$10=6),1,0)</f>
        <v>0</v>
      </c>
      <c r="J36" s="60" t="s">
        <v>199</v>
      </c>
    </row>
    <row r="37" spans="1:10" ht="43.2">
      <c r="A37" s="59" t="s">
        <v>200</v>
      </c>
      <c r="B37" s="33"/>
      <c r="C37" s="57" t="s">
        <v>160</v>
      </c>
      <c r="D37" s="56" t="s">
        <v>24</v>
      </c>
      <c r="E37" s="56" t="s">
        <v>11</v>
      </c>
      <c r="F37" s="69" t="s">
        <v>5</v>
      </c>
      <c r="G37" s="56">
        <v>1</v>
      </c>
      <c r="H37" s="55">
        <f>[1]Initialization!$B$10</f>
        <v>2</v>
      </c>
      <c r="I37" s="61">
        <f>IF(OR('[2]Model Selection'!$B$10=5,'[2]Model Selection'!$B$10=6),1,0)</f>
        <v>0</v>
      </c>
      <c r="J37" s="60" t="s">
        <v>201</v>
      </c>
    </row>
    <row r="38" spans="1:10" ht="43.2">
      <c r="A38" s="59" t="s">
        <v>202</v>
      </c>
      <c r="B38" s="33"/>
      <c r="C38" s="57" t="s">
        <v>160</v>
      </c>
      <c r="D38" s="56" t="s">
        <v>24</v>
      </c>
      <c r="E38" s="56" t="s">
        <v>11</v>
      </c>
      <c r="F38" s="69" t="s">
        <v>5</v>
      </c>
      <c r="G38" s="56"/>
      <c r="H38" s="55">
        <f>[1]Initialization!$B$10</f>
        <v>2</v>
      </c>
      <c r="I38" s="61">
        <f>IF(OR('[2]Model Selection'!$B$10=5,'[2]Model Selection'!$B$10=6),1,0)</f>
        <v>0</v>
      </c>
      <c r="J38" s="60" t="s">
        <v>203</v>
      </c>
    </row>
    <row r="39" spans="1:10" ht="43.2">
      <c r="A39" s="59" t="s">
        <v>204</v>
      </c>
      <c r="B39" s="33"/>
      <c r="C39" s="57" t="s">
        <v>160</v>
      </c>
      <c r="D39" s="56" t="s">
        <v>24</v>
      </c>
      <c r="E39" s="56" t="s">
        <v>11</v>
      </c>
      <c r="F39" s="69" t="s">
        <v>5</v>
      </c>
      <c r="G39" s="56">
        <v>1</v>
      </c>
      <c r="H39" s="55">
        <f>[1]Initialization!$B$10</f>
        <v>2</v>
      </c>
      <c r="I39" s="61">
        <f>IF(OR('[2]Model Selection'!$B$10=5,'[2]Model Selection'!$B$10=6),1,0)</f>
        <v>0</v>
      </c>
      <c r="J39" s="60" t="s">
        <v>205</v>
      </c>
    </row>
    <row r="40" spans="1:10" ht="43.2">
      <c r="A40" s="59" t="s">
        <v>206</v>
      </c>
      <c r="B40" s="33"/>
      <c r="C40" s="57" t="s">
        <v>160</v>
      </c>
      <c r="D40" s="56" t="s">
        <v>24</v>
      </c>
      <c r="E40" s="56" t="s">
        <v>11</v>
      </c>
      <c r="F40" s="69" t="s">
        <v>5</v>
      </c>
      <c r="G40" s="56"/>
      <c r="H40" s="55">
        <f>[1]Initialization!$B$10</f>
        <v>2</v>
      </c>
      <c r="I40" s="61">
        <f>IF(OR('[2]Model Selection'!$B$10=5,'[2]Model Selection'!$B$10=6),1,0)</f>
        <v>0</v>
      </c>
      <c r="J40" s="60" t="s">
        <v>207</v>
      </c>
    </row>
    <row r="41" spans="1:10" ht="43.2">
      <c r="A41" s="59" t="s">
        <v>208</v>
      </c>
      <c r="B41" s="33"/>
      <c r="C41" s="57" t="s">
        <v>3</v>
      </c>
      <c r="D41" s="56" t="s">
        <v>24</v>
      </c>
      <c r="E41" s="56" t="s">
        <v>11</v>
      </c>
      <c r="F41" s="69" t="s">
        <v>5</v>
      </c>
      <c r="G41" s="56">
        <v>1</v>
      </c>
      <c r="H41" s="55">
        <f>[1]Initialization!$B$10</f>
        <v>2</v>
      </c>
      <c r="I41" s="61">
        <f>IF(OR('[2]Model Selection'!$B$10=5,'[2]Model Selection'!$B$10=6),1,0)</f>
        <v>0</v>
      </c>
      <c r="J41" s="60" t="s">
        <v>209</v>
      </c>
    </row>
    <row r="42" spans="1:10" ht="43.2">
      <c r="A42" s="59" t="s">
        <v>210</v>
      </c>
      <c r="B42" s="33"/>
      <c r="C42" s="57" t="s">
        <v>3</v>
      </c>
      <c r="D42" s="56" t="s">
        <v>24</v>
      </c>
      <c r="E42" s="56" t="s">
        <v>11</v>
      </c>
      <c r="F42" s="69" t="s">
        <v>5</v>
      </c>
      <c r="G42" s="56"/>
      <c r="H42" s="55">
        <f>[1]Initialization!$B$10</f>
        <v>2</v>
      </c>
      <c r="I42" s="61">
        <f>IF(OR('[2]Model Selection'!$B$10=5,'[2]Model Selection'!$B$10=6),1,0)</f>
        <v>0</v>
      </c>
      <c r="J42" s="60" t="s">
        <v>211</v>
      </c>
    </row>
    <row r="43" spans="1:10" ht="43.2">
      <c r="A43" s="59" t="s">
        <v>212</v>
      </c>
      <c r="B43" s="33"/>
      <c r="C43" s="57" t="s">
        <v>3</v>
      </c>
      <c r="D43" s="56" t="s">
        <v>24</v>
      </c>
      <c r="E43" s="56" t="s">
        <v>11</v>
      </c>
      <c r="F43" s="69" t="s">
        <v>5</v>
      </c>
      <c r="G43" s="56">
        <v>1</v>
      </c>
      <c r="H43" s="55">
        <f>[1]Initialization!$B$10</f>
        <v>2</v>
      </c>
      <c r="I43" s="61">
        <f>IF(OR('[2]Model Selection'!$B$10=5,'[2]Model Selection'!$B$10=6),1,0)</f>
        <v>0</v>
      </c>
      <c r="J43" s="60" t="s">
        <v>213</v>
      </c>
    </row>
    <row r="44" spans="1:10" ht="43.2">
      <c r="A44" s="59" t="s">
        <v>214</v>
      </c>
      <c r="B44" s="33"/>
      <c r="C44" s="57" t="s">
        <v>3</v>
      </c>
      <c r="D44" s="56" t="s">
        <v>24</v>
      </c>
      <c r="E44" s="56" t="s">
        <v>11</v>
      </c>
      <c r="F44" s="69" t="s">
        <v>5</v>
      </c>
      <c r="G44" s="56"/>
      <c r="H44" s="55">
        <f>[1]Initialization!$B$10</f>
        <v>2</v>
      </c>
      <c r="I44" s="61">
        <f>IF(OR('[2]Model Selection'!$B$10=5,'[2]Model Selection'!$B$10=6),1,0)</f>
        <v>0</v>
      </c>
      <c r="J44" s="60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waMj8Hv9Dk+zJ1tWsUkI3yFxJAhbAF01bEbgp5Sc6Kfg/xd3rnyVc3OUjARc+2vMnq97HW6fi5I5cF9GHN7+OQ==" saltValue="VmX5py5AtwvdIOGLcB+q3g==" spinCount="100000" sheet="1" objects="1" scenarios="1" selectLockedCells="1"/>
  <mergeCells count="2">
    <mergeCell ref="A3:J3"/>
    <mergeCell ref="J4:J8"/>
  </mergeCells>
  <conditionalFormatting sqref="B10:B1048576">
    <cfRule type="expression" dxfId="26" priority="19">
      <formula>IF(AND($B10&lt;&gt;"",$I10=0),1,0)</formula>
    </cfRule>
    <cfRule type="expression" dxfId="25" priority="20">
      <formula>IF($B10&lt;&gt;"",1,0)</formula>
    </cfRule>
    <cfRule type="expression" dxfId="24" priority="21">
      <formula>$I10=0</formula>
    </cfRule>
  </conditionalFormatting>
  <conditionalFormatting sqref="B13">
    <cfRule type="expression" dxfId="23" priority="10">
      <formula>IF(AND($B13&lt;&gt;"",$I13=0),1,0)</formula>
    </cfRule>
    <cfRule type="expression" dxfId="22" priority="11">
      <formula>IF($B13&lt;&gt;"",1,0)</formula>
    </cfRule>
    <cfRule type="expression" dxfId="21" priority="12">
      <formula>$I13=0</formula>
    </cfRule>
  </conditionalFormatting>
  <conditionalFormatting sqref="B10">
    <cfRule type="expression" dxfId="20" priority="7">
      <formula>IF(AND($B10&lt;&gt;"",$I10=0),1,0)</formula>
    </cfRule>
    <cfRule type="expression" dxfId="19" priority="8">
      <formula>IF($B10&lt;&gt;"",1,0)</formula>
    </cfRule>
    <cfRule type="expression" dxfId="18" priority="9">
      <formula>$I10=0</formula>
    </cfRule>
  </conditionalFormatting>
  <conditionalFormatting sqref="J4">
    <cfRule type="expression" dxfId="17" priority="2064">
      <formula>IF(COUNTA($B$10:$B$45)&lt;&gt;COUNTIF($I$10:$I$45,1),1,0)</formula>
    </cfRule>
    <cfRule type="expression" dxfId="16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5" priority="10">
      <formula>IF(AND($B12&lt;&gt;"",$I12=0),1,0)</formula>
    </cfRule>
    <cfRule type="expression" dxfId="14" priority="11">
      <formula>IF($B12&lt;&gt;"",1,0)</formula>
    </cfRule>
    <cfRule type="expression" dxfId="13" priority="12">
      <formula>$I12=0</formula>
    </cfRule>
  </conditionalFormatting>
  <conditionalFormatting sqref="B10:B11">
    <cfRule type="expression" dxfId="12" priority="1">
      <formula>IF(AND($B10&lt;&gt;"",$I10=0),1,0)</formula>
    </cfRule>
    <cfRule type="expression" dxfId="11" priority="2">
      <formula>IF($B10&lt;&gt;"",1,0)</formula>
    </cfRule>
    <cfRule type="expression" dxfId="10" priority="3">
      <formula>$I10=0</formula>
    </cfRule>
  </conditionalFormatting>
  <conditionalFormatting sqref="J4">
    <cfRule type="expression" dxfId="9" priority="2052">
      <formula>IF(COUNTA($B$10:$B$12)&lt;&gt;COUNTIF($I$10:$I$12,1),1,0)</formula>
    </cfRule>
    <cfRule type="expression" dxfId="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7" priority="7">
      <formula>IF(AND($B11&lt;&gt;"",$I11=0),1,0)</formula>
    </cfRule>
    <cfRule type="expression" dxfId="6" priority="8">
      <formula>IF($B11&lt;&gt;"",1,0)</formula>
    </cfRule>
    <cfRule type="expression" dxfId="5" priority="9">
      <formula>$I11=0</formula>
    </cfRule>
  </conditionalFormatting>
  <conditionalFormatting sqref="B10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T2">
        <v>62</v>
      </c>
      <c r="AU2">
        <v>19.7</v>
      </c>
      <c r="AW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2023-04-12T01:48:07Z</dcterms:modified>
</cp:coreProperties>
</file>