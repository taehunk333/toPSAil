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F4C3E8E5-0106-2E4C-B95F-B6E0BF1CD195}" xr6:coauthVersionLast="47" xr6:coauthVersionMax="47" xr10:uidLastSave="{00000000-0000-0000-0000-000000000000}"/>
  <bookViews>
    <workbookView xWindow="-20" yWindow="0" windowWidth="28800" windowHeight="18000" tabRatio="818" activeTab="1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4" i="44" s="1"/>
  <c r="J2" i="44"/>
  <c r="A2" i="44"/>
  <c r="J2" i="31"/>
  <c r="A2" i="31"/>
  <c r="J2" i="43"/>
  <c r="A2" i="43"/>
  <c r="J2" i="40"/>
  <c r="A2" i="40"/>
  <c r="J4" i="43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<sst xmlns="http://schemas.openxmlformats.org/spreadsheetml/2006/main" count="281" uniqueCount="138">
  <si>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</si>
  <si>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</si>
  <si>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</si>
  <si>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</si>
  <si>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</si>
  <si>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</si>
  <si>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</si>
  <si>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</si>
  <si>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</si>
  <si>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</si>
  <si>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</si>
  <si>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</si>
  <si>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</si>
  <si>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</si>
  <si>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</si>
  <si>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</si>
  <si>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</si>
  <si>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</si>
  <si>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</si>
  <si>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</si>
  <si>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</si>
  <si>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</si>
  <si>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</si>
  <si>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</si>
  <si>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</si>
  <si>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</si>
  <si>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</si>
  <si>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</si>
  <si>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</si>
  <si>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</si>
  <si>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</si>
  <si>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</si>
  <si>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</si>
  <si>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</si>
  <si>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</si>
  <si>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</si>
  <si>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</si>
  <si>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</si>
  <si>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</si>
  <si>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</si>
  <si>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</si>
  <si>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</si>
  <si>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</si>
  <si>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</si>
  <si>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</si>
  <si>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</si>
  <si>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</si>
  <si>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</si>
  <si>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</si>
  <si>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</si>
  <si>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</si>
  <si>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</si>
  <si>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</si>
  <si>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</si>
  <si>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</si>
  <si>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</si>
  <si>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</si>
  <si>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</si>
  <si>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</si>
  <si>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</si>
  <si>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</si>
  <si>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</si>
  <si>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</si>
  <si>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</si>
  <si>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</si>
  <si>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</si>
  <si>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</si>
  <si>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</si>
  <si>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</si>
  <si>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</si>
  <si>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</si>
  <si>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</si>
  <si>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</si>
  <si>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</si>
  <si>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</si>
  <si>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</si>
  <si>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</si>
  <si>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</si>
  <si>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</si>
  <si>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</si>
  <si>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</si>
  <si>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</si>
  <si>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</si>
  <si>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</si>
  <si>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</si>
  <si>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</si>
  <si>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</si>
  <si>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</si>
  <si>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</si>
  <si>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</si>
  <si>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</si>
  <si>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</si>
  <si>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</si>
  <si>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</si>
  <si>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</si>
  <si>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</si>
  <si>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</si>
  <si>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</si>
  <si>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</si>
  <si>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</si>
  <si>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</si>
  <si>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</si>
  <si>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</si>
  <si>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</si>
  <si>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</si>
  <si>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</si>
  <si>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</si>
  <si>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</si>
  <si>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</si>
  <si>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</si>
  <si>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</si>
  <si>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</si>
  <si>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</si>
  <si>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</si>
  <si>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</si>
  <si>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</si>
  <si>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</si>
  <si>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</si>
  <si>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</si>
  <si>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</si>
  <si>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</si>
  <si>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</si>
  <si>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</si>
  <si>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</si>
  <si>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</si>
  <si>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1 = feed gas at a feed pressure
2 = feed gas at an extract product pressure
3 = extract product gas at a feed pressure
4 = extract product gas at an extract product pressure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</si>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</sst>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  <sheetName val="PFD"/>
    </sheetNames>
    <sheetDataSet>
      <sheetData sheetId="0">
        <row r="4">
          <cell r="D4" t="str">
            <v>REV. NO.1 (6/8/2022)</v>
          </cell>
        </row>
      </sheetData>
      <sheetData sheetId="1">
        <row r="15">
          <cell r="C15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105</v>
      </c>
      <c r="U1" t="s">
        <v>106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107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108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109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110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111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112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113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103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104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8" sqref="E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136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2" t="s">
        <v>39</v>
      </c>
      <c r="E5" s="52"/>
      <c r="F5" s="52"/>
      <c r="G5" s="52"/>
      <c r="H5" s="52"/>
      <c r="I5" s="52"/>
      <c r="J5" s="52"/>
    </row>
    <row r="6" spans="4:10" ht="20" x14ac:dyDescent="0.2">
      <c r="D6" s="46" t="s">
        <v>33</v>
      </c>
      <c r="E6" s="46" t="s">
        <v>114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137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135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64" x14ac:dyDescent="0.2">
      <c r="A10" s="4" t="s">
        <v>115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125</v>
      </c>
    </row>
    <row r="11" spans="1:10" ht="16" x14ac:dyDescent="0.2">
      <c r="A11" s="38" t="s">
        <v>116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126</v>
      </c>
    </row>
    <row r="12" spans="1:10" ht="16" x14ac:dyDescent="0.2">
      <c r="A12" s="4" t="s">
        <v>117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y/wpvWgeRFodkoGhSFHZrP2AIfx+pJYnLxo3oF5kJ634EhJhn9WTa9eIBFyaAb1XXhgLDbPolVi+OCNPO2ehmw==" saltValue="74PfzDS/brURPu2kkNsbGQ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118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119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120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P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121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32" x14ac:dyDescent="0.2">
      <c r="A11" s="38" t="s">
        <v>122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32" x14ac:dyDescent="0.2">
      <c r="A12" s="38" t="s">
        <v>123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32" x14ac:dyDescent="0.2">
      <c r="A13" s="38" t="s">
        <v>124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bHmkNd3Lt1p/wqjj1Mbe+1FS6QJoKoAWesV3Hmu+/gKI5c6Bh/O8LNauW5KWyDY2MkoJKsjS3xpxcRAt+FOrQ==" saltValue="je3zXe5eQHhiqRaNV7ZG9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131</v>
      </c>
      <c r="B10" s="32">
        <v>3.0856050000000002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">
        <f>[1]Initialization!$C$15</f>
        <v>1</v>
      </c>
      <c r="J10" s="5" t="s">
        <v>128</v>
      </c>
    </row>
    <row r="11" spans="1:10" ht="16" x14ac:dyDescent="0.2">
      <c r="A11" s="38" t="s">
        <v>132</v>
      </c>
      <c r="B11" s="32">
        <v>3.1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6">
        <f>[1]Initialization!$C$15</f>
        <v>1</v>
      </c>
      <c r="J11" s="5" t="s">
        <v>129</v>
      </c>
    </row>
    <row r="12" spans="1:10" ht="32" x14ac:dyDescent="0.2">
      <c r="A12" s="38" t="s">
        <v>133</v>
      </c>
      <c r="B12" s="51">
        <v>5.0699999999999997E-6</v>
      </c>
      <c r="C12" s="35" t="s">
        <v>134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f>[1]Initialization!$C$15</f>
        <v>1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O4Xsc38eHLiFq/I2xMMH6n5qo8AyOugdTARoqUDF8RbTDdXjeDkzH6Bcu+da6rQn8F2pLHxiJPCEaQCiyCFubg==" saltValue="rLhFMpvt85QjAg+OIvVPA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115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131</v>
      </c>
      <c r="O1" t="s">
        <v>132</v>
      </c>
      <c r="P1" t="s">
        <v>133</v>
      </c>
      <c r="Q1" t="s">
        <v>79</v>
      </c>
    </row>
    <row r="2" spans="1:17" x14ac:dyDescent="0.2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  <c r="N2">
        <v>3.0856050000000002</v>
      </c>
      <c r="O2">
        <v>3.1</v>
      </c>
      <c r="P2">
        <v>5.0699999999999997E-6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115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131</v>
      </c>
      <c r="O1" t="s">
        <v>132</v>
      </c>
      <c r="P1" t="s">
        <v>133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2022-09-14T02:36:15Z</dcterms:modified>
</cp:coreProperties>
</file>