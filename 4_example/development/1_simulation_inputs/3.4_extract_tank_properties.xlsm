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67BC8392-1D0C-5540-B763-B6727ADC9FB7}" xr6:coauthVersionLast="47" xr6:coauthVersionMax="47" xr10:uidLastSave="{00000000-0000-0000-0000-000000000000}"/>
  <bookViews>
    <workbookView xWindow="0" yWindow="0" windowWidth="23260" windowHeight="13180" tabRatio="818" activeTab="6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4" l="1"/>
  <c r="J11" i="44"/>
  <c r="J10" i="44"/>
  <c r="K4" i="44"/>
  <c r="K2" i="44"/>
  <c r="B2" i="44"/>
  <c r="K2" i="31"/>
  <c r="B2" i="31"/>
  <c r="K2" i="43"/>
  <c r="B2" i="43"/>
  <c r="K2" i="40"/>
  <c r="B2" i="40"/>
  <c r="K4" i="43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H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<sst xmlns="http://schemas.openxmlformats.org/spreadsheetml/2006/main" count="283" uniqueCount="141">
  <si>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</si>
  <si>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</si>
  <si>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</si>
  <si>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</si>
  <si>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</si>
  <si>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</si>
  <si>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</si>
  <si>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</si>
  <si>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</si>
  <si>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</si>
  <si>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</si>
  <si>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</si>
  <si>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</si>
  <si>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</si>
  <si>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</si>
  <si>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</si>
  <si>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</si>
  <si>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</si>
  <si>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</si>
  <si>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</si>
  <si>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</si>
  <si>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</si>
  <si>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</si>
  <si>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</si>
  <si>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</si>
  <si>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</si>
  <si>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</si>
  <si>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</si>
  <si>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</si>
  <si>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</si>
  <si>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</si>
  <si>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</si>
  <si>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</si>
  <si>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</si>
  <si>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</si>
  <si>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</si>
  <si>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</si>
  <si>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</si>
  <si>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</si>
  <si>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</si>
  <si>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</si>
  <si>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</si>
  <si>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</si>
  <si>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</si>
  <si>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</si>
  <si>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</si>
  <si>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</si>
  <si>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</si>
  <si>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</si>
  <si>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</si>
  <si>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</si>
  <si>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</si>
  <si>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</si>
  <si>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</si>
  <si>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</si>
  <si>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</si>
  <si>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</si>
  <si>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</si>
  <si>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</si>
  <si>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</si>
  <si>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</si>
  <si>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</si>
  <si>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</si>
  <si>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</si>
  <si>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</si>
  <si>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</si>
  <si>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</si>
  <si>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</si>
  <si>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</si>
  <si>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</si>
  <si>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</si>
  <si>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</si>
  <si>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</si>
  <si>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</si>
  <si>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</si>
  <si>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</si>
  <si>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</si>
  <si>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</si>
  <si>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</si>
  <si>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</si>
  <si>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</si>
  <si>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</si>
  <si>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</si>
  <si>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</si>
  <si>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</si>
  <si>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</si>
  <si>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</si>
  <si>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</si>
  <si>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</si>
  <si>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</si>
  <si>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</si>
  <si>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</si>
  <si>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</si>
  <si>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</si>
  <si>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</si>
  <si>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</si>
  <si>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</si>
  <si>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</si>
  <si>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</si>
  <si>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</si>
  <si>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</si>
  <si>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</si>
  <si>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</si>
  <si>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</si>
  <si>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</si>
  <si>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</si>
  <si>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</si>
  <si>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</si>
  <si>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</si>
  <si>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</si>
  <si>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</si>
  <si>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</si>
  <si>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</si>
  <si>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</si>
  <si>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</si>
  <si>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</si>
  <si>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</si>
  <si>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</si>
  <si>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Feed Tank Information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</si>
  <si>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</si>
  <si>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</si>
  <si>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</si>
  <si>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</si>
  <si>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</si>
  <si>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</si>
  <si>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</si>
  <si>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</si>
  <si>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</si>
  <si>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</si>
  <si>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</si>
  <si>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</si>
  <si>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</si>
  <si>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1.1  Only when the pressure inside the tank exceeds a threshold, the flow is allowed.</t>
  </si>
  <si>
    <t>1. There is a check valve after the extract tank.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</si>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</sst>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PFD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FBD78E5-9EE4-334E-826B-E559878AC5A5}">
    <text>place 1 if we want to keep the row when re-initializing. Otherwise, leave it as a blank.</text>
  </threadedComment>
  <threadedComment ref="I9" dT="2020-11-26T18:35:03.27" personId="{7F98AE94-13FB-49E1-9262-339C11E0EDB4}" id="{CF3A891B-E796-674E-945C-6344035A52CE}">
    <text>supply a value greater than 1 if you want to duplicate the row</text>
  </threadedComment>
  <threadedComment ref="J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J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G4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115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67" t="s">
        <v>39</v>
      </c>
      <c r="E5" s="67"/>
      <c r="F5" s="67"/>
      <c r="G5" s="67"/>
      <c r="H5" s="67"/>
      <c r="I5" s="67"/>
      <c r="J5" s="67"/>
    </row>
    <row r="6" spans="4:10" ht="20" x14ac:dyDescent="0.2">
      <c r="D6" s="54" t="s">
        <v>33</v>
      </c>
      <c r="E6" s="54" t="s">
        <v>114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116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80" x14ac:dyDescent="0.2">
      <c r="B10" s="40" t="s">
        <v>119</v>
      </c>
      <c r="C10" s="32">
        <v>3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129</v>
      </c>
    </row>
    <row r="11" spans="2:11" ht="16" x14ac:dyDescent="0.2">
      <c r="B11" s="46" t="s">
        <v>120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130</v>
      </c>
    </row>
    <row r="12" spans="2:11" ht="16" x14ac:dyDescent="0.2">
      <c r="B12" s="4" t="s">
        <v>121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131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DEg8uSc3tlWwl39vJkfkhYbtghCcApYcgRw3I0I/b3fCzjmO66IUxdIjgUQs8UMuHLJML2bvfyiHKtCWAb8NsQ==" saltValue="UUhuvuvCxbrT52elwzV4qQ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K4">
    <cfRule type="expression" dxfId="94" priority="2249">
      <formula>IF(COUNTA($C$10:$C$13)&lt;&gt;COUNTIF($J$10:$J$13,1),1,0)</formula>
    </cfRule>
    <cfRule type="expression" dxfId="93" priority="2250">
      <formula>IF(COUNTA($C$10:$C$13)=COUNTIF($J$10:$J$13,1),1,0)</formula>
    </cfRule>
  </conditionalFormatting>
  <conditionalFormatting sqref="C11">
    <cfRule type="expression" dxfId="92" priority="4">
      <formula>IF(AND($C11&lt;&gt;"",$J11=0),1,0)</formula>
    </cfRule>
    <cfRule type="expression" dxfId="91" priority="5">
      <formula>IF($C11&lt;&gt;"",1,0)</formula>
    </cfRule>
    <cfRule type="expression" dxfId="90" priority="6">
      <formula>$J11=0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: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122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6" x14ac:dyDescent="0.2">
      <c r="B11" s="46" t="s">
        <v>123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6" x14ac:dyDescent="0.2">
      <c r="B12" s="46" t="s">
        <v>124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sOz+HsndYzQ3tDuyTLnG4PyYR6ze4Y5hqCGLOWBTiRUBseemT+C1DBT/Kpt64WQ2YjDoHDbH6eGZzWT6vsuPPQ==" saltValue="7icmeXbMMbr2XjrBUIlJeg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K4">
    <cfRule type="expression" dxfId="68" priority="2248">
      <formula>IF(COUNTA($C$10:$C$13)&lt;&gt;COUNTIF($J$10:$J$13,1),1,0)</formula>
    </cfRule>
    <cfRule type="expression" dxfId="67" priority="2249">
      <formula>IF(COUNTA($C$10:$C$13)=COUNTIF($J$10:$J$13,1),1,0)</formula>
    </cfRule>
  </conditionalFormatting>
  <conditionalFormatting sqref="C10:C12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125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32" x14ac:dyDescent="0.2">
      <c r="B11" s="44" t="s">
        <v>126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32" x14ac:dyDescent="0.2">
      <c r="B12" s="39" t="s">
        <v>127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32" x14ac:dyDescent="0.2">
      <c r="B13" s="39" t="s">
        <v>128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W++ISC8Xyiczz2+IH+MVDbkHUJYsYWKJOG9uafCsYK+D4QzxJicAGJJbkAwwpC6h7ELWdJtj+Gi3/jLYI9XgSg==" saltValue="Ena3KebPd8af2ueE+NQfUA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K4">
    <cfRule type="expression" dxfId="45" priority="2253">
      <formula>IF(COUNTA($C$10:$C$14)&lt;&gt;COUNTIF($J$10:$J$14,1),1,0)</formula>
    </cfRule>
    <cfRule type="expression" dxfId="44" priority="2254">
      <formula>IF(COUNTA($C$10:$C$14)=COUNTIF($J$10:$J$14,1),1,0)</formula>
    </cfRule>
  </conditionalFormatting>
  <conditionalFormatting sqref="C12:C13">
    <cfRule type="expression" dxfId="43" priority="4">
      <formula>IF(AND($C12&lt;&gt;"",$J12=0),1,0)</formula>
    </cfRule>
    <cfRule type="expression" dxfId="42" priority="5">
      <formula>IF($C12&lt;&gt;"",1,0)</formula>
    </cfRule>
    <cfRule type="expression" dxfId="41" priority="6">
      <formula>$J12=0</formula>
    </cfRule>
  </conditionalFormatting>
  <conditionalFormatting sqref="C10:C11">
    <cfRule type="expression" dxfId="40" priority="1">
      <formula>IF(AND($C10&lt;&gt;"",$J10=0),1,0)</formula>
    </cfRule>
    <cfRule type="expression" dxfId="39" priority="2">
      <formula>IF($C10&lt;&gt;"",1,0)</formula>
    </cfRule>
    <cfRule type="expression" dxfId="38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IF(COUNTIF(Table11024124[Test 3],1)=COUNTA(Table11024124[Value]),"Ready","Not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137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f>[1]Initialization!$C$15</f>
        <v>1</v>
      </c>
      <c r="K10" s="5" t="s">
        <v>134</v>
      </c>
    </row>
    <row r="11" spans="2:11" ht="16" x14ac:dyDescent="0.2">
      <c r="B11" s="46" t="s">
        <v>138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f>[1]Initialization!$C$15</f>
        <v>1</v>
      </c>
      <c r="K11" s="5" t="s">
        <v>135</v>
      </c>
    </row>
    <row r="12" spans="2:11" ht="32" x14ac:dyDescent="0.2">
      <c r="B12" s="46" t="s">
        <v>139</v>
      </c>
      <c r="C12" s="66">
        <v>5.0699999999999997E-6</v>
      </c>
      <c r="D12" s="35" t="s">
        <v>140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f>[1]Initialization!$C$15</f>
        <v>1</v>
      </c>
      <c r="K12" s="5" t="s">
        <v>136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gKXLu3A05LJNspWFNAQdrr/oFNT1pOkxVJajcgs+tTGBc3FFeQ7LEpIVbDBYqw8gz9Pu7GUYSf0QJ/HVGCxuZA==" saltValue="g5Qwj0SGavtF2zykL1Nafw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5">
      <formula>IF(COUNTA($C$10:$C$13)&lt;&gt;COUNTIF($J$10:$J$13,1),1,0)</formula>
    </cfRule>
    <cfRule type="expression" dxfId="15" priority="225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G10:G13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F10:F13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tabSelected="1" zoomScale="85" zoomScaleNormal="85" zoomScaleSheetLayoutView="55" workbookViewId="0">
      <pane ySplit="1" topLeftCell="A2" activePane="bottomLeft" state="frozen"/>
      <selection activeCell="C7" sqref="C7"/>
      <selection pane="bottomLeft" activeCell="I8" sqref="I8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'[2]Revision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'[3]Revision History'!$J$4</f>
        <v>Scott Research Group (jkscottresearchgroup.com)</v>
      </c>
    </row>
    <row r="2" spans="1:17" ht="15" x14ac:dyDescent="0.2">
      <c r="A2" s="74" t="s">
        <v>118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117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5" x14ac:dyDescent="0.2">
      <c r="A5" s="63"/>
      <c r="B5" s="65"/>
      <c r="C5" s="76" t="s">
        <v>133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</row>
    <row r="6" spans="1:17" ht="15" x14ac:dyDescent="0.2">
      <c r="A6" s="63"/>
      <c r="B6" s="64"/>
      <c r="C6" s="64"/>
      <c r="D6" s="64" t="s">
        <v>132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5" x14ac:dyDescent="0.2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119</v>
      </c>
      <c r="B1" t="s">
        <v>120</v>
      </c>
      <c r="C1" t="s">
        <v>121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  <c r="N1" t="s">
        <v>137</v>
      </c>
      <c r="O1" t="s">
        <v>138</v>
      </c>
      <c r="P1" t="s">
        <v>139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119</v>
      </c>
      <c r="B1" t="s">
        <v>120</v>
      </c>
      <c r="C1" t="s">
        <v>121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  <c r="N1" t="s">
        <v>137</v>
      </c>
      <c r="O1" t="s">
        <v>138</v>
      </c>
      <c r="P1" t="s">
        <v>139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2022-08-28T01:12:15Z</dcterms:modified>
</cp:coreProperties>
</file>