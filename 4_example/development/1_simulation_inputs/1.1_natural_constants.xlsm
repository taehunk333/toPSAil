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C39C23D0-2C5A-E04B-9EAF-05E8B887694F}" xr6:coauthVersionLast="47" xr6:coauthVersionMax="47" xr10:uidLastSave="{00000000-0000-0000-0000-000000000000}"/>
  <bookViews>
    <workbookView xWindow="0" yWindow="0" windowWidth="23260" windowHeight="13180" tabRatio="818" activeTab="5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'Ambient Conditions'!$B$9:$K$12</definedName>
    <definedName name="_xlnm._FilterDatabase" localSheetId="4" hidden="1">'Ideal Gas Properties'!$B$9:$K$12</definedName>
    <definedName name="_xlnm._FilterDatabase" localSheetId="3" hidden="1">'Standard Conditions'!$B$9:$K$12</definedName>
    <definedName name="_xlnm.Print_Area" localSheetId="2">'Ambient Conditions'!$B$2:$K$12</definedName>
    <definedName name="_xlnm.Print_Area" localSheetId="4">'Ideal Gas Properties'!$B$2:$K$12</definedName>
    <definedName name="_xlnm.Print_Area" localSheetId="0">'Revision History'!$C$3:$K$51</definedName>
    <definedName name="_xlnm.Print_Area" localSheetId="3">'Standard Conditions'!$B$2:$K$12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3" l="1"/>
  <c r="K2" i="33"/>
  <c r="B2" i="33"/>
  <c r="K4" i="31"/>
  <c r="K2" i="31"/>
  <c r="B2" i="31"/>
  <c r="Q1" i="29" l="1"/>
  <c r="A1" i="29"/>
  <c r="K2" i="21"/>
  <c r="K4" i="21" l="1"/>
  <c r="B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H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H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H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<sst xmlns="http://schemas.openxmlformats.org/spreadsheetml/2006/main" count="211" uniqueCount="124">
  <si>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</si>
  <si>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</si>
  <si>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</si>
  <si>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</si>
  <si>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</si>
  <si>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</si>
  <si>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</si>
  <si>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</si>
  <si>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</si>
  <si>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</si>
  <si>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</si>
  <si>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</si>
  <si>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</si>
  <si>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</si>
  <si>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</si>
  <si>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</si>
  <si>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</si>
  <si>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</si>
  <si>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</si>
  <si>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</si>
  <si>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</si>
  <si>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</si>
  <si>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</si>
  <si>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</si>
  <si>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</si>
  <si>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</si>
  <si>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</si>
  <si>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</si>
  <si>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</si>
  <si>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</si>
  <si>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</si>
  <si>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</si>
  <si>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</si>
  <si>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</si>
  <si>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</si>
  <si>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</si>
  <si>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</si>
  <si>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</si>
  <si>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</si>
  <si>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</si>
  <si>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</si>
  <si>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</si>
  <si>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</si>
  <si>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</si>
  <si>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</si>
  <si>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</si>
  <si>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</si>
  <si>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</si>
  <si>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</si>
  <si>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</si>
  <si>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</si>
  <si>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</si>
  <si>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</si>
  <si>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</si>
  <si>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</si>
  <si>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</si>
  <si>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</si>
  <si>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</si>
  <si>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</si>
  <si>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</si>
  <si>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</si>
  <si>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</si>
  <si>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</si>
  <si>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</si>
  <si>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</si>
  <si>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</si>
  <si>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</si>
  <si>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</si>
  <si>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</si>
  <si>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</si>
  <si>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</si>
  <si>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</si>
  <si>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</si>
  <si>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</si>
  <si>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</si>
  <si>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</si>
  <si>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</si>
  <si>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</si>
  <si>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</si>
  <si>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</si>
  <si>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</si>
  <si>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</si>
  <si>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cc/mol(STP)</t>
  </si>
  <si>
    <t>The molar volume of an ideal gas at STP.</t>
  </si>
  <si>
    <t>molVolIdg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</si>
  <si>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</si>
  <si>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</si>
  <si>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</si>
  <si>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</si>
  <si>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</si>
  <si>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</si>
  <si>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</si>
  <si>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</si>
  <si>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</si>
  <si>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</si>
  <si>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</si>
  <si>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</si>
  <si>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</si>
  <si>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</si>
  <si>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</si>
  <si>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</si>
  <si>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</si>
  <si>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</si>
  <si>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</si>
  <si>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</si>
  <si>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</si>
  <si>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</si>
  <si>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</si>
  <si>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</si>
  <si>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</si>
  <si>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</si>
  <si>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</si>
  <si>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</si>
  <si>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</si>
  <si>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</si>
  <si>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</si>
  <si>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</si>
  <si>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</si>
  <si>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</si>
  <si>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Natural Constants</t>
  </si>
  <si>
    <t>Natural Cosntants Reference Sources</t>
  </si>
  <si>
    <t>1. Readily available via web</t>
  </si>
  <si>
    <t>presAmbi</t>
  </si>
  <si>
    <t>The ambient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</si>
</sst>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13" fillId="5" borderId="0" xfId="1" applyFont="1" applyFill="1" applyAlignment="1" applyProtection="1">
      <alignment horizontal="left" vertical="center"/>
    </xf>
    <xf numFmtId="0" fontId="14" fillId="5" borderId="0" xfId="1" applyFont="1" applyFill="1" applyAlignment="1" applyProtection="1">
      <alignment vertical="center" wrapText="1"/>
    </xf>
    <xf numFmtId="0" fontId="14" fillId="5" borderId="0" xfId="1" applyFont="1" applyFill="1" applyAlignment="1" applyProtection="1">
      <alignment horizontal="center" vertical="center"/>
    </xf>
    <xf numFmtId="0" fontId="14" fillId="5" borderId="0" xfId="1" applyFont="1" applyFill="1" applyProtection="1">
      <alignment vertical="center"/>
    </xf>
    <xf numFmtId="0" fontId="15" fillId="5" borderId="0" xfId="2" applyFont="1" applyFill="1" applyAlignment="1" applyProtection="1">
      <alignment horizontal="right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B9:K12" totalsRowShown="0" headerRowDxfId="57" dataDxfId="55" headerRowBorderDxfId="56" tableBorderDxfId="54" totalsRowBorderDxfId="53">
  <autoFilter ref="B9:K12" xr:uid="{B089C5C3-2CCE-4800-96CA-2131BB6E3E4F}"/>
  <tableColumns count="10">
    <tableColumn id="1" xr3:uid="{BE3B2DEE-DF6A-46EA-87C5-02B591519356}" name="Variable" dataDxfId="52"/>
    <tableColumn id="4" xr3:uid="{16CE1BD9-7D47-4704-8FA6-CD86B748A3E3}" name="Value" dataDxfId="51"/>
    <tableColumn id="5" xr3:uid="{36460C95-E98A-4995-9DB3-D2B2F9F98D63}" name="Unit" dataDxfId="50"/>
    <tableColumn id="6" xr3:uid="{E1C8ECF4-FEB3-4665-8CEE-7C4D0141700B}" name="Comparisons" dataDxfId="49"/>
    <tableColumn id="7" xr3:uid="{DE053069-9FED-4EC1-A9CC-4AA7118E0B96}" name="Variable Type" dataDxfId="48"/>
    <tableColumn id="8" xr3:uid="{5CA32585-E638-437B-858C-976C1896A007}" name="Dependency" dataDxfId="47"/>
    <tableColumn id="12" xr3:uid="{FADB51F9-C264-453D-8FD2-441E6C732E69}" name="Test 1" dataDxfId="46"/>
    <tableColumn id="10" xr3:uid="{1975A85A-F5A9-4FA8-9E1A-17B6A65B4648}" name="Test 2" dataDxfId="45"/>
    <tableColumn id="2" xr3:uid="{EA3DB17D-9195-44FF-A249-252DBB26E40B}" name="Test 3" dataDxfId="44"/>
    <tableColumn id="9" xr3:uid="{B50C6AC4-FE60-4F46-8894-FECA2E9077BE}" name="Description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B9:K12" totalsRowShown="0" headerRowDxfId="37" dataDxfId="35" headerRowBorderDxfId="36" tableBorderDxfId="34" totalsRowBorderDxfId="33">
  <autoFilter ref="B9:K12" xr:uid="{B089C5C3-2CCE-4800-96CA-2131BB6E3E4F}"/>
  <tableColumns count="10">
    <tableColumn id="1" xr3:uid="{91BFE39C-46D9-43DA-B44F-9009693C41F4}" name="Variable" dataDxfId="32"/>
    <tableColumn id="4" xr3:uid="{11A95599-ECE8-4E2A-A04F-F0E6FD5003FE}" name="Value" dataDxfId="31"/>
    <tableColumn id="5" xr3:uid="{06CF7066-F7A1-45A4-BB6D-00EE8CA25387}" name="Unit" dataDxfId="30"/>
    <tableColumn id="6" xr3:uid="{2558DEA0-021E-433F-A097-6A74DA3EA0DB}" name="Comparisons" dataDxfId="29"/>
    <tableColumn id="7" xr3:uid="{3AA5D5F4-F4BF-41CF-9173-522DEE21A030}" name="Variable Type" dataDxfId="28"/>
    <tableColumn id="8" xr3:uid="{D07B8979-0ED3-4576-BB6B-E10E49FBBEB9}" name="Dependency" dataDxfId="27"/>
    <tableColumn id="12" xr3:uid="{4043350D-794D-49B4-9FFC-7FC0D558D874}" name="Test 1" dataDxfId="26"/>
    <tableColumn id="10" xr3:uid="{A4236BFA-FCBC-465F-ADF1-C9507811EDD2}" name="Test 2" dataDxfId="25"/>
    <tableColumn id="2" xr3:uid="{77EF5D8B-EF73-4CFA-928B-79C43C16D3FC}" name="Test 3" dataDxfId="24"/>
    <tableColumn id="9" xr3:uid="{C91705FA-23F3-4253-AE28-F5F992CEAC0E}" name="Description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B9:K12" totalsRowShown="0" headerRowDxfId="14" dataDxfId="12" headerRowBorderDxfId="13" tableBorderDxfId="11" totalsRowBorderDxfId="10">
  <autoFilter ref="B9:K12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65B7B60E-C71D-494E-987D-FC43FC40E3BF}">
    <text>place 1 if we want to keep the row when re-initializing. Otherwise, leave it as a blank.</text>
  </threadedComment>
  <threadedComment ref="I9" dT="2020-11-26T18:35:03.27" personId="{7F98AE94-13FB-49E1-9262-339C11E0EDB4}" id="{238531AF-D0C1-41B1-9598-F05CADBC745C}">
    <text>supply a value greater than 1 if you want to duplicate the row</text>
  </threadedComment>
  <threadedComment ref="J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J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018B9D8-BE2C-4505-9EA4-9684290C1AB4}">
    <text>place 1 if we want to keep the row when re-initializing. Otherwise, leave it as a blank.</text>
  </threadedComment>
  <threadedComment ref="I9" dT="2020-11-26T18:35:03.27" personId="{7F98AE94-13FB-49E1-9262-339C11E0EDB4}" id="{D7509970-8AAE-4972-A62F-C6ED91EF51C9}">
    <text>supply a value greater than 1 if you want to duplicate the row</text>
  </threadedComment>
  <threadedComment ref="J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J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6379D8D-81ED-47B9-B023-3A53C0EEA6A1}">
    <text>place 1 if we want to keep the row when re-initializing. Otherwise, leave it as a blank.</text>
  </threadedComment>
  <threadedComment ref="I9" dT="2020-11-26T18:35:03.27" personId="{7F98AE94-13FB-49E1-9262-339C11E0EDB4}" id="{A9836B3D-A181-4DB2-B823-8999C645C222}">
    <text>supply a value greater than 1 if you want to duplicate the row</text>
  </threadedComment>
  <threadedComment ref="J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J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8" t="s">
        <v>118</v>
      </c>
      <c r="E4" s="49"/>
      <c r="F4" s="50"/>
      <c r="G4" s="51"/>
      <c r="H4" s="51"/>
      <c r="I4" s="51"/>
      <c r="J4" s="52" t="s">
        <v>90</v>
      </c>
    </row>
    <row r="5" spans="4:10" ht="40" x14ac:dyDescent="0.2">
      <c r="D5" s="62" t="s">
        <v>39</v>
      </c>
      <c r="E5" s="62"/>
      <c r="F5" s="62"/>
      <c r="G5" s="62"/>
      <c r="H5" s="62"/>
      <c r="I5" s="62"/>
      <c r="J5" s="62"/>
    </row>
    <row r="6" spans="4:10" ht="20" x14ac:dyDescent="0.2">
      <c r="D6" s="44" t="s">
        <v>33</v>
      </c>
      <c r="E6" s="44" t="s">
        <v>116</v>
      </c>
      <c r="F6" s="44" t="s">
        <v>34</v>
      </c>
      <c r="G6" s="44" t="s">
        <v>35</v>
      </c>
      <c r="H6" s="44" t="s">
        <v>36</v>
      </c>
      <c r="I6" s="44" t="s">
        <v>37</v>
      </c>
      <c r="J6" s="44" t="s">
        <v>38</v>
      </c>
    </row>
    <row r="7" spans="4:10" ht="40" x14ac:dyDescent="0.2">
      <c r="D7" s="37">
        <v>1</v>
      </c>
      <c r="E7" s="46" t="s">
        <v>117</v>
      </c>
      <c r="F7" s="47">
        <v>44720</v>
      </c>
      <c r="G7" s="45" t="s">
        <v>40</v>
      </c>
      <c r="H7" s="37"/>
      <c r="I7" s="37"/>
      <c r="J7" s="38"/>
    </row>
    <row r="8" spans="4:10" ht="19" x14ac:dyDescent="0.2">
      <c r="D8" s="37">
        <v>2</v>
      </c>
      <c r="E8" s="38"/>
      <c r="F8" s="39"/>
      <c r="G8" s="37"/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88</v>
      </c>
      <c r="M1" t="s">
        <v>85</v>
      </c>
      <c r="N1" t="s">
        <v>86</v>
      </c>
      <c r="O1" t="s">
        <v>89</v>
      </c>
      <c r="P1" t="s">
        <v>94</v>
      </c>
      <c r="Q1" t="s">
        <v>98</v>
      </c>
      <c r="R1" t="s">
        <v>99</v>
      </c>
      <c r="S1" t="s">
        <v>100</v>
      </c>
      <c r="T1" t="s">
        <v>107</v>
      </c>
      <c r="U1" t="s">
        <v>108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87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95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96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C12" sqref="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41" customWidth="1"/>
    <col min="5" max="5" width="24.1640625" style="41" customWidth="1"/>
    <col min="6" max="6" width="17.33203125" style="41" customWidth="1"/>
    <col min="7" max="7" width="13.1640625" style="41" customWidth="1"/>
    <col min="8" max="10" width="15" style="41" customWidth="1"/>
    <col min="11" max="11" width="57.5" style="41" customWidth="1"/>
    <col min="12" max="16384" width="8.83203125" style="3" hidden="1"/>
  </cols>
  <sheetData>
    <row r="1" spans="2:11" ht="15" hidden="1" x14ac:dyDescent="0.2">
      <c r="C1" s="3"/>
      <c r="D1" s="3"/>
      <c r="E1" s="3"/>
      <c r="F1" s="3"/>
      <c r="G1" s="3"/>
      <c r="H1" s="3"/>
      <c r="I1" s="3"/>
      <c r="J1" s="3"/>
      <c r="K1" s="3"/>
    </row>
    <row r="2" spans="2:11" ht="15" x14ac:dyDescent="0.2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9" x14ac:dyDescent="0.2">
      <c r="B3" s="63" t="s">
        <v>32</v>
      </c>
      <c r="C3" s="63"/>
      <c r="D3" s="63"/>
      <c r="E3" s="63"/>
      <c r="F3" s="63"/>
      <c r="G3" s="63"/>
      <c r="H3" s="63"/>
      <c r="I3" s="63"/>
      <c r="J3" s="63"/>
      <c r="K3" s="63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4" t="str">
        <f>IF(COUNTIF(Table16112[Test 3],1)=COUNTA(Table16112[Value]),"Ready","Not Ready")</f>
        <v>Ready</v>
      </c>
    </row>
    <row r="5" spans="2:11" ht="14.5" customHeight="1" x14ac:dyDescent="0.2">
      <c r="B5" s="17"/>
      <c r="C5" s="18"/>
      <c r="D5" s="42"/>
      <c r="E5" s="42"/>
      <c r="F5" s="42"/>
      <c r="G5" s="42"/>
      <c r="H5" s="19"/>
      <c r="I5" s="42"/>
      <c r="J5" s="42"/>
      <c r="K5" s="65"/>
    </row>
    <row r="6" spans="2:11" ht="14.5" customHeight="1" x14ac:dyDescent="0.2">
      <c r="B6" s="17"/>
      <c r="C6" s="18"/>
      <c r="D6" s="42"/>
      <c r="E6" s="42"/>
      <c r="F6" s="42"/>
      <c r="G6" s="42"/>
      <c r="H6" s="19"/>
      <c r="I6" s="42"/>
      <c r="J6" s="42"/>
      <c r="K6" s="65"/>
    </row>
    <row r="7" spans="2:11" ht="14.5" customHeight="1" x14ac:dyDescent="0.2">
      <c r="B7" s="17"/>
      <c r="C7" s="18"/>
      <c r="D7" s="42"/>
      <c r="E7" s="42"/>
      <c r="F7" s="42"/>
      <c r="G7" s="42"/>
      <c r="H7" s="19"/>
      <c r="I7" s="42"/>
      <c r="J7" s="42"/>
      <c r="K7" s="65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6"/>
    </row>
    <row r="9" spans="2:11" ht="14.5" customHeight="1" x14ac:dyDescent="0.2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5" customHeight="1" x14ac:dyDescent="0.2">
      <c r="B10" s="4" t="s">
        <v>105</v>
      </c>
      <c r="C10" s="31">
        <v>298.14999999999998</v>
      </c>
      <c r="D10" s="2" t="s">
        <v>21</v>
      </c>
      <c r="E10" s="43" t="s">
        <v>16</v>
      </c>
      <c r="F10" s="43" t="s">
        <v>6</v>
      </c>
      <c r="G10" s="2" t="s">
        <v>49</v>
      </c>
      <c r="H10" s="43">
        <v>1</v>
      </c>
      <c r="I10" s="43">
        <v>1</v>
      </c>
      <c r="J10" s="6">
        <v>1</v>
      </c>
      <c r="K10" s="5" t="s">
        <v>77</v>
      </c>
    </row>
    <row r="11" spans="2:11" ht="14.5" customHeight="1" x14ac:dyDescent="0.2">
      <c r="B11" s="60" t="s">
        <v>122</v>
      </c>
      <c r="C11" s="31">
        <v>1.01325</v>
      </c>
      <c r="D11" s="61" t="s">
        <v>20</v>
      </c>
      <c r="E11" s="43" t="s">
        <v>16</v>
      </c>
      <c r="F11" s="43" t="s">
        <v>6</v>
      </c>
      <c r="G11" s="2" t="s">
        <v>49</v>
      </c>
      <c r="H11" s="43">
        <v>1</v>
      </c>
      <c r="I11" s="43">
        <v>1</v>
      </c>
      <c r="J11" s="6">
        <v>1</v>
      </c>
      <c r="K11" s="5" t="s">
        <v>123</v>
      </c>
    </row>
    <row r="12" spans="2:11" ht="14.5" customHeight="1" x14ac:dyDescent="0.2">
      <c r="B12" s="8" t="s">
        <v>80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SA0bf9uwk2cvvJwHCxNN0SkvqcWzHh+AJvKai9ORhB2v5x8PcumNYJkSH+4iCf6O7jFWLPpudG845sXkmfueTg==" saltValue="e3IyNw45OS/6xpcbNccLyw==" spinCount="100000" sheet="1" objects="1" scenarios="1" selectLockedCells="1"/>
  <mergeCells count="2">
    <mergeCell ref="B3:K3"/>
    <mergeCell ref="K4:K8"/>
  </mergeCells>
  <conditionalFormatting sqref="C12">
    <cfRule type="expression" dxfId="65" priority="10">
      <formula>IF(AND($C12&lt;&gt;"",$J12=0),1,0)</formula>
    </cfRule>
    <cfRule type="expression" dxfId="64" priority="11">
      <formula>IF($C12&lt;&gt;"",1,0)</formula>
    </cfRule>
    <cfRule type="expression" dxfId="63" priority="12">
      <formula>$J12=0</formula>
    </cfRule>
  </conditionalFormatting>
  <conditionalFormatting sqref="C10:C11">
    <cfRule type="expression" dxfId="62" priority="7">
      <formula>IF(AND($C10&lt;&gt;"",$J10=0),1,0)</formula>
    </cfRule>
    <cfRule type="expression" dxfId="61" priority="8">
      <formula>IF($C10&lt;&gt;"",1,0)</formula>
    </cfRule>
    <cfRule type="expression" dxfId="60" priority="9">
      <formula>$J10=0</formula>
    </cfRule>
  </conditionalFormatting>
  <conditionalFormatting sqref="K4">
    <cfRule type="expression" dxfId="59" priority="36">
      <formula>IF(COUNTA($C$10:$C$12)&lt;&gt;COUNTIF($J$10:$J$12,1),1,0)</formula>
    </cfRule>
    <cfRule type="expression" dxfId="58" priority="37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2FFD61-01AC-41FA-B881-82EEF67F4B4F}">
          <x14:formula1>
            <xm:f>Reference!$C$2:$C$23</xm:f>
          </x14:formula1>
          <xm:sqref>G10:G12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E10:E12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K12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B13" sqref="A13:XFD15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41" customWidth="1"/>
    <col min="5" max="5" width="24.1640625" style="41" customWidth="1"/>
    <col min="6" max="6" width="17.33203125" style="41" customWidth="1"/>
    <col min="7" max="7" width="13.1640625" style="41" customWidth="1"/>
    <col min="8" max="10" width="15" style="41" customWidth="1"/>
    <col min="11" max="11" width="57.5" style="41" customWidth="1"/>
    <col min="12" max="16384" width="8.83203125" style="3" hidden="1"/>
  </cols>
  <sheetData>
    <row r="1" spans="2:11" ht="15" hidden="1" x14ac:dyDescent="0.2">
      <c r="C1" s="3"/>
      <c r="D1" s="3"/>
      <c r="E1" s="3"/>
      <c r="F1" s="3"/>
      <c r="G1" s="3"/>
      <c r="H1" s="3"/>
      <c r="I1" s="3"/>
      <c r="J1" s="3"/>
      <c r="K1" s="3"/>
    </row>
    <row r="2" spans="2:11" ht="15" x14ac:dyDescent="0.2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9" x14ac:dyDescent="0.2">
      <c r="B3" s="63" t="s">
        <v>32</v>
      </c>
      <c r="C3" s="63"/>
      <c r="D3" s="63"/>
      <c r="E3" s="63"/>
      <c r="F3" s="63"/>
      <c r="G3" s="63"/>
      <c r="H3" s="63"/>
      <c r="I3" s="63"/>
      <c r="J3" s="63"/>
      <c r="K3" s="63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4" t="str">
        <f>IF(COUNTIF(Table16114[Test 3],1)=COUNTA(Table16114[Value]),"Ready","Not Ready")</f>
        <v>Ready</v>
      </c>
    </row>
    <row r="5" spans="2:11" ht="14.5" customHeight="1" x14ac:dyDescent="0.2">
      <c r="B5" s="17"/>
      <c r="C5" s="18"/>
      <c r="D5" s="42"/>
      <c r="E5" s="42"/>
      <c r="F5" s="42"/>
      <c r="G5" s="42"/>
      <c r="H5" s="19"/>
      <c r="I5" s="42"/>
      <c r="J5" s="42"/>
      <c r="K5" s="65"/>
    </row>
    <row r="6" spans="2:11" ht="14.5" customHeight="1" x14ac:dyDescent="0.2">
      <c r="B6" s="17"/>
      <c r="C6" s="18"/>
      <c r="D6" s="42"/>
      <c r="E6" s="42"/>
      <c r="F6" s="42"/>
      <c r="G6" s="42"/>
      <c r="H6" s="19"/>
      <c r="I6" s="42"/>
      <c r="J6" s="42"/>
      <c r="K6" s="65"/>
    </row>
    <row r="7" spans="2:11" ht="14.5" customHeight="1" x14ac:dyDescent="0.2">
      <c r="B7" s="17"/>
      <c r="C7" s="18"/>
      <c r="D7" s="42"/>
      <c r="E7" s="42"/>
      <c r="F7" s="42"/>
      <c r="G7" s="42"/>
      <c r="H7" s="19"/>
      <c r="I7" s="42"/>
      <c r="J7" s="42"/>
      <c r="K7" s="65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6"/>
    </row>
    <row r="9" spans="2:11" ht="14.5" customHeight="1" x14ac:dyDescent="0.2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5" customHeight="1" x14ac:dyDescent="0.2">
      <c r="B10" s="4" t="s">
        <v>104</v>
      </c>
      <c r="C10" s="31">
        <v>273.14999999999998</v>
      </c>
      <c r="D10" s="2" t="s">
        <v>21</v>
      </c>
      <c r="E10" s="43" t="s">
        <v>14</v>
      </c>
      <c r="F10" s="43" t="s">
        <v>6</v>
      </c>
      <c r="G10" s="2" t="s">
        <v>42</v>
      </c>
      <c r="H10" s="43">
        <v>1</v>
      </c>
      <c r="I10" s="43">
        <v>1</v>
      </c>
      <c r="J10" s="6">
        <v>1</v>
      </c>
      <c r="K10" s="5" t="s">
        <v>97</v>
      </c>
    </row>
    <row r="11" spans="2:11" ht="14.5" customHeight="1" x14ac:dyDescent="0.2">
      <c r="B11" s="4" t="s">
        <v>103</v>
      </c>
      <c r="C11" s="31">
        <v>1.01325</v>
      </c>
      <c r="D11" s="2" t="s">
        <v>20</v>
      </c>
      <c r="E11" s="43" t="s">
        <v>14</v>
      </c>
      <c r="F11" s="43" t="s">
        <v>6</v>
      </c>
      <c r="G11" s="2" t="s">
        <v>42</v>
      </c>
      <c r="H11" s="43">
        <v>1</v>
      </c>
      <c r="I11" s="43">
        <v>1</v>
      </c>
      <c r="J11" s="6">
        <v>1</v>
      </c>
      <c r="K11" s="5" t="s">
        <v>106</v>
      </c>
    </row>
    <row r="12" spans="2:11" ht="14.5" customHeight="1" x14ac:dyDescent="0.2">
      <c r="B12" s="8" t="s">
        <v>80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selectLockedCells="1"/>
  <mergeCells count="2">
    <mergeCell ref="B3:K3"/>
    <mergeCell ref="K4:K8"/>
  </mergeCells>
  <conditionalFormatting sqref="C10:C12">
    <cfRule type="expression" dxfId="42" priority="7">
      <formula>IF(AND($C10&lt;&gt;"",$J10=0),1,0)</formula>
    </cfRule>
    <cfRule type="expression" dxfId="41" priority="8">
      <formula>IF($C10&lt;&gt;"",1,0)</formula>
    </cfRule>
    <cfRule type="expression" dxfId="40" priority="9">
      <formula>$J10=0</formula>
    </cfRule>
  </conditionalFormatting>
  <conditionalFormatting sqref="K4">
    <cfRule type="expression" dxfId="39" priority="43">
      <formula>IF(COUNTA($C$10:$C$12)&lt;&gt;COUNTIF($J$10:$J$12,1),1,0)</formula>
    </cfRule>
    <cfRule type="expression" dxfId="38" priority="4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G10:G12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E10:E12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2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B13" sqref="A13:XFD15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41" customWidth="1"/>
    <col min="5" max="5" width="24.1640625" style="41" customWidth="1"/>
    <col min="6" max="6" width="17.33203125" style="41" customWidth="1"/>
    <col min="7" max="7" width="13.1640625" style="41" customWidth="1"/>
    <col min="8" max="10" width="15" style="41" customWidth="1"/>
    <col min="11" max="11" width="57.5" style="41" customWidth="1"/>
    <col min="12" max="16384" width="8.83203125" style="3" hidden="1"/>
  </cols>
  <sheetData>
    <row r="1" spans="2:11" ht="15" hidden="1" x14ac:dyDescent="0.2">
      <c r="C1" s="3"/>
      <c r="D1" s="3"/>
      <c r="E1" s="3"/>
      <c r="F1" s="3"/>
      <c r="G1" s="3"/>
      <c r="H1" s="3"/>
      <c r="I1" s="3"/>
      <c r="J1" s="3"/>
      <c r="K1" s="3"/>
    </row>
    <row r="2" spans="2:11" ht="15" x14ac:dyDescent="0.2">
      <c r="B2" s="24" t="str">
        <f>'Revision History'!$D$4</f>
        <v>REV. NO.1 (6/8/2022)</v>
      </c>
      <c r="C2" s="25"/>
      <c r="D2" s="25"/>
      <c r="E2" s="25"/>
      <c r="F2" s="25"/>
      <c r="G2" s="25"/>
      <c r="H2" s="25"/>
      <c r="I2" s="25"/>
      <c r="J2" s="25"/>
      <c r="K2" s="26" t="str">
        <f>'Revision History'!$J$4</f>
        <v>Scott Research Group (jkscottresearchgroup.com)</v>
      </c>
    </row>
    <row r="3" spans="2:11" ht="19" x14ac:dyDescent="0.2">
      <c r="B3" s="63" t="s">
        <v>32</v>
      </c>
      <c r="C3" s="63"/>
      <c r="D3" s="63"/>
      <c r="E3" s="63"/>
      <c r="F3" s="63"/>
      <c r="G3" s="63"/>
      <c r="H3" s="63"/>
      <c r="I3" s="63"/>
      <c r="J3" s="63"/>
      <c r="K3" s="63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4" t="str">
        <f>IF(COUNTIF(Table1611[Test 3],1)=COUNTA(Table1611[Value]),"Ready","Not Ready")</f>
        <v>Ready</v>
      </c>
    </row>
    <row r="5" spans="2:11" ht="14.5" customHeight="1" x14ac:dyDescent="0.2">
      <c r="B5" s="17"/>
      <c r="C5" s="18"/>
      <c r="D5" s="42"/>
      <c r="E5" s="42"/>
      <c r="F5" s="42"/>
      <c r="G5" s="42"/>
      <c r="H5" s="19"/>
      <c r="I5" s="42"/>
      <c r="J5" s="42"/>
      <c r="K5" s="65"/>
    </row>
    <row r="6" spans="2:11" ht="14.5" customHeight="1" x14ac:dyDescent="0.2">
      <c r="B6" s="17"/>
      <c r="C6" s="18"/>
      <c r="D6" s="42"/>
      <c r="E6" s="42"/>
      <c r="F6" s="42"/>
      <c r="G6" s="42"/>
      <c r="H6" s="19"/>
      <c r="I6" s="42"/>
      <c r="J6" s="42"/>
      <c r="K6" s="65"/>
    </row>
    <row r="7" spans="2:11" ht="14.5" customHeight="1" x14ac:dyDescent="0.2">
      <c r="B7" s="17"/>
      <c r="C7" s="18"/>
      <c r="D7" s="42"/>
      <c r="E7" s="42"/>
      <c r="F7" s="42"/>
      <c r="G7" s="42"/>
      <c r="H7" s="19"/>
      <c r="I7" s="42"/>
      <c r="J7" s="42"/>
      <c r="K7" s="65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6"/>
    </row>
    <row r="9" spans="2:11" ht="14.5" customHeight="1" x14ac:dyDescent="0.2">
      <c r="B9" s="27" t="s">
        <v>0</v>
      </c>
      <c r="C9" s="28" t="s">
        <v>1</v>
      </c>
      <c r="D9" s="28" t="s">
        <v>2</v>
      </c>
      <c r="E9" s="28" t="s">
        <v>13</v>
      </c>
      <c r="F9" s="28" t="s">
        <v>66</v>
      </c>
      <c r="G9" s="29" t="s">
        <v>41</v>
      </c>
      <c r="H9" s="29" t="s">
        <v>67</v>
      </c>
      <c r="I9" s="28" t="s">
        <v>68</v>
      </c>
      <c r="J9" s="30" t="s">
        <v>75</v>
      </c>
      <c r="K9" s="30" t="s">
        <v>11</v>
      </c>
    </row>
    <row r="10" spans="2:11" ht="14.5" customHeight="1" x14ac:dyDescent="0.2">
      <c r="B10" s="4" t="s">
        <v>30</v>
      </c>
      <c r="C10" s="31">
        <v>83.144099999999995</v>
      </c>
      <c r="D10" s="2" t="s">
        <v>19</v>
      </c>
      <c r="E10" s="43" t="s">
        <v>14</v>
      </c>
      <c r="F10" s="43" t="s">
        <v>6</v>
      </c>
      <c r="G10" s="2" t="s">
        <v>42</v>
      </c>
      <c r="H10" s="43">
        <v>1</v>
      </c>
      <c r="I10" s="43">
        <v>1</v>
      </c>
      <c r="J10" s="6">
        <v>1</v>
      </c>
      <c r="K10" s="5" t="s">
        <v>65</v>
      </c>
    </row>
    <row r="11" spans="2:11" ht="14.5" customHeight="1" x14ac:dyDescent="0.2">
      <c r="B11" s="8" t="s">
        <v>84</v>
      </c>
      <c r="C11" s="31">
        <v>22414</v>
      </c>
      <c r="D11" s="9" t="s">
        <v>82</v>
      </c>
      <c r="E11" s="43" t="s">
        <v>14</v>
      </c>
      <c r="F11" s="43" t="s">
        <v>6</v>
      </c>
      <c r="G11" s="2" t="s">
        <v>42</v>
      </c>
      <c r="H11" s="10">
        <v>1</v>
      </c>
      <c r="I11" s="10">
        <v>1</v>
      </c>
      <c r="J11" s="11">
        <v>1</v>
      </c>
      <c r="K11" s="12" t="s">
        <v>83</v>
      </c>
    </row>
    <row r="12" spans="2:11" ht="14.5" customHeight="1" x14ac:dyDescent="0.2">
      <c r="B12" s="8" t="s">
        <v>80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mxln/gBsIcQ1lb1lTfK0ZzcHTi8nVfjwIGygtrVJeYQ50DQmC183ye0jii+8CKqEJGBDeSpnzqVDaaqZsJy/Zw==" saltValue="rZ4bkC9uls+yeoUp9clsMg==" spinCount="100000" sheet="1" objects="1" scenarios="1" selectLockedCells="1"/>
  <mergeCells count="2">
    <mergeCell ref="B3:K3"/>
    <mergeCell ref="K4:K8"/>
  </mergeCells>
  <conditionalFormatting sqref="C12 C10">
    <cfRule type="expression" dxfId="22" priority="7">
      <formula>IF(AND($C10&lt;&gt;"",$J10=0),1,0)</formula>
    </cfRule>
    <cfRule type="expression" dxfId="21" priority="8">
      <formula>IF($C10&lt;&gt;"",1,0)</formula>
    </cfRule>
    <cfRule type="expression" dxfId="20" priority="9">
      <formula>$J10=0</formula>
    </cfRule>
  </conditionalFormatting>
  <conditionalFormatting sqref="C11">
    <cfRule type="expression" dxfId="19" priority="1">
      <formula>IF(AND($C11&lt;&gt;"",$J11=0),1,0)</formula>
    </cfRule>
    <cfRule type="expression" dxfId="18" priority="2">
      <formula>IF($C11&lt;&gt;"",1,0)</formula>
    </cfRule>
    <cfRule type="expression" dxfId="17" priority="3">
      <formula>$J11=0</formula>
    </cfRule>
  </conditionalFormatting>
  <conditionalFormatting sqref="K4">
    <cfRule type="expression" dxfId="16" priority="58">
      <formula>IF(COUNTA($C$10:$C$12)&lt;&gt;COUNTIF($J$10:$J$12,1),1,0)</formula>
    </cfRule>
    <cfRule type="expression" dxfId="15" priority="59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F10:F12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E10:E12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G10:G12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tabSelected="1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5" x14ac:dyDescent="0.2">
      <c r="A2" s="67" t="s">
        <v>119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</row>
    <row r="3" spans="1:17" ht="15" x14ac:dyDescent="0.2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5" x14ac:dyDescent="0.2">
      <c r="A4" s="57"/>
      <c r="B4" s="58" t="s">
        <v>120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5" x14ac:dyDescent="0.2">
      <c r="A5" s="57"/>
      <c r="B5" s="59"/>
      <c r="C5" s="58" t="s">
        <v>121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5" x14ac:dyDescent="0.2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5" x14ac:dyDescent="0.2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5" x14ac:dyDescent="0.2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5" x14ac:dyDescent="0.2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5" x14ac:dyDescent="0.2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5" x14ac:dyDescent="0.2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5" x14ac:dyDescent="0.2">
      <c r="A12" s="57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5" x14ac:dyDescent="0.2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5" x14ac:dyDescent="0.2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5" x14ac:dyDescent="0.2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5" x14ac:dyDescent="0.2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5" x14ac:dyDescent="0.2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5" x14ac:dyDescent="0.2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5" x14ac:dyDescent="0.2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5" x14ac:dyDescent="0.2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5" x14ac:dyDescent="0.2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5" x14ac:dyDescent="0.2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5" x14ac:dyDescent="0.2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5" x14ac:dyDescent="0.2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5" x14ac:dyDescent="0.2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5" x14ac:dyDescent="0.2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5" x14ac:dyDescent="0.2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5" x14ac:dyDescent="0.2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5" x14ac:dyDescent="0.2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5" x14ac:dyDescent="0.2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5" x14ac:dyDescent="0.2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5" x14ac:dyDescent="0.2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5" x14ac:dyDescent="0.2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5" x14ac:dyDescent="0.2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93</v>
      </c>
    </row>
    <row r="2" spans="1:1" x14ac:dyDescent="0.2">
      <c r="A2" t="s">
        <v>91</v>
      </c>
    </row>
    <row r="3" spans="1:1" x14ac:dyDescent="0.2">
      <c r="A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9" x14ac:dyDescent="0.2">
      <c r="A1" t="s">
        <v>105</v>
      </c>
      <c r="B1" t="s">
        <v>122</v>
      </c>
      <c r="C1" t="s">
        <v>80</v>
      </c>
      <c r="D1" t="s">
        <v>104</v>
      </c>
      <c r="E1" t="s">
        <v>103</v>
      </c>
      <c r="F1" t="s">
        <v>80</v>
      </c>
      <c r="G1" t="s">
        <v>30</v>
      </c>
      <c r="H1" t="s">
        <v>84</v>
      </c>
      <c r="I1" t="s">
        <v>80</v>
      </c>
    </row>
    <row r="2" spans="1:9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  <c r="H2">
        <v>22414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9" x14ac:dyDescent="0.2">
      <c r="A1" t="s">
        <v>105</v>
      </c>
      <c r="B1" t="s">
        <v>122</v>
      </c>
      <c r="C1" t="s">
        <v>80</v>
      </c>
      <c r="D1" t="s">
        <v>104</v>
      </c>
      <c r="E1" t="s">
        <v>103</v>
      </c>
      <c r="F1" t="s">
        <v>80</v>
      </c>
      <c r="G1" t="s">
        <v>30</v>
      </c>
      <c r="H1" t="s">
        <v>84</v>
      </c>
      <c r="I1" t="s">
        <v>80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2022-08-28T01:09:45Z</dcterms:modified>
</cp:coreProperties>
</file>