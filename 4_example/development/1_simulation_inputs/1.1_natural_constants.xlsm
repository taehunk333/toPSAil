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1_simulation_inputs\"/>
    </mc:Choice>
  </mc:AlternateContent>
  <xr:revisionPtr revIDLastSave="0" documentId="13_ncr:1_{6D8C4B26-BFFB-40D7-8E02-B6A544513A2C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Ambient Conditions" sheetId="31" r:id="rId3"/>
    <sheet name="Standard Conditions" sheetId="33" r:id="rId4"/>
    <sheet name="Ideal Gas Properties" sheetId="21" r:id="rId5"/>
    <sheet name="Help" sheetId="29" r:id="rId6"/>
    <sheet name="PFD" sheetId="30" r:id="rId7"/>
    <sheet name="maintenance check list" sheetId="28" state="hidden" r:id="rId8"/>
    <sheet name="Data(Transposed)" sheetId="3" state="hidden" r:id="rId9"/>
    <sheet name="Data(Test)" sheetId="9" state="hidden" r:id="rId10"/>
  </sheets>
  <functionGroups builtInGroupCount="19"/>
  <externalReferences>
    <externalReference r:id="rId11"/>
    <externalReference r:id="rId12"/>
  </externalReferences>
  <definedNames>
    <definedName name="_xlnm._FilterDatabase" localSheetId="2" hidden="1">'Ambient Conditions'!$B$9:$K$12</definedName>
    <definedName name="_xlnm._FilterDatabase" localSheetId="4" hidden="1">'Ideal Gas Properties'!$B$9:$K$12</definedName>
    <definedName name="_xlnm._FilterDatabase" localSheetId="3" hidden="1">'Standard Conditions'!$B$9:$K$12</definedName>
    <definedName name="_xlnm.Print_Area" localSheetId="2">'Ambient Conditions'!$B$2:$K$12</definedName>
    <definedName name="_xlnm.Print_Area" localSheetId="4">'Ideal Gas Properties'!$B$2:$K$12</definedName>
    <definedName name="_xlnm.Print_Area" localSheetId="0">'Revision History'!$C$3:$K$51</definedName>
    <definedName name="_xlnm.Print_Area" localSheetId="3">'Standard Conditions'!$B$2:$K$12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3" l="1"/>
  <c r="K2" i="33"/>
  <c r="B2" i="33"/>
  <c r="K4" i="31"/>
  <c r="K2" i="31"/>
  <c r="B2" i="31"/>
  <c r="R1" i="30" l="1"/>
  <c r="A1" i="30"/>
  <c r="Q1" i="29"/>
  <c r="A1" i="29"/>
  <c r="K2" i="21"/>
  <c r="K4" i="21" l="1"/>
  <c r="B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tc={65B7B60E-C71D-494E-987D-FC43FC40E3BF}</author>
    <author>tc={238531AF-D0C1-41B1-9598-F05CADBC745C}</author>
    <author>tc={BCDA169C-81B0-4221-B2E5-343ABD173504}</author>
  </authors>
  <commentList>
    <comment ref="H9" authorId="0" shapeId="0" xr:uid="{65B7B60E-C71D-494E-987D-FC43FC40E3BF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238531AF-D0C1-41B1-9598-F05CADBC745C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BCDA169C-81B0-4221-B2E5-343ABD173504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tc={0018B9D8-BE2C-4505-9EA4-9684290C1AB4}</author>
    <author>tc={D7509970-8AAE-4972-A62F-C6ED91EF51C9}</author>
    <author>tc={73D7FB2F-2679-4246-AB29-D830E5A9195D}</author>
  </authors>
  <commentList>
    <comment ref="H9" authorId="0" shapeId="0" xr:uid="{0018B9D8-BE2C-4505-9EA4-9684290C1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D7509970-8AAE-4972-A62F-C6ED91EF51C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73D7FB2F-2679-4246-AB29-D830E5A9195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tc={B6379D8D-81ED-47B9-B023-3A53C0EEA6A1}</author>
    <author>tc={A9836B3D-A181-4DB2-B823-8999C645C222}</author>
    <author>tc={90E32896-227C-4A2F-A904-49615A9E847F}</author>
  </authors>
  <commentList>
    <comment ref="H9" authorId="0" shapeId="0" xr:uid="{B6379D8D-81ED-47B9-B023-3A53C0EEA6A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A9836B3D-A181-4DB2-B823-8999C645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0E32896-227C-4A2F-A904-49615A9E84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<sst xmlns="http://schemas.openxmlformats.org/spreadsheetml/2006/main" count="212" uniqueCount="125">
  <si>
    <t>Variable</t>
  </si>
  <si>
    <t>Value</t>
  </si>
  <si>
    <t>Unit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</si>
  <si>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</si>
  <si>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</si>
  <si>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</si>
  <si>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</si>
  <si>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</si>
  <si>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</si>
  <si>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</si>
  <si>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</si>
  <si>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</si>
  <si>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</si>
  <si>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</si>
  <si>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</si>
  <si>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</si>
  <si>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</si>
  <si>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</si>
  <si>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</si>
  <si>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cc-bar/mol-K</t>
  </si>
  <si>
    <t>bar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</si>
  <si>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</si>
  <si>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</si>
  <si>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</si>
  <si>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</si>
  <si>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</si>
  <si>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</si>
  <si>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</si>
  <si>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</si>
  <si>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</si>
  <si>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gasCons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</si>
  <si>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</si>
  <si>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</si>
  <si>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</si>
  <si>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</si>
  <si>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</si>
  <si>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</si>
  <si>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</si>
  <si>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</si>
  <si>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</si>
  <si>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</si>
  <si>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</si>
  <si>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</si>
  <si>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</si>
  <si>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</si>
  <si>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</si>
  <si>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</si>
  <si>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</si>
  <si>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</si>
  <si>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</si>
  <si>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</si>
  <si>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</si>
  <si>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</si>
  <si>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</si>
  <si>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</si>
  <si>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</si>
  <si>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</si>
  <si>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</si>
  <si>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</si>
  <si>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</si>
  <si>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</si>
  <si>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</si>
  <si>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</si>
  <si>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</si>
  <si>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</si>
  <si>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The gas constant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</si>
  <si>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</si>
  <si>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</si>
  <si>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</si>
  <si>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</si>
  <si>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</si>
  <si>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</si>
  <si>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</si>
  <si>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</si>
  <si>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</si>
  <si>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</si>
  <si>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</si>
  <si>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The ambient temperature</t>
  </si>
  <si>
    <t>EQ</t>
  </si>
  <si>
    <t>RT</t>
  </si>
  <si>
    <t>testVal</t>
  </si>
  <si>
    <t>Test Place holder</t>
  </si>
  <si>
    <t>cc/mol(STP)</t>
  </si>
  <si>
    <t>The molar volume of an ideal gas at STP.</t>
  </si>
  <si>
    <t>molVolIdg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</si>
  <si>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</si>
  <si>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</si>
  <si>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</si>
  <si>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</si>
  <si>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</si>
  <si>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</si>
  <si>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</si>
  <si>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</si>
  <si>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</si>
  <si>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</si>
  <si>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</si>
  <si>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</si>
  <si>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standard temperature</t>
  </si>
  <si>
    <t>MassTransferResistance</t>
  </si>
  <si>
    <t>Boolean</t>
  </si>
  <si>
    <t>numTanks</t>
  </si>
  <si>
    <t>initCondFeTa</t>
  </si>
  <si>
    <t>initCondRaTa</t>
  </si>
  <si>
    <t>presStan</t>
  </si>
  <si>
    <t>tempStan</t>
  </si>
  <si>
    <t>tempAmbi</t>
  </si>
  <si>
    <t>the standard presssure (= the ambient pressure)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</si>
  <si>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</si>
  <si>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</si>
  <si>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</si>
  <si>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</si>
  <si>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</si>
  <si>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</si>
  <si>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</si>
  <si>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</si>
  <si>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</si>
  <si>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</si>
  <si>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</si>
  <si>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</si>
  <si>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</si>
  <si>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Natural Constants</t>
  </si>
  <si>
    <t>Natural Cosntants Reference Sources</t>
  </si>
  <si>
    <t>1. Readily available via web</t>
  </si>
  <si>
    <t>presAmbi</t>
  </si>
  <si>
    <t>The ambient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</si>
</sst>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13" fillId="5" borderId="0" xfId="1" applyFont="1" applyFill="1" applyAlignment="1" applyProtection="1">
      <alignment horizontal="left" vertical="center"/>
    </xf>
    <xf numFmtId="0" fontId="14" fillId="5" borderId="0" xfId="1" applyFont="1" applyFill="1" applyAlignment="1" applyProtection="1">
      <alignment vertical="center" wrapText="1"/>
    </xf>
    <xf numFmtId="0" fontId="14" fillId="5" borderId="0" xfId="1" applyFont="1" applyFill="1" applyAlignment="1" applyProtection="1">
      <alignment horizontal="center" vertical="center"/>
    </xf>
    <xf numFmtId="0" fontId="14" fillId="5" borderId="0" xfId="1" applyFont="1" applyFill="1" applyProtection="1">
      <alignment vertical="center"/>
    </xf>
    <xf numFmtId="0" fontId="15" fillId="5" borderId="0" xfId="2" applyFont="1" applyFill="1" applyAlignment="1" applyProtection="1">
      <alignment horizontal="right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6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Button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300-0000018C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2" name="Button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300-0000028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3" name="Butto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300-0000038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400-0000016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4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4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30661-E2E8-412F-8106-D41199D4E3D2}" name="Table16112" displayName="Table16112" ref="B9:K12" totalsRowShown="0" headerRowDxfId="65" dataDxfId="63" headerRowBorderDxfId="64" tableBorderDxfId="62" totalsRowBorderDxfId="61">
  <autoFilter ref="B9:K12" xr:uid="{B089C5C3-2CCE-4800-96CA-2131BB6E3E4F}"/>
  <tableColumns count="10">
    <tableColumn id="1" xr3:uid="{BE3B2DEE-DF6A-46EA-87C5-02B591519356}" name="Variable" dataDxfId="60"/>
    <tableColumn id="4" xr3:uid="{16CE1BD9-7D47-4704-8FA6-CD86B748A3E3}" name="Value" dataDxfId="59"/>
    <tableColumn id="5" xr3:uid="{36460C95-E98A-4995-9DB3-D2B2F9F98D63}" name="Unit" dataDxfId="58"/>
    <tableColumn id="6" xr3:uid="{E1C8ECF4-FEB3-4665-8CEE-7C4D0141700B}" name="Comparisons" dataDxfId="57"/>
    <tableColumn id="7" xr3:uid="{DE053069-9FED-4EC1-A9CC-4AA7118E0B96}" name="Variable Type" dataDxfId="56"/>
    <tableColumn id="8" xr3:uid="{5CA32585-E638-437B-858C-976C1896A007}" name="Dependency" dataDxfId="55"/>
    <tableColumn id="12" xr3:uid="{FADB51F9-C264-453D-8FD2-441E6C732E69}" name="Test 1" dataDxfId="54"/>
    <tableColumn id="10" xr3:uid="{1975A85A-F5A9-4FA8-9E1A-17B6A65B4648}" name="Test 2" dataDxfId="53"/>
    <tableColumn id="2" xr3:uid="{EA3DB17D-9195-44FF-A249-252DBB26E40B}" name="Test 3" dataDxfId="52"/>
    <tableColumn id="9" xr3:uid="{B50C6AC4-FE60-4F46-8894-FECA2E9077BE}" name="Description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509DE5-E784-41C4-BD5D-20FB8A152AD9}" name="Table16114" displayName="Table16114" ref="B9:K12" totalsRowShown="0" headerRowDxfId="50" dataDxfId="48" headerRowBorderDxfId="49" tableBorderDxfId="47" totalsRowBorderDxfId="46">
  <autoFilter ref="B9:K12" xr:uid="{B089C5C3-2CCE-4800-96CA-2131BB6E3E4F}"/>
  <tableColumns count="10">
    <tableColumn id="1" xr3:uid="{91BFE39C-46D9-43DA-B44F-9009693C41F4}" name="Variable" dataDxfId="45"/>
    <tableColumn id="4" xr3:uid="{11A95599-ECE8-4E2A-A04F-F0E6FD5003FE}" name="Value" dataDxfId="44"/>
    <tableColumn id="5" xr3:uid="{06CF7066-F7A1-45A4-BB6D-00EE8CA25387}" name="Unit" dataDxfId="43"/>
    <tableColumn id="6" xr3:uid="{2558DEA0-021E-433F-A097-6A74DA3EA0DB}" name="Comparisons" dataDxfId="42"/>
    <tableColumn id="7" xr3:uid="{3AA5D5F4-F4BF-41CF-9173-522DEE21A030}" name="Variable Type" dataDxfId="41"/>
    <tableColumn id="8" xr3:uid="{D07B8979-0ED3-4576-BB6B-E10E49FBBEB9}" name="Dependency" dataDxfId="40"/>
    <tableColumn id="12" xr3:uid="{4043350D-794D-49B4-9FFC-7FC0D558D874}" name="Test 1" dataDxfId="39"/>
    <tableColumn id="10" xr3:uid="{A4236BFA-FCBC-465F-ADF1-C9507811EDD2}" name="Test 2" dataDxfId="38"/>
    <tableColumn id="2" xr3:uid="{77EF5D8B-EF73-4CFA-928B-79C43C16D3FC}" name="Test 3" dataDxfId="37"/>
    <tableColumn id="9" xr3:uid="{C91705FA-23F3-4253-AE28-F5F992CEAC0E}" name="Description" dataDxfId="3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09735D-554C-4D45-9A5B-22726C412DAA}" name="Table1611" displayName="Table1611" ref="B9:K12" totalsRowShown="0" headerRowDxfId="35" dataDxfId="33" headerRowBorderDxfId="34" tableBorderDxfId="32" totalsRowBorderDxfId="31">
  <autoFilter ref="B9:K12" xr:uid="{B089C5C3-2CCE-4800-96CA-2131BB6E3E4F}"/>
  <tableColumns count="10">
    <tableColumn id="1" xr3:uid="{1EBDAA0F-31AE-42B2-AC21-45954F97D91F}" name="Variable" dataDxfId="30"/>
    <tableColumn id="4" xr3:uid="{C1B34313-8638-4DBC-8F82-86A30B3114C8}" name="Value" dataDxfId="29"/>
    <tableColumn id="5" xr3:uid="{14759C69-3803-4BC3-A7A6-3DFFDE94B1DE}" name="Unit" dataDxfId="28"/>
    <tableColumn id="6" xr3:uid="{2D85834C-0034-47FE-BC01-DB15F04F42D2}" name="Comparisons" dataDxfId="27"/>
    <tableColumn id="7" xr3:uid="{8CD5D837-AF6D-4811-80AD-71F84A2DEB22}" name="Variable Type" dataDxfId="26"/>
    <tableColumn id="8" xr3:uid="{10026C7A-D83F-4A6C-93B4-4809A42E03C8}" name="Dependency" dataDxfId="25"/>
    <tableColumn id="12" xr3:uid="{E761AAA3-462F-4100-947A-C25D5E015411}" name="Test 1" dataDxfId="24"/>
    <tableColumn id="10" xr3:uid="{9D8C6DF1-F42E-4849-A79E-EB0F9A401CD0}" name="Test 2" dataDxfId="23"/>
    <tableColumn id="2" xr3:uid="{D8219F55-2AFF-4A68-8CB1-14BA6B3702D4}" name="Test 3" dataDxfId="22"/>
    <tableColumn id="9" xr3:uid="{E8EFBBB5-6104-496B-BE6C-A8E156BEAD7B}" name="Description" dataDxf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65B7B60E-C71D-494E-987D-FC43FC40E3BF}">
    <text>place 1 if we want to keep the row when re-initializing. Otherwise, leave it as a blank.</text>
  </threadedComment>
  <threadedComment ref="I9" dT="2020-11-26T18:35:03.27" personId="{7F98AE94-13FB-49E1-9262-339C11E0EDB4}" id="{238531AF-D0C1-41B1-9598-F05CADBC745C}">
    <text>supply a value greater than 1 if you want to duplicate the row</text>
  </threadedComment>
  <threadedComment ref="J9" dT="2020-11-28T01:53:47.29" personId="{7F98AE94-13FB-49E1-9262-339C11E0EDB4}" id="{BCDA169C-81B0-4221-B2E5-343ABD173504}">
    <text>1 means we need to have the variable specified; 0 means we need not have the variable specified</text>
  </threadedComment>
  <threadedComment ref="J9" dT="2020-11-28T01:56:42.32" personId="{7F98AE94-13FB-49E1-9262-339C11E0EDB4}" id="{6478D60B-71CA-4E90-B00C-B73E13ED46D7}" parentId="{BCDA169C-81B0-4221-B2E5-343ABD173504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018B9D8-BE2C-4505-9EA4-9684290C1AB4}">
    <text>place 1 if we want to keep the row when re-initializing. Otherwise, leave it as a blank.</text>
  </threadedComment>
  <threadedComment ref="I9" dT="2020-11-26T18:35:03.27" personId="{7F98AE94-13FB-49E1-9262-339C11E0EDB4}" id="{D7509970-8AAE-4972-A62F-C6ED91EF51C9}">
    <text>supply a value greater than 1 if you want to duplicate the row</text>
  </threadedComment>
  <threadedComment ref="J9" dT="2020-11-28T01:53:47.29" personId="{7F98AE94-13FB-49E1-9262-339C11E0EDB4}" id="{73D7FB2F-2679-4246-AB29-D830E5A9195D}">
    <text>1 means we need to have the variable specified; 0 means we need not have the variable specified</text>
  </threadedComment>
  <threadedComment ref="J9" dT="2020-11-28T01:56:42.32" personId="{7F98AE94-13FB-49E1-9262-339C11E0EDB4}" id="{414A191B-728A-4286-8F94-3130A30FC4DC}" parentId="{73D7FB2F-2679-4246-AB29-D830E5A9195D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B6379D8D-81ED-47B9-B023-3A53C0EEA6A1}">
    <text>place 1 if we want to keep the row when re-initializing. Otherwise, leave it as a blank.</text>
  </threadedComment>
  <threadedComment ref="I9" dT="2020-11-26T18:35:03.27" personId="{7F98AE94-13FB-49E1-9262-339C11E0EDB4}" id="{A9836B3D-A181-4DB2-B823-8999C645C222}">
    <text>supply a value greater than 1 if you want to duplicate the row</text>
  </threadedComment>
  <threadedComment ref="J9" dT="2020-11-28T01:53:47.29" personId="{7F98AE94-13FB-49E1-9262-339C11E0EDB4}" id="{90E32896-227C-4A2F-A904-49615A9E847F}">
    <text>1 means we need to have the variable specified; 0 means we need not have the variable specified</text>
  </threadedComment>
  <threadedComment ref="J9" dT="2020-11-28T01:56:42.32" personId="{7F98AE94-13FB-49E1-9262-339C11E0EDB4}" id="{E5CA60F1-F107-40C9-A74C-65690A2E108E}" parentId="{90E32896-227C-4A2F-A904-49615A9E847F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8" sqref="E8"/>
    </sheetView>
  </sheetViews>
  <sheetFormatPr defaultColWidth="0" defaultRowHeight="14.4" zeroHeight="1"/>
  <cols>
    <col min="1" max="2" width="3.33203125" style="34" hidden="1" customWidth="1"/>
    <col min="3" max="3" width="2.44140625" style="34" customWidth="1"/>
    <col min="4" max="4" width="13.88671875" style="34" customWidth="1"/>
    <col min="5" max="5" width="51.33203125" style="35" bestFit="1" customWidth="1"/>
    <col min="6" max="6" width="15.77734375" style="36" bestFit="1" customWidth="1"/>
    <col min="7" max="9" width="13.33203125" style="34" customWidth="1"/>
    <col min="10" max="10" width="48.88671875" style="34" customWidth="1"/>
    <col min="11" max="11" width="2.44140625" style="34" customWidth="1"/>
    <col min="12" max="12" width="0" style="34" hidden="1" customWidth="1"/>
    <col min="13" max="16384" width="9" style="34" hidden="1"/>
  </cols>
  <sheetData>
    <row r="3" spans="4:10"/>
    <row r="4" spans="4:10" ht="18">
      <c r="D4" s="48" t="s">
        <v>118</v>
      </c>
      <c r="E4" s="49"/>
      <c r="F4" s="50"/>
      <c r="G4" s="51"/>
      <c r="H4" s="51"/>
      <c r="I4" s="51"/>
      <c r="J4" s="52" t="s">
        <v>90</v>
      </c>
    </row>
    <row r="5" spans="4:10" ht="36">
      <c r="D5" s="67" t="s">
        <v>39</v>
      </c>
      <c r="E5" s="67"/>
      <c r="F5" s="67"/>
      <c r="G5" s="67"/>
      <c r="H5" s="67"/>
      <c r="I5" s="67"/>
      <c r="J5" s="67"/>
    </row>
    <row r="6" spans="4:10" ht="18">
      <c r="D6" s="44" t="s">
        <v>33</v>
      </c>
      <c r="E6" s="44" t="s">
        <v>116</v>
      </c>
      <c r="F6" s="44" t="s">
        <v>34</v>
      </c>
      <c r="G6" s="44" t="s">
        <v>35</v>
      </c>
      <c r="H6" s="44" t="s">
        <v>36</v>
      </c>
      <c r="I6" s="44" t="s">
        <v>37</v>
      </c>
      <c r="J6" s="44" t="s">
        <v>38</v>
      </c>
    </row>
    <row r="7" spans="4:10" ht="36">
      <c r="D7" s="37">
        <v>1</v>
      </c>
      <c r="E7" s="46" t="s">
        <v>117</v>
      </c>
      <c r="F7" s="47">
        <v>44720</v>
      </c>
      <c r="G7" s="45" t="s">
        <v>40</v>
      </c>
      <c r="H7" s="37"/>
      <c r="I7" s="37"/>
      <c r="J7" s="38"/>
    </row>
    <row r="8" spans="4:10" ht="18">
      <c r="D8" s="37">
        <v>2</v>
      </c>
      <c r="E8" s="38"/>
      <c r="F8" s="39"/>
      <c r="G8" s="37"/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12</v>
      </c>
      <c r="B1" t="s">
        <v>13</v>
      </c>
      <c r="C1" t="s">
        <v>41</v>
      </c>
      <c r="D1" t="s">
        <v>69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5</v>
      </c>
      <c r="L1" t="s">
        <v>88</v>
      </c>
      <c r="M1" t="s">
        <v>85</v>
      </c>
      <c r="N1" t="s">
        <v>86</v>
      </c>
      <c r="O1" t="s">
        <v>89</v>
      </c>
      <c r="P1" t="s">
        <v>94</v>
      </c>
      <c r="Q1" t="s">
        <v>98</v>
      </c>
      <c r="R1" t="s">
        <v>99</v>
      </c>
      <c r="S1" t="s">
        <v>100</v>
      </c>
      <c r="T1" t="s">
        <v>107</v>
      </c>
      <c r="U1" t="s">
        <v>108</v>
      </c>
    </row>
    <row r="2" spans="1:21">
      <c r="A2" t="s">
        <v>7</v>
      </c>
      <c r="B2" t="s">
        <v>7</v>
      </c>
      <c r="C2" t="s">
        <v>7</v>
      </c>
      <c r="E2" t="s">
        <v>7</v>
      </c>
      <c r="F2" t="s">
        <v>7</v>
      </c>
      <c r="G2" t="s">
        <v>7</v>
      </c>
      <c r="H2" t="s">
        <v>7</v>
      </c>
      <c r="I2" t="s">
        <v>7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7</v>
      </c>
      <c r="P2" t="s">
        <v>7</v>
      </c>
      <c r="Q2" t="s">
        <v>7</v>
      </c>
      <c r="R2" t="s">
        <v>7</v>
      </c>
      <c r="S2" t="s">
        <v>7</v>
      </c>
      <c r="U2" t="s">
        <v>7</v>
      </c>
    </row>
    <row r="3" spans="1:21">
      <c r="A3" t="s">
        <v>6</v>
      </c>
      <c r="B3" t="s">
        <v>26</v>
      </c>
      <c r="C3" t="s">
        <v>42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>
      <c r="A4" t="s">
        <v>87</v>
      </c>
      <c r="B4" t="s">
        <v>23</v>
      </c>
      <c r="C4" t="s">
        <v>46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>
      <c r="A5" t="s">
        <v>9</v>
      </c>
      <c r="B5" t="s">
        <v>24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>
      <c r="A6" t="s">
        <v>5</v>
      </c>
      <c r="B6" t="s">
        <v>25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>
      <c r="A7" t="s">
        <v>8</v>
      </c>
      <c r="B7" t="s">
        <v>27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>
      <c r="A8" t="s">
        <v>10</v>
      </c>
      <c r="B8" t="s">
        <v>28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>
      <c r="B9" t="s">
        <v>95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>
      <c r="B10" t="s">
        <v>29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15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96</v>
      </c>
      <c r="C12" t="s">
        <v>53</v>
      </c>
      <c r="G12">
        <v>9</v>
      </c>
      <c r="H12">
        <v>9</v>
      </c>
      <c r="I12">
        <v>9</v>
      </c>
      <c r="J12" t="s">
        <v>7</v>
      </c>
    </row>
    <row r="13" spans="1:21">
      <c r="B13" t="s">
        <v>16</v>
      </c>
      <c r="C13" t="s">
        <v>54</v>
      </c>
      <c r="J13">
        <v>1</v>
      </c>
    </row>
    <row r="14" spans="1:21">
      <c r="B14" t="s">
        <v>22</v>
      </c>
      <c r="C14" t="s">
        <v>55</v>
      </c>
      <c r="J14">
        <v>2</v>
      </c>
    </row>
    <row r="15" spans="1:21">
      <c r="B15" t="s">
        <v>14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17</v>
      </c>
      <c r="C17" t="s">
        <v>58</v>
      </c>
      <c r="J17" t="s">
        <v>7</v>
      </c>
    </row>
    <row r="18" spans="2:10">
      <c r="B18" t="s">
        <v>18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3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38197-7FDC-4A6E-A180-06EDC25F3A27}">
  <sheetPr codeName="Sheet11">
    <tabColor rgb="FF00B050"/>
  </sheetPr>
  <dimension ref="A1:K12"/>
  <sheetViews>
    <sheetView showGridLines="0" tabSelected="1" topLeftCell="A2" zoomScale="85" zoomScaleNormal="85" zoomScaleSheetLayoutView="70" workbookViewId="0">
      <pane ySplit="8" topLeftCell="A10" activePane="bottomLeft" state="frozen"/>
      <selection activeCell="B2" sqref="B2"/>
      <selection pane="bottomLeft" activeCell="C12" sqref="C12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3" customWidth="1"/>
    <col min="4" max="4" width="20" style="41" customWidth="1"/>
    <col min="5" max="5" width="24.21875" style="41" customWidth="1"/>
    <col min="6" max="6" width="17.33203125" style="41" customWidth="1"/>
    <col min="7" max="7" width="13.109375" style="41" customWidth="1"/>
    <col min="8" max="10" width="15" style="41" customWidth="1"/>
    <col min="11" max="11" width="57.44140625" style="41" customWidth="1"/>
    <col min="12" max="16384" width="8.88671875" style="3" hidden="1"/>
  </cols>
  <sheetData>
    <row r="1" spans="2:11" hidden="1">
      <c r="C1" s="3"/>
      <c r="D1" s="3"/>
      <c r="E1" s="3"/>
      <c r="F1" s="3"/>
      <c r="G1" s="3"/>
      <c r="H1" s="3"/>
      <c r="I1" s="3"/>
      <c r="J1" s="3"/>
      <c r="K1" s="3"/>
    </row>
    <row r="2" spans="2:11">
      <c r="B2" s="24" t="str">
        <f>'Revision History'!$D$4</f>
        <v>REV. NO.1 (6/8/2022)</v>
      </c>
      <c r="C2" s="25"/>
      <c r="D2" s="25"/>
      <c r="E2" s="25"/>
      <c r="F2" s="25"/>
      <c r="G2" s="25"/>
      <c r="H2" s="25"/>
      <c r="I2" s="25"/>
      <c r="J2" s="25"/>
      <c r="K2" s="26" t="str">
        <f>'Revision History'!$J$4</f>
        <v>Scott Research Group (jkscottresearchgroup.com)</v>
      </c>
    </row>
    <row r="3" spans="2:11" ht="18">
      <c r="B3" s="68" t="s">
        <v>32</v>
      </c>
      <c r="C3" s="68"/>
      <c r="D3" s="68"/>
      <c r="E3" s="68"/>
      <c r="F3" s="68"/>
      <c r="G3" s="68"/>
      <c r="H3" s="68"/>
      <c r="I3" s="68"/>
      <c r="J3" s="68"/>
      <c r="K3" s="68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69" t="str">
        <f>IF(COUNTIF(Table16112[Test 3],1)=COUNTA(Table16112[Value]),"Ready","Not Ready")</f>
        <v>Ready</v>
      </c>
    </row>
    <row r="5" spans="2:11" ht="14.4" customHeight="1">
      <c r="B5" s="17"/>
      <c r="C5" s="18"/>
      <c r="D5" s="42"/>
      <c r="E5" s="42"/>
      <c r="F5" s="42"/>
      <c r="G5" s="42"/>
      <c r="H5" s="19"/>
      <c r="I5" s="42"/>
      <c r="J5" s="42"/>
      <c r="K5" s="70"/>
    </row>
    <row r="6" spans="2:11" ht="14.4" customHeight="1">
      <c r="B6" s="17"/>
      <c r="C6" s="18"/>
      <c r="D6" s="42"/>
      <c r="E6" s="42"/>
      <c r="F6" s="42"/>
      <c r="G6" s="42"/>
      <c r="H6" s="19"/>
      <c r="I6" s="42"/>
      <c r="J6" s="42"/>
      <c r="K6" s="70"/>
    </row>
    <row r="7" spans="2:11" ht="14.4" customHeight="1">
      <c r="B7" s="17"/>
      <c r="C7" s="18"/>
      <c r="D7" s="42"/>
      <c r="E7" s="42"/>
      <c r="F7" s="42"/>
      <c r="G7" s="42"/>
      <c r="H7" s="19"/>
      <c r="I7" s="42"/>
      <c r="J7" s="42"/>
      <c r="K7" s="70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1"/>
    </row>
    <row r="9" spans="2:11" ht="14.4" customHeight="1">
      <c r="B9" s="27" t="s">
        <v>0</v>
      </c>
      <c r="C9" s="28" t="s">
        <v>1</v>
      </c>
      <c r="D9" s="28" t="s">
        <v>2</v>
      </c>
      <c r="E9" s="28" t="s">
        <v>13</v>
      </c>
      <c r="F9" s="28" t="s">
        <v>66</v>
      </c>
      <c r="G9" s="29" t="s">
        <v>41</v>
      </c>
      <c r="H9" s="29" t="s">
        <v>67</v>
      </c>
      <c r="I9" s="28" t="s">
        <v>68</v>
      </c>
      <c r="J9" s="30" t="s">
        <v>75</v>
      </c>
      <c r="K9" s="30" t="s">
        <v>11</v>
      </c>
    </row>
    <row r="10" spans="2:11" ht="14.4" customHeight="1">
      <c r="B10" s="4" t="s">
        <v>105</v>
      </c>
      <c r="C10" s="31">
        <v>298.14999999999998</v>
      </c>
      <c r="D10" s="2" t="s">
        <v>21</v>
      </c>
      <c r="E10" s="43" t="s">
        <v>16</v>
      </c>
      <c r="F10" s="43" t="s">
        <v>6</v>
      </c>
      <c r="G10" s="2" t="s">
        <v>49</v>
      </c>
      <c r="H10" s="43">
        <v>1</v>
      </c>
      <c r="I10" s="43">
        <v>1</v>
      </c>
      <c r="J10" s="6">
        <v>1</v>
      </c>
      <c r="K10" s="5" t="s">
        <v>77</v>
      </c>
    </row>
    <row r="11" spans="2:11" ht="14.4" customHeight="1">
      <c r="B11" s="74" t="s">
        <v>123</v>
      </c>
      <c r="C11" s="31">
        <v>1.01325</v>
      </c>
      <c r="D11" s="75" t="s">
        <v>20</v>
      </c>
      <c r="E11" s="43" t="s">
        <v>16</v>
      </c>
      <c r="F11" s="43" t="s">
        <v>6</v>
      </c>
      <c r="G11" s="2" t="s">
        <v>49</v>
      </c>
      <c r="H11" s="43">
        <v>1</v>
      </c>
      <c r="I11" s="43">
        <v>1</v>
      </c>
      <c r="J11" s="6">
        <v>1</v>
      </c>
      <c r="K11" s="5" t="s">
        <v>124</v>
      </c>
    </row>
    <row r="12" spans="2:11" ht="14.4" customHeight="1">
      <c r="B12" s="8" t="s">
        <v>80</v>
      </c>
      <c r="C12" s="32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81</v>
      </c>
    </row>
  </sheetData>
  <sheetProtection algorithmName="SHA-512" hashValue="SA0bf9uwk2cvvJwHCxNN0SkvqcWzHh+AJvKai9ORhB2v5x8PcumNYJkSH+4iCf6O7jFWLPpudG845sXkmfueTg==" saltValue="e3IyNw45OS/6xpcbNccLyw==" spinCount="100000" sheet="1" objects="1" scenarios="1" selectLockedCells="1"/>
  <mergeCells count="2">
    <mergeCell ref="B3:K3"/>
    <mergeCell ref="K4:K8"/>
  </mergeCells>
  <conditionalFormatting sqref="C12">
    <cfRule type="expression" dxfId="20" priority="10">
      <formula>IF(AND($C12&lt;&gt;"",$J12=0),1,0)</formula>
    </cfRule>
    <cfRule type="expression" dxfId="19" priority="11">
      <formula>IF($C12&lt;&gt;"",1,0)</formula>
    </cfRule>
    <cfRule type="expression" dxfId="18" priority="12">
      <formula>$J12=0</formula>
    </cfRule>
  </conditionalFormatting>
  <conditionalFormatting sqref="C10:C11">
    <cfRule type="expression" dxfId="17" priority="7">
      <formula>IF(AND($C10&lt;&gt;"",$J10=0),1,0)</formula>
    </cfRule>
    <cfRule type="expression" dxfId="16" priority="8">
      <formula>IF($C10&lt;&gt;"",1,0)</formula>
    </cfRule>
    <cfRule type="expression" dxfId="15" priority="9">
      <formula>$J10=0</formula>
    </cfRule>
  </conditionalFormatting>
  <conditionalFormatting sqref="K4">
    <cfRule type="expression" dxfId="14" priority="36">
      <formula>IF(COUNTA($C$10:$C$12)&lt;&gt;COUNTIF($J$10:$J$12,1),1,0)</formula>
    </cfRule>
    <cfRule type="expression" dxfId="13" priority="37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62FFD61-01AC-41FA-B881-82EEF67F4B4F}">
          <x14:formula1>
            <xm:f>Reference!$C$2:$C$23</xm:f>
          </x14:formula1>
          <xm:sqref>G10:G12</xm:sqref>
        </x14:dataValidation>
        <x14:dataValidation type="list" allowBlank="1" showInputMessage="1" showErrorMessage="1" xr:uid="{643E96B8-C926-439C-BA77-676379F7BFA3}">
          <x14:formula1>
            <xm:f>Reference!$B$2:$B$18</xm:f>
          </x14:formula1>
          <xm:sqref>E10:E12</xm:sqref>
        </x14:dataValidation>
        <x14:dataValidation type="list" allowBlank="1" showInputMessage="1" showErrorMessage="1" xr:uid="{804EDA42-8594-41DC-BADA-8EA85E13891E}">
          <x14:formula1>
            <xm:f>Reference!$A$2:$A$8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3B85-4C47-4EBB-8FB4-329FEC2F3950}">
  <sheetPr codeName="Sheet12">
    <tabColor rgb="FF00B050"/>
  </sheetPr>
  <dimension ref="A1:K12"/>
  <sheetViews>
    <sheetView showGridLines="0" topLeftCell="B2" zoomScale="85" zoomScaleNormal="85" zoomScaleSheetLayoutView="70" workbookViewId="0">
      <pane ySplit="8" topLeftCell="A10" activePane="bottomLeft" state="frozen"/>
      <selection activeCell="B2" sqref="B2"/>
      <selection pane="bottomLeft" activeCell="B13" sqref="A13:XFD15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3" customWidth="1"/>
    <col min="4" max="4" width="20" style="41" customWidth="1"/>
    <col min="5" max="5" width="24.21875" style="41" customWidth="1"/>
    <col min="6" max="6" width="17.33203125" style="41" customWidth="1"/>
    <col min="7" max="7" width="13.109375" style="41" customWidth="1"/>
    <col min="8" max="10" width="15" style="41" customWidth="1"/>
    <col min="11" max="11" width="57.44140625" style="41" customWidth="1"/>
    <col min="12" max="16384" width="8.88671875" style="3" hidden="1"/>
  </cols>
  <sheetData>
    <row r="1" spans="2:11" hidden="1">
      <c r="C1" s="3"/>
      <c r="D1" s="3"/>
      <c r="E1" s="3"/>
      <c r="F1" s="3"/>
      <c r="G1" s="3"/>
      <c r="H1" s="3"/>
      <c r="I1" s="3"/>
      <c r="J1" s="3"/>
      <c r="K1" s="3"/>
    </row>
    <row r="2" spans="2:11">
      <c r="B2" s="24" t="str">
        <f>'Revision History'!$D$4</f>
        <v>REV. NO.1 (6/8/2022)</v>
      </c>
      <c r="C2" s="25"/>
      <c r="D2" s="25"/>
      <c r="E2" s="25"/>
      <c r="F2" s="25"/>
      <c r="G2" s="25"/>
      <c r="H2" s="25"/>
      <c r="I2" s="25"/>
      <c r="J2" s="25"/>
      <c r="K2" s="26" t="str">
        <f>'Revision History'!$J$4</f>
        <v>Scott Research Group (jkscottresearchgroup.com)</v>
      </c>
    </row>
    <row r="3" spans="2:11" ht="18">
      <c r="B3" s="68" t="s">
        <v>32</v>
      </c>
      <c r="C3" s="68"/>
      <c r="D3" s="68"/>
      <c r="E3" s="68"/>
      <c r="F3" s="68"/>
      <c r="G3" s="68"/>
      <c r="H3" s="68"/>
      <c r="I3" s="68"/>
      <c r="J3" s="68"/>
      <c r="K3" s="68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69" t="str">
        <f>IF(COUNTIF(Table16114[Test 3],1)=COUNTA(Table16114[Value]),"Ready","Not Ready")</f>
        <v>Ready</v>
      </c>
    </row>
    <row r="5" spans="2:11" ht="14.4" customHeight="1">
      <c r="B5" s="17"/>
      <c r="C5" s="18"/>
      <c r="D5" s="42"/>
      <c r="E5" s="42"/>
      <c r="F5" s="42"/>
      <c r="G5" s="42"/>
      <c r="H5" s="19"/>
      <c r="I5" s="42"/>
      <c r="J5" s="42"/>
      <c r="K5" s="70"/>
    </row>
    <row r="6" spans="2:11" ht="14.4" customHeight="1">
      <c r="B6" s="17"/>
      <c r="C6" s="18"/>
      <c r="D6" s="42"/>
      <c r="E6" s="42"/>
      <c r="F6" s="42"/>
      <c r="G6" s="42"/>
      <c r="H6" s="19"/>
      <c r="I6" s="42"/>
      <c r="J6" s="42"/>
      <c r="K6" s="70"/>
    </row>
    <row r="7" spans="2:11" ht="14.4" customHeight="1">
      <c r="B7" s="17"/>
      <c r="C7" s="18"/>
      <c r="D7" s="42"/>
      <c r="E7" s="42"/>
      <c r="F7" s="42"/>
      <c r="G7" s="42"/>
      <c r="H7" s="19"/>
      <c r="I7" s="42"/>
      <c r="J7" s="42"/>
      <c r="K7" s="70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1"/>
    </row>
    <row r="9" spans="2:11" ht="14.4" customHeight="1">
      <c r="B9" s="27" t="s">
        <v>0</v>
      </c>
      <c r="C9" s="28" t="s">
        <v>1</v>
      </c>
      <c r="D9" s="28" t="s">
        <v>2</v>
      </c>
      <c r="E9" s="28" t="s">
        <v>13</v>
      </c>
      <c r="F9" s="28" t="s">
        <v>66</v>
      </c>
      <c r="G9" s="29" t="s">
        <v>41</v>
      </c>
      <c r="H9" s="29" t="s">
        <v>67</v>
      </c>
      <c r="I9" s="28" t="s">
        <v>68</v>
      </c>
      <c r="J9" s="30" t="s">
        <v>75</v>
      </c>
      <c r="K9" s="30" t="s">
        <v>11</v>
      </c>
    </row>
    <row r="10" spans="2:11" ht="14.4" customHeight="1">
      <c r="B10" s="4" t="s">
        <v>104</v>
      </c>
      <c r="C10" s="31">
        <v>273.14999999999998</v>
      </c>
      <c r="D10" s="2" t="s">
        <v>21</v>
      </c>
      <c r="E10" s="43" t="s">
        <v>14</v>
      </c>
      <c r="F10" s="43" t="s">
        <v>6</v>
      </c>
      <c r="G10" s="2" t="s">
        <v>42</v>
      </c>
      <c r="H10" s="43">
        <v>1</v>
      </c>
      <c r="I10" s="43">
        <v>1</v>
      </c>
      <c r="J10" s="6">
        <v>1</v>
      </c>
      <c r="K10" s="5" t="s">
        <v>97</v>
      </c>
    </row>
    <row r="11" spans="2:11" ht="14.4" customHeight="1">
      <c r="B11" s="4" t="s">
        <v>103</v>
      </c>
      <c r="C11" s="31">
        <v>1.01325</v>
      </c>
      <c r="D11" s="2" t="s">
        <v>20</v>
      </c>
      <c r="E11" s="43" t="s">
        <v>14</v>
      </c>
      <c r="F11" s="43" t="s">
        <v>6</v>
      </c>
      <c r="G11" s="2" t="s">
        <v>42</v>
      </c>
      <c r="H11" s="43">
        <v>1</v>
      </c>
      <c r="I11" s="43">
        <v>1</v>
      </c>
      <c r="J11" s="6">
        <v>1</v>
      </c>
      <c r="K11" s="5" t="s">
        <v>106</v>
      </c>
    </row>
    <row r="12" spans="2:11" ht="14.4" customHeight="1">
      <c r="B12" s="8" t="s">
        <v>80</v>
      </c>
      <c r="C12" s="32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81</v>
      </c>
    </row>
  </sheetData>
  <sheetProtection selectLockedCells="1"/>
  <mergeCells count="2">
    <mergeCell ref="B3:K3"/>
    <mergeCell ref="K4:K8"/>
  </mergeCells>
  <conditionalFormatting sqref="C10:C12">
    <cfRule type="expression" dxfId="12" priority="7">
      <formula>IF(AND($C10&lt;&gt;"",$J10=0),1,0)</formula>
    </cfRule>
    <cfRule type="expression" dxfId="11" priority="8">
      <formula>IF($C10&lt;&gt;"",1,0)</formula>
    </cfRule>
    <cfRule type="expression" dxfId="10" priority="9">
      <formula>$J10=0</formula>
    </cfRule>
  </conditionalFormatting>
  <conditionalFormatting sqref="K4">
    <cfRule type="expression" dxfId="9" priority="43">
      <formula>IF(COUNTA($C$10:$C$12)&lt;&gt;COUNTIF($J$10:$J$12,1),1,0)</formula>
    </cfRule>
    <cfRule type="expression" dxfId="8" priority="44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34A74F-81D5-4E84-9335-84A553F8DA60}">
          <x14:formula1>
            <xm:f>Reference!$C$2:$C$23</xm:f>
          </x14:formula1>
          <xm:sqref>G10:G12</xm:sqref>
        </x14:dataValidation>
        <x14:dataValidation type="list" allowBlank="1" showInputMessage="1" showErrorMessage="1" xr:uid="{A7955C7A-5372-4A4F-84C3-08E2875F5290}">
          <x14:formula1>
            <xm:f>Reference!$B$2:$B$18</xm:f>
          </x14:formula1>
          <xm:sqref>E10:E12</xm:sqref>
        </x14:dataValidation>
        <x14:dataValidation type="list" allowBlank="1" showInputMessage="1" showErrorMessage="1" xr:uid="{B1F87DDD-7F6B-4264-8002-FA9302C3DECC}">
          <x14:formula1>
            <xm:f>Reference!$A$2:$A$8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A8B4-67A2-442E-BFD5-C73C7E5C199D}">
  <sheetPr codeName="Sheet10">
    <tabColor rgb="FF00B050"/>
  </sheetPr>
  <dimension ref="A1:K12"/>
  <sheetViews>
    <sheetView showGridLines="0" topLeftCell="B2" zoomScale="85" zoomScaleNormal="85" zoomScaleSheetLayoutView="70" workbookViewId="0">
      <pane ySplit="8" topLeftCell="A10" activePane="bottomLeft" state="frozen"/>
      <selection activeCell="B2" sqref="B2"/>
      <selection pane="bottomLeft" activeCell="B13" sqref="A13:XFD15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3" customWidth="1"/>
    <col min="4" max="4" width="20" style="41" customWidth="1"/>
    <col min="5" max="5" width="24.21875" style="41" customWidth="1"/>
    <col min="6" max="6" width="17.33203125" style="41" customWidth="1"/>
    <col min="7" max="7" width="13.109375" style="41" customWidth="1"/>
    <col min="8" max="10" width="15" style="41" customWidth="1"/>
    <col min="11" max="11" width="57.44140625" style="41" customWidth="1"/>
    <col min="12" max="16384" width="8.88671875" style="3" hidden="1"/>
  </cols>
  <sheetData>
    <row r="1" spans="2:11" hidden="1">
      <c r="C1" s="3"/>
      <c r="D1" s="3"/>
      <c r="E1" s="3"/>
      <c r="F1" s="3"/>
      <c r="G1" s="3"/>
      <c r="H1" s="3"/>
      <c r="I1" s="3"/>
      <c r="J1" s="3"/>
      <c r="K1" s="3"/>
    </row>
    <row r="2" spans="2:11">
      <c r="B2" s="24" t="str">
        <f>'Revision History'!$D$4</f>
        <v>REV. NO.1 (6/8/2022)</v>
      </c>
      <c r="C2" s="25"/>
      <c r="D2" s="25"/>
      <c r="E2" s="25"/>
      <c r="F2" s="25"/>
      <c r="G2" s="25"/>
      <c r="H2" s="25"/>
      <c r="I2" s="25"/>
      <c r="J2" s="25"/>
      <c r="K2" s="26" t="str">
        <f>'Revision History'!$J$4</f>
        <v>Scott Research Group (jkscottresearchgroup.com)</v>
      </c>
    </row>
    <row r="3" spans="2:11" ht="18">
      <c r="B3" s="68" t="s">
        <v>32</v>
      </c>
      <c r="C3" s="68"/>
      <c r="D3" s="68"/>
      <c r="E3" s="68"/>
      <c r="F3" s="68"/>
      <c r="G3" s="68"/>
      <c r="H3" s="68"/>
      <c r="I3" s="68"/>
      <c r="J3" s="68"/>
      <c r="K3" s="68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69" t="str">
        <f>IF(COUNTIF(Table1611[Test 3],1)=COUNTA(Table1611[Value]),"Ready","Not Ready")</f>
        <v>Ready</v>
      </c>
    </row>
    <row r="5" spans="2:11" ht="14.4" customHeight="1">
      <c r="B5" s="17"/>
      <c r="C5" s="18"/>
      <c r="D5" s="42"/>
      <c r="E5" s="42"/>
      <c r="F5" s="42"/>
      <c r="G5" s="42"/>
      <c r="H5" s="19"/>
      <c r="I5" s="42"/>
      <c r="J5" s="42"/>
      <c r="K5" s="70"/>
    </row>
    <row r="6" spans="2:11" ht="14.4" customHeight="1">
      <c r="B6" s="17"/>
      <c r="C6" s="18"/>
      <c r="D6" s="42"/>
      <c r="E6" s="42"/>
      <c r="F6" s="42"/>
      <c r="G6" s="42"/>
      <c r="H6" s="19"/>
      <c r="I6" s="42"/>
      <c r="J6" s="42"/>
      <c r="K6" s="70"/>
    </row>
    <row r="7" spans="2:11" ht="14.4" customHeight="1">
      <c r="B7" s="17"/>
      <c r="C7" s="18"/>
      <c r="D7" s="42"/>
      <c r="E7" s="42"/>
      <c r="F7" s="42"/>
      <c r="G7" s="42"/>
      <c r="H7" s="19"/>
      <c r="I7" s="42"/>
      <c r="J7" s="42"/>
      <c r="K7" s="70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1"/>
    </row>
    <row r="9" spans="2:11" ht="14.4" customHeight="1">
      <c r="B9" s="27" t="s">
        <v>0</v>
      </c>
      <c r="C9" s="28" t="s">
        <v>1</v>
      </c>
      <c r="D9" s="28" t="s">
        <v>2</v>
      </c>
      <c r="E9" s="28" t="s">
        <v>13</v>
      </c>
      <c r="F9" s="28" t="s">
        <v>66</v>
      </c>
      <c r="G9" s="29" t="s">
        <v>41</v>
      </c>
      <c r="H9" s="29" t="s">
        <v>67</v>
      </c>
      <c r="I9" s="28" t="s">
        <v>68</v>
      </c>
      <c r="J9" s="30" t="s">
        <v>75</v>
      </c>
      <c r="K9" s="30" t="s">
        <v>11</v>
      </c>
    </row>
    <row r="10" spans="2:11" ht="14.4" customHeight="1">
      <c r="B10" s="4" t="s">
        <v>30</v>
      </c>
      <c r="C10" s="31">
        <v>83.144099999999995</v>
      </c>
      <c r="D10" s="2" t="s">
        <v>19</v>
      </c>
      <c r="E10" s="43" t="s">
        <v>14</v>
      </c>
      <c r="F10" s="43" t="s">
        <v>6</v>
      </c>
      <c r="G10" s="2" t="s">
        <v>42</v>
      </c>
      <c r="H10" s="43">
        <v>1</v>
      </c>
      <c r="I10" s="43">
        <v>1</v>
      </c>
      <c r="J10" s="6">
        <v>1</v>
      </c>
      <c r="K10" s="5" t="s">
        <v>65</v>
      </c>
    </row>
    <row r="11" spans="2:11" ht="14.4" customHeight="1">
      <c r="B11" s="8" t="s">
        <v>84</v>
      </c>
      <c r="C11" s="31">
        <v>22414</v>
      </c>
      <c r="D11" s="9" t="s">
        <v>82</v>
      </c>
      <c r="E11" s="43" t="s">
        <v>14</v>
      </c>
      <c r="F11" s="43" t="s">
        <v>6</v>
      </c>
      <c r="G11" s="2" t="s">
        <v>42</v>
      </c>
      <c r="H11" s="10">
        <v>1</v>
      </c>
      <c r="I11" s="10">
        <v>1</v>
      </c>
      <c r="J11" s="11">
        <v>1</v>
      </c>
      <c r="K11" s="12" t="s">
        <v>83</v>
      </c>
    </row>
    <row r="12" spans="2:11" ht="14.4" customHeight="1">
      <c r="B12" s="8" t="s">
        <v>80</v>
      </c>
      <c r="C12" s="32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81</v>
      </c>
    </row>
  </sheetData>
  <sheetProtection algorithmName="SHA-512" hashValue="mxln/gBsIcQ1lb1lTfK0ZzcHTi8nVfjwIGygtrVJeYQ50DQmC183ye0jii+8CKqEJGBDeSpnzqVDaaqZsJy/Zw==" saltValue="rZ4bkC9uls+yeoUp9clsMg==" spinCount="100000" sheet="1" objects="1" scenarios="1" selectLockedCells="1"/>
  <mergeCells count="2">
    <mergeCell ref="B3:K3"/>
    <mergeCell ref="K4:K8"/>
  </mergeCells>
  <conditionalFormatting sqref="C12 C10">
    <cfRule type="expression" dxfId="7" priority="7">
      <formula>IF(AND($C10&lt;&gt;"",$J10=0),1,0)</formula>
    </cfRule>
    <cfRule type="expression" dxfId="6" priority="8">
      <formula>IF($C10&lt;&gt;"",1,0)</formula>
    </cfRule>
    <cfRule type="expression" dxfId="5" priority="9">
      <formula>$J10=0</formula>
    </cfRule>
  </conditionalFormatting>
  <conditionalFormatting sqref="C11">
    <cfRule type="expression" dxfId="4" priority="1">
      <formula>IF(AND($C11&lt;&gt;"",$J11=0),1,0)</formula>
    </cfRule>
    <cfRule type="expression" dxfId="3" priority="2">
      <formula>IF($C11&lt;&gt;"",1,0)</formula>
    </cfRule>
    <cfRule type="expression" dxfId="2" priority="3">
      <formula>$J11=0</formula>
    </cfRule>
  </conditionalFormatting>
  <conditionalFormatting sqref="K4">
    <cfRule type="expression" dxfId="1" priority="58">
      <formula>IF(COUNTA($C$10:$C$12)&lt;&gt;COUNTIF($J$10:$J$12,1),1,0)</formula>
    </cfRule>
    <cfRule type="expression" dxfId="0" priority="59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25A647-0C0D-4AF0-8743-8D556816898E}">
          <x14:formula1>
            <xm:f>Reference!$A$2:$A$8</xm:f>
          </x14:formula1>
          <xm:sqref>F10:F12</xm:sqref>
        </x14:dataValidation>
        <x14:dataValidation type="list" allowBlank="1" showInputMessage="1" showErrorMessage="1" xr:uid="{FA783B11-485C-4991-97F3-CB17806FCB72}">
          <x14:formula1>
            <xm:f>Reference!$B$2:$B$18</xm:f>
          </x14:formula1>
          <xm:sqref>E10:E12</xm:sqref>
        </x14:dataValidation>
        <x14:dataValidation type="list" allowBlank="1" showInputMessage="1" showErrorMessage="1" xr:uid="{198BE472-E3AC-42D8-ACBB-85ED486D06E0}">
          <x14:formula1>
            <xm:f>Reference!$C$2:$C$23</xm:f>
          </x14:formula1>
          <xm:sqref>G10:G12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33329-A13C-4A83-A812-58DAC21E46B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6" sqref="C6"/>
    </sheetView>
  </sheetViews>
  <sheetFormatPr defaultColWidth="0" defaultRowHeight="0" customHeight="1" zeroHeight="1"/>
  <cols>
    <col min="1" max="2" width="8.88671875" style="56" customWidth="1"/>
    <col min="3" max="3" width="13.109375" style="56" customWidth="1"/>
    <col min="4" max="4" width="13.44140625" style="56" customWidth="1"/>
    <col min="5" max="6" width="8.886718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546875" style="56" customWidth="1"/>
    <col min="12" max="17" width="8.88671875" style="56" customWidth="1"/>
    <col min="18" max="16384" width="8.88671875" style="56" hidden="1"/>
  </cols>
  <sheetData>
    <row r="1" spans="1:17" ht="14.4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tr">
        <f>'[2]Revision History'!$J$4</f>
        <v>Scott Research Group (jkscottresearchgroup.com)</v>
      </c>
    </row>
    <row r="2" spans="1:17" ht="14.4">
      <c r="A2" s="72" t="s">
        <v>120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</row>
    <row r="3" spans="1:17" ht="14.4">
      <c r="A3" s="57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</row>
    <row r="4" spans="1:17" ht="14.4">
      <c r="A4" s="57"/>
      <c r="B4" s="58" t="s">
        <v>121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</row>
    <row r="5" spans="1:17" ht="14.4">
      <c r="A5" s="57"/>
      <c r="B5" s="59"/>
      <c r="C5" s="58" t="s">
        <v>122</v>
      </c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</row>
    <row r="6" spans="1:17" ht="14.4">
      <c r="A6" s="57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</row>
    <row r="7" spans="1:17" ht="14.4">
      <c r="A7" s="57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</row>
    <row r="8" spans="1:17" ht="14.4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</row>
    <row r="9" spans="1:17" ht="14.4">
      <c r="A9" s="57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</row>
    <row r="10" spans="1:17" ht="14.4">
      <c r="A10" s="57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</row>
    <row r="11" spans="1:17" ht="14.4">
      <c r="A11" s="57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</row>
    <row r="12" spans="1:17" ht="14.4">
      <c r="A12" s="57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</row>
    <row r="13" spans="1:17" ht="14.4">
      <c r="A13" s="57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</row>
    <row r="14" spans="1:17" ht="14.4">
      <c r="A14" s="57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</row>
    <row r="15" spans="1:17" ht="14.4">
      <c r="A15" s="57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</row>
    <row r="16" spans="1:17" ht="14.4">
      <c r="A16" s="57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</row>
    <row r="17" spans="1:17" ht="14.4">
      <c r="A17" s="57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</row>
    <row r="18" spans="1:17" ht="14.4">
      <c r="A18" s="57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</row>
    <row r="19" spans="1:17" ht="14.4">
      <c r="A19" s="57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</row>
    <row r="20" spans="1:17" ht="14.4">
      <c r="A20" s="57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</row>
    <row r="21" spans="1:17" ht="14.4">
      <c r="A21" s="57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</row>
    <row r="22" spans="1:17" ht="14.4">
      <c r="A22" s="57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</row>
    <row r="23" spans="1:17" ht="14.4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</row>
    <row r="24" spans="1:17" ht="14.4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</row>
    <row r="25" spans="1:17" ht="14.4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</row>
    <row r="26" spans="1:17" ht="14.4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</row>
    <row r="27" spans="1:17" ht="14.4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</row>
    <row r="28" spans="1:17" ht="14.4">
      <c r="A28" s="57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</row>
    <row r="29" spans="1:17" ht="14.4">
      <c r="A29" s="57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</row>
    <row r="30" spans="1:17" ht="14.4">
      <c r="A30" s="57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</row>
    <row r="31" spans="1:17" ht="14.4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</row>
    <row r="32" spans="1:17" ht="14.4">
      <c r="A32" s="57"/>
      <c r="B32" s="59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</row>
    <row r="33" spans="1:17" ht="14.4">
      <c r="A33" s="57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</row>
    <row r="34" spans="1:17" ht="14.4">
      <c r="A34" s="57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8FC0B-7DDD-4269-8B56-1FAE839137F1}">
  <sheetPr codeName="Sheet2">
    <tabColor rgb="FF00B050"/>
  </sheetPr>
  <dimension ref="A1:AV52"/>
  <sheetViews>
    <sheetView showGridLines="0" topLeftCell="A4" zoomScale="85" zoomScaleNormal="85" zoomScaleSheetLayoutView="55" workbookViewId="0">
      <selection activeCell="D4" sqref="D4:J4"/>
    </sheetView>
  </sheetViews>
  <sheetFormatPr defaultColWidth="0" defaultRowHeight="14.4" customHeight="1" zeroHeight="1"/>
  <cols>
    <col min="1" max="18" width="8.88671875" style="60" customWidth="1"/>
    <col min="19" max="48" width="0" style="60" hidden="1" customWidth="1"/>
    <col min="49" max="16384" width="8.88671875" style="60" hidden="1"/>
  </cols>
  <sheetData>
    <row r="1" spans="1:18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4"/>
      <c r="J1" s="55"/>
      <c r="K1" s="55"/>
      <c r="L1" s="55"/>
      <c r="M1" s="55"/>
      <c r="N1" s="55"/>
      <c r="O1" s="55"/>
      <c r="P1" s="55"/>
      <c r="Q1" s="55"/>
      <c r="R1" s="55" t="str">
        <f>'[2]Revision History'!$J$4</f>
        <v>Scott Research Group (jkscottresearchgroup.com)</v>
      </c>
    </row>
    <row r="2" spans="1:18">
      <c r="A2" s="61" t="s">
        <v>119</v>
      </c>
      <c r="B2" s="62"/>
      <c r="C2" s="62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4"/>
    </row>
    <row r="3" spans="1:18">
      <c r="A3" s="57"/>
      <c r="B3" s="58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6"/>
    </row>
    <row r="4" spans="1:18">
      <c r="A4" s="57"/>
      <c r="B4" s="58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6"/>
    </row>
    <row r="5" spans="1:18">
      <c r="A5" s="57"/>
      <c r="B5" s="58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6"/>
    </row>
    <row r="6" spans="1:18">
      <c r="A6" s="57"/>
      <c r="B6" s="58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6"/>
    </row>
    <row r="7" spans="1:18">
      <c r="A7" s="57"/>
      <c r="B7" s="58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6"/>
    </row>
    <row r="8" spans="1:18">
      <c r="A8" s="57"/>
      <c r="B8" s="58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6"/>
    </row>
    <row r="9" spans="1:18">
      <c r="A9" s="57"/>
      <c r="B9" s="58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6"/>
    </row>
    <row r="10" spans="1:18">
      <c r="A10" s="57"/>
      <c r="B10" s="58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6"/>
    </row>
    <row r="11" spans="1:18">
      <c r="A11" s="57"/>
      <c r="B11" s="58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6"/>
    </row>
    <row r="12" spans="1:18">
      <c r="A12" s="57"/>
      <c r="B12" s="58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6"/>
    </row>
    <row r="13" spans="1:18">
      <c r="A13" s="57"/>
      <c r="B13" s="58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6"/>
    </row>
    <row r="14" spans="1:18">
      <c r="A14" s="57"/>
      <c r="B14" s="58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6"/>
    </row>
    <row r="15" spans="1:18">
      <c r="A15" s="57"/>
      <c r="B15" s="58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6"/>
    </row>
    <row r="16" spans="1:18">
      <c r="A16" s="57"/>
      <c r="B16" s="58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6"/>
    </row>
    <row r="17" spans="1:18">
      <c r="A17" s="57"/>
      <c r="B17" s="58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6"/>
    </row>
    <row r="18" spans="1:18">
      <c r="A18" s="57"/>
      <c r="B18" s="58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6"/>
    </row>
    <row r="19" spans="1:18">
      <c r="A19" s="57"/>
      <c r="B19" s="58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6"/>
    </row>
    <row r="20" spans="1:18">
      <c r="A20" s="57"/>
      <c r="B20" s="58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6"/>
    </row>
    <row r="21" spans="1:18">
      <c r="A21" s="57"/>
      <c r="B21" s="58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6"/>
    </row>
    <row r="22" spans="1:18">
      <c r="A22" s="57"/>
      <c r="B22" s="58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6"/>
    </row>
    <row r="23" spans="1:18">
      <c r="A23" s="57"/>
      <c r="B23" s="58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6"/>
    </row>
    <row r="24" spans="1:18">
      <c r="A24" s="57"/>
      <c r="B24" s="58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6"/>
    </row>
    <row r="25" spans="1:18">
      <c r="A25" s="57"/>
      <c r="B25" s="58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6"/>
    </row>
    <row r="26" spans="1:18">
      <c r="A26" s="57"/>
      <c r="B26" s="58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6"/>
    </row>
    <row r="27" spans="1:18">
      <c r="A27" s="57"/>
      <c r="B27" s="58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6"/>
    </row>
    <row r="28" spans="1:18">
      <c r="A28" s="57"/>
      <c r="B28" s="58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6"/>
    </row>
    <row r="29" spans="1:18">
      <c r="A29" s="57"/>
      <c r="B29" s="58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6"/>
    </row>
    <row r="30" spans="1:18">
      <c r="A30" s="57"/>
      <c r="B30" s="58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6"/>
    </row>
    <row r="31" spans="1:18">
      <c r="A31" s="57"/>
      <c r="B31" s="58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6"/>
    </row>
    <row r="32" spans="1:18">
      <c r="A32" s="57"/>
      <c r="B32" s="58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6"/>
    </row>
    <row r="33" spans="1:18">
      <c r="A33" s="57"/>
      <c r="B33" s="58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6"/>
    </row>
    <row r="34" spans="1:18">
      <c r="A34" s="57"/>
      <c r="B34" s="58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6"/>
    </row>
    <row r="35" spans="1:18">
      <c r="A35" s="57"/>
      <c r="B35" s="58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6"/>
    </row>
    <row r="36" spans="1:18">
      <c r="A36" s="57"/>
      <c r="B36" s="58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6"/>
    </row>
    <row r="37" spans="1:18">
      <c r="A37" s="57"/>
      <c r="B37" s="58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6"/>
    </row>
    <row r="38" spans="1:18">
      <c r="A38" s="57"/>
      <c r="B38" s="58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6"/>
    </row>
    <row r="39" spans="1:18">
      <c r="A39" s="57"/>
      <c r="B39" s="58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6"/>
    </row>
    <row r="40" spans="1:18">
      <c r="A40" s="57"/>
      <c r="B40" s="58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6"/>
    </row>
    <row r="41" spans="1:18">
      <c r="A41" s="57"/>
      <c r="B41" s="58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6"/>
    </row>
    <row r="42" spans="1:18">
      <c r="A42" s="57"/>
      <c r="B42" s="58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6"/>
    </row>
    <row r="43" spans="1:18">
      <c r="A43" s="57"/>
      <c r="B43" s="58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6"/>
    </row>
    <row r="44" spans="1:18">
      <c r="A44" s="57"/>
      <c r="B44" s="58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6"/>
    </row>
    <row r="45" spans="1:18">
      <c r="A45" s="57"/>
      <c r="B45" s="58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6"/>
    </row>
    <row r="46" spans="1:18">
      <c r="A46" s="57"/>
      <c r="B46" s="58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6"/>
    </row>
    <row r="47" spans="1:18">
      <c r="A47" s="57"/>
      <c r="B47" s="58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6"/>
    </row>
    <row r="48" spans="1:18">
      <c r="A48" s="57"/>
      <c r="B48" s="58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6"/>
    </row>
    <row r="49" spans="1:18">
      <c r="A49" s="57"/>
      <c r="B49" s="58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6"/>
    </row>
    <row r="50" spans="1:18">
      <c r="A50" s="57"/>
      <c r="B50" s="58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6"/>
    </row>
    <row r="51" spans="1:18">
      <c r="A51" s="57"/>
      <c r="B51" s="58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6"/>
    </row>
    <row r="52" spans="1:18">
      <c r="A52" s="57"/>
      <c r="B52" s="58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6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93</v>
      </c>
    </row>
    <row r="2" spans="1:1">
      <c r="A2" t="s">
        <v>91</v>
      </c>
    </row>
    <row r="3" spans="1:1">
      <c r="A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topLeftCell="CF1" workbookViewId="0">
      <selection activeCell="CM2" sqref="CM2"/>
    </sheetView>
  </sheetViews>
  <sheetFormatPr defaultRowHeight="14.4"/>
  <sheetData>
    <row r="1" spans="1:9">
      <c r="A1" t="s">
        <v>105</v>
      </c>
      <c r="B1" t="s">
        <v>123</v>
      </c>
      <c r="C1" t="s">
        <v>80</v>
      </c>
      <c r="D1" t="s">
        <v>104</v>
      </c>
      <c r="E1" t="s">
        <v>103</v>
      </c>
      <c r="F1" t="s">
        <v>80</v>
      </c>
      <c r="G1" t="s">
        <v>30</v>
      </c>
      <c r="H1" t="s">
        <v>84</v>
      </c>
      <c r="I1" t="s">
        <v>80</v>
      </c>
    </row>
    <row r="2" spans="1:9">
      <c r="A2">
        <v>298.14999999999998</v>
      </c>
      <c r="B2">
        <v>1.01325</v>
      </c>
      <c r="D2">
        <v>273.14999999999998</v>
      </c>
      <c r="E2">
        <v>1.01325</v>
      </c>
      <c r="G2">
        <v>83.144099999999995</v>
      </c>
      <c r="H2">
        <v>22414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topLeftCell="CC1" workbookViewId="0">
      <selection activeCell="CR2" sqref="CR2"/>
    </sheetView>
  </sheetViews>
  <sheetFormatPr defaultRowHeight="14.4"/>
  <sheetData>
    <row r="1" spans="1:9">
      <c r="A1" t="s">
        <v>105</v>
      </c>
      <c r="B1" t="s">
        <v>123</v>
      </c>
      <c r="C1" t="s">
        <v>80</v>
      </c>
      <c r="D1" t="s">
        <v>104</v>
      </c>
      <c r="E1" t="s">
        <v>103</v>
      </c>
      <c r="F1" t="s">
        <v>80</v>
      </c>
      <c r="G1" t="s">
        <v>30</v>
      </c>
      <c r="H1" t="s">
        <v>84</v>
      </c>
      <c r="I1" t="s">
        <v>80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Revision History</vt:lpstr>
      <vt:lpstr>Reference</vt:lpstr>
      <vt:lpstr>Ambient Conditions</vt:lpstr>
      <vt:lpstr>Standard Conditions</vt:lpstr>
      <vt:lpstr>Ideal Gas Properties</vt:lpstr>
      <vt:lpstr>Help</vt:lpstr>
      <vt:lpstr>PFD</vt:lpstr>
      <vt:lpstr>maintenance check list</vt:lpstr>
      <vt:lpstr>Data(Transposed)</vt:lpstr>
      <vt:lpstr>Data(Test)</vt:lpstr>
      <vt:lpstr>'Ambient Conditions'!Print_Area</vt:lpstr>
      <vt:lpstr>'Ideal Gas Properties'!Print_Area</vt:lpstr>
      <vt:lpstr>'Revision History'!Print_Area</vt:lpstr>
      <vt:lpstr>'Standard Conditions'!Print_Area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2022-08-09T14:08:21Z</dcterms:modified>
</cp:coreProperties>
</file>