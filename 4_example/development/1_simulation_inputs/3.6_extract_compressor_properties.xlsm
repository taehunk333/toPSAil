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945C5ECD-D388-B240-926B-3602EBA734FF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Help" sheetId="37" r:id="rId4"/>
    <sheet name="maintenance check list" sheetId="28" state="hidden" r:id="rId5"/>
    <sheet name="Data(Transposed)" sheetId="3" state="hidden" r:id="rId6"/>
    <sheet name="Data(Test)" sheetId="9" state="hidden" r:id="rId7"/>
  </sheets>
  <functionGroups builtInGroupCount="19"/>
  <externalReferences>
    <externalReference r:id="rId8"/>
    <externalReference r:id="rId9"/>
  </externalReferences>
  <definedNames>
    <definedName name="_xlnm._FilterDatabase" localSheetId="2" hidden="1">'Thermodynamic Properties'!$B$9:$K$9</definedName>
    <definedName name="_xlnm.Print_Area" localSheetId="0">'Revision History'!$C$3:$K$51</definedName>
    <definedName name="_xlnm.Print_Area" localSheetId="2">'Thermodynamic Properties'!$B$2:$K$11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40" l="1"/>
  <c r="K2" i="40"/>
  <c r="B2" i="40"/>
  <c r="Q1" i="37"/>
  <c r="A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H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<sst xmlns="http://schemas.openxmlformats.org/spreadsheetml/2006/main" count="141" uniqueCount="111">
  <si>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</si>
  <si>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</si>
  <si>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</si>
  <si>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</si>
  <si>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</si>
  <si>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</si>
  <si>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</si>
  <si>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</si>
  <si>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</si>
  <si>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</si>
  <si>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</si>
  <si>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</si>
  <si>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</si>
  <si>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</si>
  <si>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</si>
  <si>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</si>
  <si>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</si>
  <si>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</si>
  <si>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</si>
  <si>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</si>
  <si>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</si>
  <si>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</si>
  <si>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</si>
  <si>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</si>
  <si>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</si>
  <si>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</si>
  <si>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</si>
  <si>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</si>
  <si>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</si>
  <si>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</si>
  <si>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</si>
  <si>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</si>
  <si>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</si>
  <si>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</si>
  <si>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</si>
  <si>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</si>
  <si>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</si>
  <si>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</si>
  <si>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</si>
  <si>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</si>
  <si>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</si>
  <si>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</si>
  <si>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</si>
  <si>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</si>
  <si>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</si>
  <si>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</si>
  <si>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</si>
  <si>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</si>
  <si>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</si>
  <si>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</si>
  <si>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</si>
  <si>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</si>
  <si>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</si>
  <si>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</si>
  <si>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</si>
  <si>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</si>
  <si>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</si>
  <si>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</si>
  <si>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</si>
  <si>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</si>
  <si>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</si>
  <si>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</si>
  <si>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</si>
  <si>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</si>
  <si>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</si>
  <si>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</si>
  <si>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</si>
  <si>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</si>
  <si>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</si>
  <si>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</si>
  <si>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</si>
  <si>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</si>
  <si>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</si>
  <si>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</si>
  <si>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</si>
  <si>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</si>
  <si>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</si>
  <si>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</si>
  <si>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</si>
  <si>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</si>
  <si>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</si>
  <si>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</si>
  <si>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</si>
  <si>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</si>
  <si>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</si>
  <si>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</si>
  <si>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</si>
  <si>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</si>
  <si>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</si>
  <si>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</si>
  <si>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</si>
  <si>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</si>
  <si>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</si>
  <si>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</si>
  <si>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</si>
  <si>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</si>
  <si>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</si>
  <si>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</si>
  <si>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</si>
  <si>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</si>
  <si>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</si>
  <si>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</si>
  <si>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</si>
  <si>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</si>
  <si>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</si>
  <si>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</si>
  <si>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</si>
  <si>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Changers Information</t>
  </si>
  <si>
    <t>Vacuum Pump</t>
  </si>
  <si>
    <t>Compressor</t>
  </si>
  <si>
    <t>isEntEffExComp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</si>
</sst>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B9:K11" totalsRowShown="0" headerRowDxfId="14" dataDxfId="12" headerRowBorderDxfId="13" tableBorderDxfId="11" totalsRowBorderDxfId="10">
  <autoFilter ref="B9:K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3D841CC4-BAC8-49CA-94C8-1681D2A28E77}">
    <text>place 1 if we want to keep the row when re-initializing. Otherwise, leave it as a blank.</text>
  </threadedComment>
  <threadedComment ref="I9" dT="2020-11-26T18:35:03.27" personId="{7F98AE94-13FB-49E1-9262-339C11E0EDB4}" id="{190EFEDD-2DC1-491C-8B1C-21EA83B058D9}">
    <text>supply a value greater than 1 if you want to duplicate the row</text>
  </threadedComment>
  <threadedComment ref="J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J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4" sqref="E14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9" t="s">
        <v>106</v>
      </c>
      <c r="E4" s="50"/>
      <c r="F4" s="51"/>
      <c r="G4" s="52"/>
      <c r="H4" s="52"/>
      <c r="I4" s="52"/>
      <c r="J4" s="34" t="s">
        <v>82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5" t="s">
        <v>30</v>
      </c>
      <c r="E6" s="45" t="s">
        <v>104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35">
        <v>1</v>
      </c>
      <c r="E7" s="46" t="s">
        <v>105</v>
      </c>
      <c r="F7" s="47">
        <v>44720</v>
      </c>
      <c r="G7" s="48" t="s">
        <v>37</v>
      </c>
      <c r="H7" s="35"/>
      <c r="I7" s="35"/>
      <c r="J7" s="36"/>
    </row>
    <row r="8" spans="4:10" ht="19" x14ac:dyDescent="0.2">
      <c r="D8" s="35">
        <v>2</v>
      </c>
      <c r="E8" s="36"/>
      <c r="F8" s="37"/>
      <c r="G8" s="35"/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2:11" ht="15" x14ac:dyDescent="0.2">
      <c r="B2" s="39" t="str">
        <f>'Revision History'!$D$4</f>
        <v>REV. NO.1 (6/8/2022)</v>
      </c>
      <c r="C2" s="40"/>
      <c r="D2" s="40"/>
      <c r="E2" s="40"/>
      <c r="F2" s="40"/>
      <c r="G2" s="40"/>
      <c r="H2" s="40"/>
      <c r="I2" s="40"/>
      <c r="J2" s="40"/>
      <c r="K2" s="41" t="str">
        <f>'Revision History'!$J$4</f>
        <v>Scott Research Group (jkscottresearchgroup.com)</v>
      </c>
    </row>
    <row r="3" spans="2:11" ht="19" x14ac:dyDescent="0.2">
      <c r="B3" s="61" t="s">
        <v>29</v>
      </c>
      <c r="C3" s="61"/>
      <c r="D3" s="61"/>
      <c r="E3" s="61"/>
      <c r="F3" s="61"/>
      <c r="G3" s="61"/>
      <c r="H3" s="61"/>
      <c r="I3" s="61"/>
      <c r="J3" s="61"/>
      <c r="K3" s="61"/>
    </row>
    <row r="4" spans="2:11" ht="14.5" customHeight="1" x14ac:dyDescent="0.2">
      <c r="B4" s="12"/>
      <c r="C4" s="13"/>
      <c r="D4" s="14"/>
      <c r="E4" s="15"/>
      <c r="F4" s="15"/>
      <c r="G4" s="15"/>
      <c r="H4" s="15"/>
      <c r="I4" s="15"/>
      <c r="J4" s="15"/>
      <c r="K4" s="62" t="str">
        <f>IF(COUNTIF(Table110423[Test 3],1)=COUNTA(Table110423[Value]),"Ready","Not Ready")</f>
        <v>Ready</v>
      </c>
    </row>
    <row r="5" spans="2:11" ht="14.5" customHeight="1" x14ac:dyDescent="0.2">
      <c r="B5" s="16"/>
      <c r="C5" s="17"/>
      <c r="D5" s="44"/>
      <c r="E5" s="44"/>
      <c r="F5" s="44"/>
      <c r="G5" s="44"/>
      <c r="H5" s="18"/>
      <c r="I5" s="44"/>
      <c r="J5" s="44"/>
      <c r="K5" s="63"/>
    </row>
    <row r="6" spans="2:11" ht="14.5" customHeight="1" x14ac:dyDescent="0.2">
      <c r="B6" s="16"/>
      <c r="C6" s="17"/>
      <c r="D6" s="44"/>
      <c r="E6" s="44"/>
      <c r="F6" s="44"/>
      <c r="G6" s="44"/>
      <c r="H6" s="18"/>
      <c r="I6" s="44"/>
      <c r="J6" s="44"/>
      <c r="K6" s="63"/>
    </row>
    <row r="7" spans="2:11" ht="14.5" customHeight="1" x14ac:dyDescent="0.2">
      <c r="B7" s="16"/>
      <c r="C7" s="17"/>
      <c r="D7" s="44"/>
      <c r="E7" s="44"/>
      <c r="F7" s="44"/>
      <c r="G7" s="44"/>
      <c r="H7" s="18"/>
      <c r="I7" s="44"/>
      <c r="J7" s="44"/>
      <c r="K7" s="63"/>
    </row>
    <row r="8" spans="2:11" ht="14.5" customHeight="1" x14ac:dyDescent="0.2">
      <c r="B8" s="19"/>
      <c r="C8" s="20"/>
      <c r="D8" s="21"/>
      <c r="E8" s="21"/>
      <c r="F8" s="21"/>
      <c r="G8" s="21"/>
      <c r="H8" s="22"/>
      <c r="I8" s="21"/>
      <c r="J8" s="21"/>
      <c r="K8" s="64"/>
    </row>
    <row r="9" spans="2:11" ht="16" x14ac:dyDescent="0.2">
      <c r="B9" s="24" t="s">
        <v>0</v>
      </c>
      <c r="C9" s="25" t="s">
        <v>1</v>
      </c>
      <c r="D9" s="25" t="s">
        <v>2</v>
      </c>
      <c r="E9" s="25" t="s">
        <v>14</v>
      </c>
      <c r="F9" s="25" t="s">
        <v>62</v>
      </c>
      <c r="G9" s="26" t="s">
        <v>38</v>
      </c>
      <c r="H9" s="26" t="s">
        <v>63</v>
      </c>
      <c r="I9" s="25" t="s">
        <v>64</v>
      </c>
      <c r="J9" s="27" t="s">
        <v>71</v>
      </c>
      <c r="K9" s="27" t="s">
        <v>12</v>
      </c>
    </row>
    <row r="10" spans="2:11" ht="32" x14ac:dyDescent="0.2">
      <c r="B10" s="43" t="s">
        <v>110</v>
      </c>
      <c r="C10" s="28">
        <v>0.75</v>
      </c>
      <c r="D10" s="30" t="s">
        <v>3</v>
      </c>
      <c r="E10" s="42" t="s">
        <v>17</v>
      </c>
      <c r="F10" s="42" t="s">
        <v>7</v>
      </c>
      <c r="G10" s="2" t="s">
        <v>52</v>
      </c>
      <c r="H10" s="42">
        <v>1</v>
      </c>
      <c r="I10" s="42">
        <v>1</v>
      </c>
      <c r="J10" s="5">
        <v>1</v>
      </c>
      <c r="K10" s="4" t="s">
        <v>92</v>
      </c>
    </row>
    <row r="11" spans="2:11" ht="16" x14ac:dyDescent="0.2">
      <c r="B11" s="7" t="s">
        <v>75</v>
      </c>
      <c r="C11" s="29"/>
      <c r="D11" s="8"/>
      <c r="E11" s="9"/>
      <c r="F11" s="9"/>
      <c r="G11" s="8"/>
      <c r="H11" s="9">
        <v>1</v>
      </c>
      <c r="I11" s="9">
        <v>1</v>
      </c>
      <c r="J11" s="10">
        <v>0</v>
      </c>
      <c r="K11" s="11" t="s">
        <v>76</v>
      </c>
    </row>
  </sheetData>
  <sheetProtection algorithmName="SHA-512" hashValue="C5PAQ+h7PSxTIczbbU2icbUeHw3CL5ha+zdytWO85zfNXAICiu0d4JIRo3HopGk2MyM6NQXfDN1Y1K6F8lRyCQ==" saltValue="xfPDOpIQ4LKYuWJkwM04rg==" spinCount="100000" sheet="1" objects="1" scenarios="1" selectLockedCells="1"/>
  <mergeCells count="2">
    <mergeCell ref="B3:K3"/>
    <mergeCell ref="K4:K8"/>
  </mergeCells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4">
      <formula>IF(COUNTA($C$10:$C$11)&lt;&gt;COUNTIF($J$10:$J$11,1),1,0)</formula>
    </cfRule>
    <cfRule type="expression" dxfId="15" priority="5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G10:G11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E10:E11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2E94-E305-4ABB-8FA7-43727A3EE10A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18" sqref="B18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5" x14ac:dyDescent="0.2">
      <c r="A2" s="65" t="s">
        <v>107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</row>
    <row r="4" spans="1:17" ht="15" x14ac:dyDescent="0.2">
      <c r="A4" s="57"/>
      <c r="B4" s="58" t="s">
        <v>108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 ht="15" x14ac:dyDescent="0.2">
      <c r="A5" s="57"/>
      <c r="B5" s="59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</row>
    <row r="6" spans="1:17" ht="15" x14ac:dyDescent="0.2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</row>
    <row r="7" spans="1:17" ht="15" x14ac:dyDescent="0.2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</row>
    <row r="8" spans="1:17" ht="15" x14ac:dyDescent="0.2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</row>
    <row r="9" spans="1:17" ht="15" x14ac:dyDescent="0.2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</row>
    <row r="10" spans="1:17" ht="15" x14ac:dyDescent="0.2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</row>
    <row r="11" spans="1:17" ht="15" x14ac:dyDescent="0.2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</row>
    <row r="12" spans="1:17" ht="15" x14ac:dyDescent="0.2">
      <c r="A12" s="57"/>
      <c r="B12" s="58" t="s">
        <v>109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</row>
    <row r="13" spans="1:17" ht="15" x14ac:dyDescent="0.2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</row>
    <row r="14" spans="1:17" ht="15" x14ac:dyDescent="0.2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</row>
    <row r="15" spans="1:17" ht="15" x14ac:dyDescent="0.2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</row>
    <row r="16" spans="1:17" ht="15" x14ac:dyDescent="0.2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</row>
    <row r="17" spans="1:17" ht="15" x14ac:dyDescent="0.2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</row>
    <row r="18" spans="1:17" ht="15" x14ac:dyDescent="0.2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1:17" ht="15" x14ac:dyDescent="0.2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</row>
    <row r="20" spans="1:17" ht="15" x14ac:dyDescent="0.2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</row>
    <row r="21" spans="1:17" ht="15" x14ac:dyDescent="0.2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</row>
    <row r="22" spans="1:17" ht="15" x14ac:dyDescent="0.2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</row>
    <row r="23" spans="1:17" ht="15" x14ac:dyDescent="0.2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</row>
    <row r="24" spans="1:17" ht="15" x14ac:dyDescent="0.2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</row>
    <row r="25" spans="1:17" ht="15" x14ac:dyDescent="0.2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</row>
    <row r="26" spans="1:17" ht="15" x14ac:dyDescent="0.2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</row>
    <row r="27" spans="1:17" ht="15" x14ac:dyDescent="0.2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</row>
    <row r="28" spans="1:17" ht="15" x14ac:dyDescent="0.2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</row>
    <row r="29" spans="1:17" ht="15" x14ac:dyDescent="0.2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</row>
    <row r="30" spans="1:17" ht="15" x14ac:dyDescent="0.2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</row>
    <row r="31" spans="1:17" ht="15" x14ac:dyDescent="0.2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</row>
    <row r="32" spans="1:17" ht="15" x14ac:dyDescent="0.2">
      <c r="A32" s="57"/>
      <c r="B32" s="59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</row>
    <row r="33" spans="1:17" ht="15" x14ac:dyDescent="0.2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</row>
    <row r="34" spans="1:17" ht="15" x14ac:dyDescent="0.2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110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110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Revision History</vt:lpstr>
      <vt:lpstr>Reference</vt:lpstr>
      <vt:lpstr>Thermodynamic Properties</vt:lpstr>
      <vt:lpstr>Help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2022-08-28T01:12:46Z</dcterms:modified>
</cp:coreProperties>
</file>