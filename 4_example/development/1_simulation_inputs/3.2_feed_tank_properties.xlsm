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 codeName="{A63ED3A1-9429-3D75-F2AA-CA7E51A8F3A1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aehunkim/Documents/GitHub/toPSAil/4_example/development/1_simulation_inputs/"/>
    </mc:Choice>
  </mc:AlternateContent>
  <xr:revisionPtr revIDLastSave="0" documentId="13_ncr:1_{49D88AE0-30E9-2748-B242-A68A1FCF98E9}" xr6:coauthVersionLast="47" xr6:coauthVersionMax="47" xr10:uidLastSave="{00000000-0000-0000-0000-000000000000}"/>
  <bookViews>
    <workbookView xWindow="0" yWindow="640" windowWidth="34560" windowHeight="21700" tabRatio="818" activeTab="2" xr2:uid="{CB583278-6AF7-49E7-A969-6064EAB4A9B4}"/>
  </bookViews>
  <sheets>
    <sheet name="Revision History" sheetId="39" r:id="rId1"/>
    <sheet name="Reference" sheetId="2" r:id="rId2"/>
    <sheet name="Initialization" sheetId="40" r:id="rId3"/>
    <sheet name="Geometry" sheetId="43" r:id="rId4"/>
    <sheet name="Physical Properties" sheetId="31" r:id="rId5"/>
    <sheet name="Help" sheetId="41" r:id="rId6"/>
    <sheet name="PFD" sheetId="42" r:id="rId7"/>
    <sheet name="maintenance check list" sheetId="28" state="hidden" r:id="rId8"/>
    <sheet name="Data(Transposed)" sheetId="3" state="hidden" r:id="rId9"/>
    <sheet name="Data(Test)" sheetId="9" state="hidden" r:id="rId10"/>
  </sheets>
  <functionGroups builtInGroupCount="19"/>
  <externalReferences>
    <externalReference r:id="rId11"/>
    <externalReference r:id="rId12"/>
  </externalReferences>
  <definedNames>
    <definedName name="_xlnm._FilterDatabase" localSheetId="3" hidden="1">Geometry!$B$9:$K$9</definedName>
    <definedName name="_xlnm._FilterDatabase" localSheetId="2" hidden="1">Initialization!$B$9:$K$9</definedName>
    <definedName name="_xlnm._FilterDatabase" localSheetId="4" hidden="1">'Physical Properties'!$B$9:$K$9</definedName>
    <definedName name="_xlnm.Print_Area" localSheetId="3">Geometry!$B$2:$K$13</definedName>
    <definedName name="_xlnm.Print_Area" localSheetId="2">Initialization!$B$2:$K$13</definedName>
    <definedName name="_xlnm.Print_Area" localSheetId="4">'Physical Properties'!$B$2:$K$14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2" i="31" l="1"/>
  <c r="B2" i="31"/>
  <c r="K2" i="43"/>
  <c r="B2" i="43"/>
  <c r="K2" i="40"/>
  <c r="B2" i="40"/>
  <c r="K4" i="43" l="1"/>
  <c r="R1" i="42"/>
  <c r="A1" i="42"/>
  <c r="Q1" i="41"/>
  <c r="A1" i="41"/>
  <c r="K4" i="40" l="1"/>
  <c r="K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H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I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J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H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I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J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H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I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J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<sst xmlns="http://schemas.openxmlformats.org/spreadsheetml/2006/main" count="244" uniqueCount="134">
  <si>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</si>
  <si>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</si>
  <si>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</si>
  <si>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</si>
  <si>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</si>
  <si>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</si>
  <si>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</si>
  <si>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</si>
  <si>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</si>
  <si>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</si>
  <si>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</si>
  <si>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</si>
  <si>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</si>
  <si>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</si>
  <si>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</si>
  <si>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</si>
  <si>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</si>
  <si>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</si>
  <si>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</si>
  <si>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</si>
  <si>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</si>
  <si>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</si>
  <si>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</si>
  <si>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</si>
  <si>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</si>
  <si>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</si>
  <si>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</si>
  <si>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</si>
  <si>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</si>
  <si>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</si>
  <si>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</si>
  <si>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</si>
  <si>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</si>
  <si>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</si>
  <si>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</si>
  <si>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</si>
  <si>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</si>
  <si>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</si>
  <si>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</si>
  <si>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</si>
  <si>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</si>
  <si>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</si>
  <si>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</si>
  <si>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</si>
  <si>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</si>
  <si>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</si>
  <si>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</si>
  <si>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</si>
  <si>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</si>
  <si>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</si>
  <si>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</si>
  <si>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</si>
  <si>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</si>
  <si>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</si>
  <si>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</si>
  <si>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</si>
  <si>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</si>
  <si>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</si>
  <si>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</si>
  <si>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</si>
  <si>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</si>
  <si>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</si>
  <si>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</si>
  <si>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</si>
  <si>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</si>
  <si>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</si>
  <si>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</si>
  <si>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</si>
  <si>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</si>
  <si>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</si>
  <si>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</si>
  <si>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</si>
  <si>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</si>
  <si>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</si>
  <si>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</si>
  <si>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</si>
  <si>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</si>
  <si>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</si>
  <si>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</si>
  <si>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</si>
  <si>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</si>
  <si>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</si>
  <si>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</si>
  <si>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</si>
  <si>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</si>
  <si>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</si>
  <si>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</si>
  <si>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presFeTa</t>
  </si>
  <si>
    <t>The initial pressure for the feed tank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</si>
  <si>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</si>
  <si>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</si>
  <si>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</si>
  <si>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</si>
  <si>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</si>
  <si>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</si>
  <si>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</si>
  <si>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</si>
  <si>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</si>
  <si>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</si>
  <si>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a heat transfer coefficient from column to a column wall</t>
  </si>
  <si>
    <t>a heat transfer coefficient from a column wall to the ambient environment</t>
  </si>
  <si>
    <t>MassTransferResistance</t>
  </si>
  <si>
    <t>Boolean</t>
  </si>
  <si>
    <t>numTanks</t>
  </si>
  <si>
    <t>J/kg-K</t>
  </si>
  <si>
    <t>Feed tank initial temperature</t>
  </si>
  <si>
    <t>inConFeTa</t>
  </si>
  <si>
    <t>1 = feed gas at a feed pressure
2 = extract product gas at a feed pressure</t>
  </si>
  <si>
    <t>initCondFeTa</t>
  </si>
  <si>
    <t>initCondRaTa</t>
  </si>
  <si>
    <t>tempFeTa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</si>
  <si>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</si>
  <si>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</si>
  <si>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</si>
  <si>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</si>
  <si>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</si>
  <si>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</si>
  <si>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</si>
  <si>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</si>
  <si>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</si>
  <si>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</si>
  <si>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REV. NO.1 (6/8/2022)</t>
  </si>
  <si>
    <t>Initial development of the "cycle_organization.xlsm" sheet.</t>
  </si>
  <si>
    <t>Assumptions:</t>
  </si>
  <si>
    <t>Pressure Swing Adsorption Process Flow Diagram (PFD)</t>
  </si>
  <si>
    <t>Feed Tank Information</t>
  </si>
  <si>
    <t>1. Feed tank pressure is maintained at a fixed pressure by the mass flow controller.</t>
  </si>
  <si>
    <t>radInFeTa</t>
  </si>
  <si>
    <t>radOutFeTa</t>
  </si>
  <si>
    <t>heightFeTa</t>
  </si>
  <si>
    <t>htTrCoInFeTa</t>
  </si>
  <si>
    <t>htTrCoOutFeTa</t>
  </si>
  <si>
    <t>waDensFeTa</t>
  </si>
  <si>
    <t>htCapFeTa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</si>
</sst>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82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3" borderId="6" xfId="0" applyFont="1" applyFill="1" applyBorder="1" applyAlignment="1" applyProtection="1">
      <alignment horizontal="center" vertical="center"/>
    </xf>
    <xf numFmtId="0" fontId="4" fillId="3" borderId="0" xfId="0" applyFont="1" applyFill="1" applyBorder="1" applyAlignment="1">
      <alignment horizontal="center" vertical="center"/>
    </xf>
    <xf numFmtId="0" fontId="4" fillId="3" borderId="12" xfId="0" applyFont="1" applyFill="1" applyBorder="1" applyAlignment="1" applyProtection="1">
      <alignment horizontal="center" vertical="center"/>
    </xf>
    <xf numFmtId="0" fontId="4" fillId="3" borderId="10" xfId="0" applyFont="1" applyFill="1" applyBorder="1" applyAlignment="1" applyProtection="1">
      <alignment horizontal="left" vertical="center" indent="1"/>
    </xf>
    <xf numFmtId="0" fontId="4" fillId="3" borderId="10" xfId="0" applyFont="1" applyFill="1" applyBorder="1" applyAlignment="1" applyProtection="1">
      <alignment horizontal="center" vertical="center"/>
    </xf>
    <xf numFmtId="0" fontId="4" fillId="3" borderId="11" xfId="0" applyFont="1" applyFill="1" applyBorder="1" applyAlignment="1" applyProtection="1">
      <alignment horizontal="center" vertical="center"/>
    </xf>
    <xf numFmtId="0" fontId="4" fillId="3" borderId="11" xfId="0" applyFont="1" applyFill="1" applyBorder="1" applyAlignment="1" applyProtection="1">
      <alignment horizontal="left" vertical="center" wrapText="1" indent="1"/>
    </xf>
    <xf numFmtId="0" fontId="4" fillId="4" borderId="11" xfId="0" applyFont="1" applyFill="1" applyBorder="1" applyAlignment="1" applyProtection="1">
      <alignment horizontal="right" vertical="center"/>
    </xf>
    <xf numFmtId="0" fontId="4" fillId="4" borderId="13" xfId="0" applyFont="1" applyFill="1" applyBorder="1" applyAlignment="1" applyProtection="1">
      <alignment horizontal="right" vertical="center"/>
    </xf>
    <xf numFmtId="0" fontId="4" fillId="4" borderId="13" xfId="0" applyFont="1" applyFill="1" applyBorder="1" applyAlignment="1" applyProtection="1">
      <alignment horizontal="left" vertical="center"/>
    </xf>
    <xf numFmtId="0" fontId="4" fillId="4" borderId="13" xfId="0" applyFont="1" applyFill="1" applyBorder="1" applyAlignment="1" applyProtection="1">
      <alignment horizontal="center" vertical="center"/>
    </xf>
    <xf numFmtId="0" fontId="4" fillId="4" borderId="3" xfId="0" applyFont="1" applyFill="1" applyBorder="1" applyAlignment="1" applyProtection="1">
      <alignment horizontal="right" vertical="center"/>
    </xf>
    <xf numFmtId="0" fontId="4" fillId="4" borderId="0" xfId="0" applyFont="1" applyFill="1" applyBorder="1" applyAlignment="1" applyProtection="1">
      <alignment horizontal="right" vertical="center"/>
    </xf>
    <xf numFmtId="0" fontId="4" fillId="4" borderId="0" xfId="0" applyFont="1" applyFill="1" applyBorder="1" applyAlignment="1" applyProtection="1">
      <alignment horizontal="center" vertical="center"/>
    </xf>
    <xf numFmtId="0" fontId="4" fillId="4" borderId="4" xfId="0" applyFont="1" applyFill="1" applyBorder="1" applyAlignment="1" applyProtection="1">
      <alignment horizontal="right" vertical="center"/>
    </xf>
    <xf numFmtId="0" fontId="4" fillId="4" borderId="2" xfId="0" applyFont="1" applyFill="1" applyBorder="1" applyAlignment="1" applyProtection="1">
      <alignment horizontal="right" vertical="center"/>
    </xf>
    <xf numFmtId="0" fontId="4" fillId="4" borderId="2" xfId="0" applyFont="1" applyFill="1" applyBorder="1" applyAlignment="1" applyProtection="1">
      <alignment horizontal="left" vertical="center"/>
    </xf>
    <xf numFmtId="0" fontId="4" fillId="4" borderId="2" xfId="0" applyFont="1" applyFill="1" applyBorder="1" applyAlignment="1" applyProtection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 applyProtection="1">
      <alignment horizontal="left" vertical="center"/>
    </xf>
    <xf numFmtId="0" fontId="9" fillId="5" borderId="7" xfId="0" applyFont="1" applyFill="1" applyBorder="1" applyAlignment="1" applyProtection="1">
      <alignment horizontal="center" vertical="center"/>
    </xf>
    <xf numFmtId="0" fontId="12" fillId="5" borderId="8" xfId="0" applyFont="1" applyFill="1" applyBorder="1" applyAlignment="1" applyProtection="1">
      <alignment horizontal="right" vertical="center"/>
    </xf>
    <xf numFmtId="0" fontId="8" fillId="5" borderId="5" xfId="0" applyFont="1" applyFill="1" applyBorder="1" applyAlignment="1" applyProtection="1">
      <alignment horizontal="center" vertical="center"/>
    </xf>
    <xf numFmtId="0" fontId="8" fillId="5" borderId="9" xfId="0" applyFont="1" applyFill="1" applyBorder="1" applyAlignment="1" applyProtection="1">
      <alignment horizontal="center" vertical="center"/>
    </xf>
    <xf numFmtId="0" fontId="8" fillId="5" borderId="9" xfId="0" applyFont="1" applyFill="1" applyBorder="1" applyAlignment="1" applyProtection="1">
      <alignment horizontal="center" vertical="center" wrapText="1"/>
    </xf>
    <xf numFmtId="0" fontId="8" fillId="5" borderId="4" xfId="0" applyFont="1" applyFill="1" applyBorder="1" applyAlignment="1" applyProtection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 applyProtection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Border="1" applyAlignment="1" applyProtection="1">
      <alignment horizontal="left" vertical="center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3" borderId="6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0" borderId="0" xfId="0" applyFont="1"/>
    <xf numFmtId="0" fontId="7" fillId="4" borderId="6" xfId="0" applyFont="1" applyFill="1" applyBorder="1" applyAlignment="1">
      <alignment vertical="center"/>
    </xf>
    <xf numFmtId="0" fontId="4" fillId="4" borderId="7" xfId="0" applyFont="1" applyFill="1" applyBorder="1" applyAlignment="1">
      <alignment vertical="center"/>
    </xf>
    <xf numFmtId="0" fontId="4" fillId="4" borderId="7" xfId="0" applyFont="1" applyFill="1" applyBorder="1"/>
    <xf numFmtId="0" fontId="4" fillId="4" borderId="8" xfId="0" applyFont="1" applyFill="1" applyBorder="1"/>
    <xf numFmtId="0" fontId="4" fillId="3" borderId="0" xfId="0" applyFont="1" applyFill="1"/>
    <xf numFmtId="0" fontId="4" fillId="3" borderId="14" xfId="0" applyFont="1" applyFill="1" applyBorder="1"/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 applyProtection="1">
      <alignment horizontal="center" vertical="center"/>
    </xf>
    <xf numFmtId="0" fontId="6" fillId="4" borderId="7" xfId="0" applyFont="1" applyFill="1" applyBorder="1" applyAlignment="1" applyProtection="1">
      <alignment horizontal="center" vertical="center"/>
    </xf>
    <xf numFmtId="0" fontId="6" fillId="4" borderId="8" xfId="0" applyFont="1" applyFill="1" applyBorder="1" applyAlignment="1" applyProtection="1">
      <alignment horizontal="center" vertical="center"/>
    </xf>
    <xf numFmtId="0" fontId="6" fillId="4" borderId="12" xfId="0" applyFont="1" applyFill="1" applyBorder="1" applyAlignment="1" applyProtection="1">
      <alignment horizontal="center" vertical="center"/>
    </xf>
    <xf numFmtId="0" fontId="6" fillId="4" borderId="14" xfId="0" applyFont="1" applyFill="1" applyBorder="1" applyAlignment="1" applyProtection="1">
      <alignment horizontal="center" vertical="center"/>
    </xf>
    <xf numFmtId="0" fontId="6" fillId="4" borderId="5" xfId="0" applyFont="1" applyFill="1" applyBorder="1" applyAlignment="1" applyProtection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7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80678</xdr:colOff>
      <xdr:row>4</xdr:row>
      <xdr:rowOff>0</xdr:rowOff>
    </xdr:from>
    <xdr:to>
      <xdr:col>5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80678</xdr:colOff>
      <xdr:row>4</xdr:row>
      <xdr:rowOff>0</xdr:rowOff>
    </xdr:from>
    <xdr:to>
      <xdr:col>5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80678</xdr:colOff>
      <xdr:row>4</xdr:row>
      <xdr:rowOff>0</xdr:rowOff>
    </xdr:from>
    <xdr:to>
      <xdr:col>5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612588"/>
          <a:ext cx="6759712" cy="559219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403412</xdr:colOff>
      <xdr:row>2</xdr:row>
      <xdr:rowOff>107576</xdr:rowOff>
    </xdr:from>
    <xdr:to>
      <xdr:col>17</xdr:col>
      <xdr:colOff>188258</xdr:colOff>
      <xdr:row>51</xdr:row>
      <xdr:rowOff>17930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403412" y="473336"/>
          <a:ext cx="10148046" cy="8871474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tkim333/Documents/GitHub/toPSAil/4_example/development/4_cycle_organization/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3.1_adsorber_properti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Step Durations"/>
      <sheetName val="Step Events"/>
      <sheetName val="Adsorber Valves"/>
      <sheetName val="Flowsheet Valves"/>
      <sheetName val="Help"/>
      <sheetName val="PFD"/>
      <sheetName val="maintenance check list"/>
      <sheetName val="Data(Transposed)"/>
      <sheetName val="Data(Test)"/>
    </sheetNames>
    <sheetDataSet>
      <sheetData sheetId="0">
        <row r="4">
          <cell r="D4" t="str">
            <v>REV. NO.1 (6/8/2022)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Geometry"/>
      <sheetName val="Adsorber Packing"/>
      <sheetName val="Adsorber Design"/>
      <sheetName val="Physical Properties"/>
      <sheetName val="Help"/>
      <sheetName val="PFD"/>
      <sheetName val="maintenance check list"/>
      <sheetName val="Data(Transposed)"/>
      <sheetName val="Data(Test)"/>
    </sheetNames>
    <sheetDataSet>
      <sheetData sheetId="0">
        <row r="4">
          <cell r="J4" t="str">
            <v>Scott Research Group (jkscottresearchgroup.com)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B9:K13" totalsRowShown="0" headerRowDxfId="60" dataDxfId="58" headerRowBorderDxfId="59" tableBorderDxfId="57" totalsRowBorderDxfId="56">
  <autoFilter ref="B9:K13" xr:uid="{B089C5C3-2CCE-4800-96CA-2131BB6E3E4F}"/>
  <tableColumns count="10">
    <tableColumn id="1" xr3:uid="{3E4F27FA-9CCD-488C-9FFE-8189DF89B2B5}" name="Variable" dataDxfId="55"/>
    <tableColumn id="4" xr3:uid="{4D38B92D-B1E9-4DDE-B914-6A4E9DB63C9E}" name="Value" dataDxfId="54"/>
    <tableColumn id="5" xr3:uid="{DE2ACEA5-F459-4C5B-ADEC-6214F75935FA}" name="Unit" dataDxfId="53"/>
    <tableColumn id="6" xr3:uid="{BBE9846A-4956-4FAF-848B-0B1F56311296}" name="Comparisons" dataDxfId="52"/>
    <tableColumn id="7" xr3:uid="{7604F104-935C-4D6C-98BF-97589769DD42}" name="Variable Type" dataDxfId="51"/>
    <tableColumn id="8" xr3:uid="{7D3892CD-8765-4699-977F-B3AA8A9AB120}" name="Dependency" dataDxfId="50"/>
    <tableColumn id="12" xr3:uid="{161D2FD1-7A78-4D8E-8024-885B20FF313F}" name="Test 1" dataDxfId="49"/>
    <tableColumn id="10" xr3:uid="{1AA44E52-6629-487F-B43F-5CEC7D36BB2A}" name="Test 2" dataDxfId="48"/>
    <tableColumn id="2" xr3:uid="{6AF5B301-E925-40CD-B0FD-ED73E5B71C10}" name="Test 3" dataDxfId="47"/>
    <tableColumn id="9" xr3:uid="{29E572B6-C772-4761-B1A5-7C1BBC5A9A8E}" name="Description" dataDxfId="4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B9:K13" totalsRowShown="0" headerRowDxfId="40" dataDxfId="38" headerRowBorderDxfId="39" tableBorderDxfId="37" totalsRowBorderDxfId="36">
  <autoFilter ref="B9:K13" xr:uid="{B089C5C3-2CCE-4800-96CA-2131BB6E3E4F}"/>
  <tableColumns count="10">
    <tableColumn id="1" xr3:uid="{33A6A58D-364D-4A35-922C-DE212771E5A3}" name="Variable" dataDxfId="35"/>
    <tableColumn id="4" xr3:uid="{941C2A7D-BF3F-418E-B42D-DD80A4DE2A81}" name="Value" dataDxfId="34"/>
    <tableColumn id="5" xr3:uid="{C4E86D48-03E8-46FA-B8CA-6F5D6C6A2D12}" name="Unit" dataDxfId="33"/>
    <tableColumn id="6" xr3:uid="{665361F6-20BF-415D-BBF1-F45B832A29DE}" name="Comparisons" dataDxfId="32"/>
    <tableColumn id="7" xr3:uid="{F7A189BB-30E4-471C-9393-FF44966433C9}" name="Variable Type" dataDxfId="31"/>
    <tableColumn id="8" xr3:uid="{536CEEB4-5D6D-4FC9-B347-8D4F6CE10C67}" name="Dependency" dataDxfId="30"/>
    <tableColumn id="12" xr3:uid="{41F5DBE5-C5A3-4D63-A4BF-9774F11F14D3}" name="Test 1" dataDxfId="29"/>
    <tableColumn id="10" xr3:uid="{75ACAF5C-BDFE-45DE-AD7B-8EA0171A905D}" name="Test 2" dataDxfId="28"/>
    <tableColumn id="2" xr3:uid="{E0C16DCE-CCB9-4239-B5AF-7F90FE1422EF}" name="Test 3" dataDxfId="27"/>
    <tableColumn id="9" xr3:uid="{11A90378-9784-4E77-9A9A-BDE1BD80CAC4}" name="Description" dataDxfId="2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B9:K14" totalsRowShown="0" headerRowDxfId="14" dataDxfId="12" headerRowBorderDxfId="13" tableBorderDxfId="11" totalsRowBorderDxfId="10">
  <autoFilter ref="B9:K14" xr:uid="{B089C5C3-2CCE-4800-96CA-2131BB6E3E4F}"/>
  <tableColumns count="10">
    <tableColumn id="1" xr3:uid="{897C7A45-3F96-4FAD-9D88-64BEDA59EE04}" name="Variable" dataDxfId="9"/>
    <tableColumn id="4" xr3:uid="{AC44F3C7-74B4-4404-BA30-07059568F4CD}" name="Value" dataDxfId="8"/>
    <tableColumn id="5" xr3:uid="{6083DF57-24E4-4D4A-B84A-AB4CE9566C0A}" name="Unit" dataDxfId="7"/>
    <tableColumn id="6" xr3:uid="{7B5B4F38-11BC-48C2-B29A-22FAFA39A76A}" name="Comparisons" dataDxfId="6"/>
    <tableColumn id="7" xr3:uid="{687831A6-7122-45C8-9279-6A017FA30571}" name="Variable Type" dataDxfId="5"/>
    <tableColumn id="8" xr3:uid="{F0D98687-63CA-49F2-A0F5-F43443FEED82}" name="Dependency" dataDxfId="4"/>
    <tableColumn id="12" xr3:uid="{57EFF7D5-281B-4073-9550-73D369BA3603}" name="Test 1" dataDxfId="3"/>
    <tableColumn id="10" xr3:uid="{886EC4A5-54AE-4612-B5FF-8B6E7B32A853}" name="Test 2" dataDxfId="2"/>
    <tableColumn id="2" xr3:uid="{C5B5DD0C-C82D-4FD9-A165-974B4B54478C}" name="Test 3" dataDxfId="1"/>
    <tableColumn id="9" xr3:uid="{E8B12666-0292-4BAB-9166-E185CB24DBFE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H9" dT="2020-11-26T20:01:15.60" personId="{7F98AE94-13FB-49E1-9262-339C11E0EDB4}" id="{EC15F513-2B4D-44C7-9046-ED9392180BB4}">
    <text>place 1 if we want to keep the row when re-initializing. Otherwise, leave it as a blank.</text>
  </threadedComment>
  <threadedComment ref="I9" dT="2020-11-26T18:35:03.27" personId="{7F98AE94-13FB-49E1-9262-339C11E0EDB4}" id="{4D8BC438-D49B-455D-A372-081FDDFE29BE}">
    <text>supply a value greater than 1 if you want to duplicate the row</text>
  </threadedComment>
  <threadedComment ref="J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J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H9" dT="2020-11-26T20:01:15.60" personId="{7F98AE94-13FB-49E1-9262-339C11E0EDB4}" id="{5CF8456C-E29F-4B72-ABE5-1FAF09AB14DB}">
    <text>place 1 if we want to keep the row when re-initializing. Otherwise, leave it as a blank.</text>
  </threadedComment>
  <threadedComment ref="I9" dT="2020-11-26T18:35:03.27" personId="{7F98AE94-13FB-49E1-9262-339C11E0EDB4}" id="{76134A13-A10E-498C-BE0C-A35275B3AACE}">
    <text>supply a value greater than 1 if you want to duplicate the row</text>
  </threadedComment>
  <threadedComment ref="J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J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H9" dT="2020-11-26T20:01:15.60" personId="{7F98AE94-13FB-49E1-9262-339C11E0EDB4}" id="{097155E7-95C7-4F81-9C85-C4A524BE8917}">
    <text>place 1 if we want to keep the row when re-initializing. Otherwise, leave it as a blank.</text>
  </threadedComment>
  <threadedComment ref="I9" dT="2020-11-26T18:35:03.27" personId="{7F98AE94-13FB-49E1-9262-339C11E0EDB4}" id="{00051905-C3DD-4457-AAD8-72BC66947855}">
    <text>supply a value greater than 1 if you want to duplicate the row</text>
  </threadedComment>
  <threadedComment ref="J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J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="70" zoomScaleNormal="85" zoomScaleSheetLayoutView="70" workbookViewId="0">
      <selection activeCell="E8" sqref="E8"/>
    </sheetView>
  </sheetViews>
  <sheetFormatPr baseColWidth="10" defaultColWidth="0" defaultRowHeight="14.5" customHeight="1" zeroHeight="1" x14ac:dyDescent="0.2"/>
  <cols>
    <col min="1" max="2" width="3.33203125" style="47" hidden="1" customWidth="1"/>
    <col min="3" max="3" width="2.5" style="47" customWidth="1"/>
    <col min="4" max="4" width="13.83203125" style="47" customWidth="1"/>
    <col min="5" max="5" width="51.33203125" style="48" bestFit="1" customWidth="1"/>
    <col min="6" max="6" width="15.83203125" style="49" bestFit="1" customWidth="1"/>
    <col min="7" max="9" width="13.33203125" style="47" customWidth="1"/>
    <col min="10" max="10" width="48.83203125" style="47" customWidth="1"/>
    <col min="11" max="11" width="2.5" style="47" customWidth="1"/>
    <col min="12" max="12" width="0" style="47" hidden="1" customWidth="1"/>
    <col min="13" max="16384" width="9" style="47" hidden="1"/>
  </cols>
  <sheetData>
    <row r="3" spans="4:10" ht="15" x14ac:dyDescent="0.2"/>
    <row r="4" spans="4:10" ht="19" x14ac:dyDescent="0.25">
      <c r="D4" s="50" t="s">
        <v>121</v>
      </c>
      <c r="E4" s="51"/>
      <c r="F4" s="52"/>
      <c r="G4" s="53"/>
      <c r="H4" s="53"/>
      <c r="I4" s="53"/>
      <c r="J4" s="36" t="s">
        <v>86</v>
      </c>
    </row>
    <row r="5" spans="4:10" ht="40" x14ac:dyDescent="0.2">
      <c r="D5" s="73" t="s">
        <v>39</v>
      </c>
      <c r="E5" s="73"/>
      <c r="F5" s="73"/>
      <c r="G5" s="73"/>
      <c r="H5" s="73"/>
      <c r="I5" s="73"/>
      <c r="J5" s="73"/>
    </row>
    <row r="6" spans="4:10" ht="20" x14ac:dyDescent="0.2">
      <c r="D6" s="54" t="s">
        <v>33</v>
      </c>
      <c r="E6" s="54" t="s">
        <v>120</v>
      </c>
      <c r="F6" s="54" t="s">
        <v>34</v>
      </c>
      <c r="G6" s="54" t="s">
        <v>35</v>
      </c>
      <c r="H6" s="54" t="s">
        <v>36</v>
      </c>
      <c r="I6" s="54" t="s">
        <v>37</v>
      </c>
      <c r="J6" s="54" t="s">
        <v>38</v>
      </c>
    </row>
    <row r="7" spans="4:10" ht="40" x14ac:dyDescent="0.2">
      <c r="D7" s="55">
        <v>1</v>
      </c>
      <c r="E7" s="56" t="s">
        <v>122</v>
      </c>
      <c r="F7" s="57">
        <v>44720</v>
      </c>
      <c r="G7" s="55" t="s">
        <v>40</v>
      </c>
      <c r="H7" s="55"/>
      <c r="I7" s="55"/>
      <c r="J7" s="56"/>
    </row>
    <row r="8" spans="4:10" ht="19" x14ac:dyDescent="0.2">
      <c r="D8" s="55">
        <v>2</v>
      </c>
      <c r="E8" s="56"/>
      <c r="F8" s="57"/>
      <c r="G8" s="55"/>
      <c r="H8" s="55"/>
      <c r="I8" s="55"/>
      <c r="J8" s="56"/>
    </row>
    <row r="9" spans="4:10" ht="19" x14ac:dyDescent="0.2">
      <c r="D9" s="55">
        <v>3</v>
      </c>
      <c r="E9" s="56"/>
      <c r="F9" s="57"/>
      <c r="G9" s="55"/>
      <c r="H9" s="55"/>
      <c r="I9" s="55"/>
      <c r="J9" s="56"/>
    </row>
    <row r="10" spans="4:10" ht="19" x14ac:dyDescent="0.2">
      <c r="D10" s="55">
        <v>4</v>
      </c>
      <c r="E10" s="56"/>
      <c r="F10" s="57"/>
      <c r="G10" s="55"/>
      <c r="H10" s="55"/>
      <c r="I10" s="55"/>
      <c r="J10" s="56"/>
    </row>
    <row r="11" spans="4:10" ht="19" x14ac:dyDescent="0.2">
      <c r="D11" s="55">
        <v>5</v>
      </c>
      <c r="E11" s="56"/>
      <c r="F11" s="57"/>
      <c r="G11" s="55"/>
      <c r="H11" s="55"/>
      <c r="I11" s="55"/>
      <c r="J11" s="56"/>
    </row>
    <row r="12" spans="4:10" ht="19" x14ac:dyDescent="0.2">
      <c r="D12" s="55">
        <v>6</v>
      </c>
      <c r="E12" s="56"/>
      <c r="F12" s="57"/>
      <c r="G12" s="55"/>
      <c r="H12" s="55"/>
      <c r="I12" s="55"/>
      <c r="J12" s="56"/>
    </row>
    <row r="13" spans="4:10" ht="19" x14ac:dyDescent="0.2">
      <c r="D13" s="55">
        <v>7</v>
      </c>
      <c r="E13" s="56"/>
      <c r="F13" s="57"/>
      <c r="G13" s="55"/>
      <c r="H13" s="55"/>
      <c r="I13" s="55"/>
      <c r="J13" s="56"/>
    </row>
    <row r="14" spans="4:10" ht="19" x14ac:dyDescent="0.2">
      <c r="D14" s="55">
        <v>8</v>
      </c>
      <c r="E14" s="56"/>
      <c r="F14" s="57"/>
      <c r="G14" s="55"/>
      <c r="H14" s="55"/>
      <c r="I14" s="55"/>
      <c r="J14" s="56"/>
    </row>
    <row r="15" spans="4:10" ht="19" x14ac:dyDescent="0.2">
      <c r="D15" s="55">
        <v>9</v>
      </c>
      <c r="E15" s="56"/>
      <c r="F15" s="57"/>
      <c r="G15" s="55"/>
      <c r="H15" s="55"/>
      <c r="I15" s="55"/>
      <c r="J15" s="56"/>
    </row>
    <row r="16" spans="4:10" ht="19" x14ac:dyDescent="0.2">
      <c r="D16" s="55">
        <v>10</v>
      </c>
      <c r="E16" s="56"/>
      <c r="F16" s="57"/>
      <c r="G16" s="55"/>
      <c r="H16" s="55"/>
      <c r="I16" s="55"/>
      <c r="J16" s="58"/>
    </row>
    <row r="17" ht="15" x14ac:dyDescent="0.2"/>
    <row r="18" ht="15" x14ac:dyDescent="0.2"/>
    <row r="19" ht="15" x14ac:dyDescent="0.2"/>
    <row r="20" ht="15" x14ac:dyDescent="0.2"/>
    <row r="21" ht="15" x14ac:dyDescent="0.2"/>
    <row r="22" ht="15" x14ac:dyDescent="0.2"/>
    <row r="23" ht="15" x14ac:dyDescent="0.2"/>
    <row r="24" ht="15" x14ac:dyDescent="0.2"/>
    <row r="25" ht="15" x14ac:dyDescent="0.2"/>
    <row r="26" ht="15" x14ac:dyDescent="0.2"/>
    <row r="27" ht="15" x14ac:dyDescent="0.2"/>
    <row r="28" ht="15" x14ac:dyDescent="0.2"/>
    <row r="29" ht="15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I24" sqref="I24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92</v>
      </c>
      <c r="Q1" t="s">
        <v>101</v>
      </c>
      <c r="R1" t="s">
        <v>102</v>
      </c>
      <c r="S1" t="s">
        <v>103</v>
      </c>
      <c r="T1" t="s">
        <v>111</v>
      </c>
      <c r="U1" t="s">
        <v>112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113</v>
      </c>
    </row>
    <row r="4" spans="1:21" x14ac:dyDescent="0.2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114</v>
      </c>
    </row>
    <row r="5" spans="1:21" x14ac:dyDescent="0.2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115</v>
      </c>
    </row>
    <row r="6" spans="1:21" x14ac:dyDescent="0.2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116</v>
      </c>
    </row>
    <row r="7" spans="1:21" x14ac:dyDescent="0.2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117</v>
      </c>
    </row>
    <row r="8" spans="1:21" x14ac:dyDescent="0.2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118</v>
      </c>
    </row>
    <row r="9" spans="1:21" x14ac:dyDescent="0.2">
      <c r="B9" t="s">
        <v>93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119</v>
      </c>
    </row>
    <row r="10" spans="1:21" x14ac:dyDescent="0.2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108</v>
      </c>
    </row>
    <row r="12" spans="1:21" x14ac:dyDescent="0.2">
      <c r="B12" t="s">
        <v>94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54</v>
      </c>
      <c r="J13">
        <v>1</v>
      </c>
    </row>
    <row r="14" spans="1:21" x14ac:dyDescent="0.2">
      <c r="B14" t="s">
        <v>23</v>
      </c>
      <c r="C14" t="s">
        <v>55</v>
      </c>
      <c r="J14">
        <v>2</v>
      </c>
    </row>
    <row r="15" spans="1:21" x14ac:dyDescent="0.2">
      <c r="B15" t="s">
        <v>15</v>
      </c>
      <c r="C15" t="s">
        <v>56</v>
      </c>
    </row>
    <row r="16" spans="1:21" x14ac:dyDescent="0.2">
      <c r="B16" t="s">
        <v>60</v>
      </c>
      <c r="C16" t="s">
        <v>57</v>
      </c>
      <c r="J16" t="s">
        <v>109</v>
      </c>
    </row>
    <row r="17" spans="2:10" x14ac:dyDescent="0.2">
      <c r="B17" t="s">
        <v>18</v>
      </c>
      <c r="C17" t="s">
        <v>58</v>
      </c>
      <c r="J17" t="s">
        <v>8</v>
      </c>
    </row>
    <row r="18" spans="2:10" x14ac:dyDescent="0.2">
      <c r="B18" t="s">
        <v>19</v>
      </c>
      <c r="C18" t="s">
        <v>59</v>
      </c>
      <c r="J18">
        <v>1</v>
      </c>
    </row>
    <row r="19" spans="2:10" x14ac:dyDescent="0.2">
      <c r="C19" t="s">
        <v>31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44</v>
      </c>
      <c r="J21">
        <v>4</v>
      </c>
    </row>
    <row r="22" spans="2:10" x14ac:dyDescent="0.2">
      <c r="C22" t="s">
        <v>43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K13"/>
  <sheetViews>
    <sheetView showGridLines="0" tabSelected="1" topLeftCell="B2" zoomScaleNormal="85" zoomScaleSheetLayoutView="85" workbookViewId="0">
      <pane ySplit="8" topLeftCell="A10" activePane="bottomLeft" state="frozen"/>
      <selection activeCell="C24" sqref="C24"/>
      <selection pane="bottomLeft" activeCell="C13" sqref="C13"/>
    </sheetView>
  </sheetViews>
  <sheetFormatPr baseColWidth="10" defaultColWidth="0" defaultRowHeight="14.5" customHeight="1" zeroHeight="1" x14ac:dyDescent="0.2"/>
  <cols>
    <col min="1" max="1" width="3.83203125" style="3" hidden="1" customWidth="1"/>
    <col min="2" max="2" width="17" style="3" bestFit="1" customWidth="1"/>
    <col min="3" max="3" width="22.1640625" style="34" customWidth="1"/>
    <col min="4" max="4" width="20" style="3" customWidth="1"/>
    <col min="5" max="5" width="24.1640625" style="3" customWidth="1"/>
    <col min="6" max="6" width="17.33203125" style="3" customWidth="1"/>
    <col min="7" max="7" width="13.1640625" style="3" customWidth="1"/>
    <col min="8" max="10" width="15" style="3" customWidth="1"/>
    <col min="11" max="11" width="57.5" style="3" customWidth="1"/>
    <col min="12" max="16384" width="8.83203125" style="3" hidden="1"/>
  </cols>
  <sheetData>
    <row r="1" spans="2:11" ht="15" hidden="1" x14ac:dyDescent="0.2">
      <c r="B1" s="24"/>
      <c r="C1" s="24"/>
      <c r="D1" s="24"/>
      <c r="E1" s="24"/>
      <c r="F1" s="24"/>
      <c r="G1" s="24"/>
      <c r="H1" s="24"/>
      <c r="I1" s="24"/>
      <c r="J1" s="24"/>
      <c r="K1" s="24"/>
    </row>
    <row r="2" spans="2:11" ht="15" x14ac:dyDescent="0.2">
      <c r="B2" s="25" t="str">
        <f>'Revision History'!$D$4</f>
        <v>REV. NO.1 (6/8/2022)</v>
      </c>
      <c r="C2" s="26"/>
      <c r="D2" s="26"/>
      <c r="E2" s="26"/>
      <c r="F2" s="26"/>
      <c r="G2" s="26"/>
      <c r="H2" s="26"/>
      <c r="I2" s="26"/>
      <c r="J2" s="26"/>
      <c r="K2" s="27" t="str">
        <f>'Revision History'!$J$4</f>
        <v>Scott Research Group (jkscottresearchgroup.com)</v>
      </c>
    </row>
    <row r="3" spans="2:11" ht="19" x14ac:dyDescent="0.2">
      <c r="B3" s="74" t="s">
        <v>32</v>
      </c>
      <c r="C3" s="75"/>
      <c r="D3" s="75"/>
      <c r="E3" s="75"/>
      <c r="F3" s="75"/>
      <c r="G3" s="75"/>
      <c r="H3" s="75"/>
      <c r="I3" s="75"/>
      <c r="J3" s="75"/>
      <c r="K3" s="76"/>
    </row>
    <row r="4" spans="2:11" ht="14.5" customHeight="1" x14ac:dyDescent="0.2">
      <c r="B4" s="13"/>
      <c r="C4" s="14"/>
      <c r="D4" s="15"/>
      <c r="E4" s="16"/>
      <c r="F4" s="16"/>
      <c r="G4" s="16"/>
      <c r="H4" s="16"/>
      <c r="I4" s="16"/>
      <c r="J4" s="16"/>
      <c r="K4" s="77" t="str">
        <f>IF(COUNTIF(Table11024122[Test 3],1)=COUNTA(Table11024122[Value]),"Ready","Not Ready")</f>
        <v>Ready</v>
      </c>
    </row>
    <row r="5" spans="2:11" ht="14.5" customHeight="1" x14ac:dyDescent="0.2">
      <c r="B5" s="17"/>
      <c r="C5" s="18"/>
      <c r="D5" s="37"/>
      <c r="E5" s="37"/>
      <c r="F5" s="37"/>
      <c r="G5" s="37"/>
      <c r="H5" s="19"/>
      <c r="I5" s="37"/>
      <c r="J5" s="37"/>
      <c r="K5" s="78"/>
    </row>
    <row r="6" spans="2:11" ht="14.5" customHeight="1" x14ac:dyDescent="0.2">
      <c r="B6" s="17"/>
      <c r="C6" s="18"/>
      <c r="D6" s="37"/>
      <c r="E6" s="37"/>
      <c r="F6" s="37"/>
      <c r="G6" s="37"/>
      <c r="H6" s="19"/>
      <c r="I6" s="37"/>
      <c r="J6" s="37"/>
      <c r="K6" s="78"/>
    </row>
    <row r="7" spans="2:11" ht="14.5" customHeight="1" x14ac:dyDescent="0.2">
      <c r="B7" s="17"/>
      <c r="C7" s="18"/>
      <c r="D7" s="37"/>
      <c r="E7" s="37"/>
      <c r="F7" s="37"/>
      <c r="G7" s="37"/>
      <c r="H7" s="19"/>
      <c r="I7" s="37"/>
      <c r="J7" s="37"/>
      <c r="K7" s="78"/>
    </row>
    <row r="8" spans="2:11" ht="14.5" customHeight="1" x14ac:dyDescent="0.2">
      <c r="B8" s="20"/>
      <c r="C8" s="21"/>
      <c r="D8" s="22"/>
      <c r="E8" s="22"/>
      <c r="F8" s="22"/>
      <c r="G8" s="22"/>
      <c r="H8" s="23"/>
      <c r="I8" s="22"/>
      <c r="J8" s="22"/>
      <c r="K8" s="79"/>
    </row>
    <row r="9" spans="2:11" ht="16" x14ac:dyDescent="0.2">
      <c r="B9" s="28" t="s">
        <v>0</v>
      </c>
      <c r="C9" s="29" t="s">
        <v>1</v>
      </c>
      <c r="D9" s="29" t="s">
        <v>2</v>
      </c>
      <c r="E9" s="29" t="s">
        <v>14</v>
      </c>
      <c r="F9" s="29" t="s">
        <v>65</v>
      </c>
      <c r="G9" s="30" t="s">
        <v>41</v>
      </c>
      <c r="H9" s="30" t="s">
        <v>66</v>
      </c>
      <c r="I9" s="29" t="s">
        <v>67</v>
      </c>
      <c r="J9" s="31" t="s">
        <v>75</v>
      </c>
      <c r="K9" s="31" t="s">
        <v>12</v>
      </c>
    </row>
    <row r="10" spans="2:11" ht="32" x14ac:dyDescent="0.2">
      <c r="B10" s="40" t="s">
        <v>106</v>
      </c>
      <c r="C10" s="32">
        <v>1</v>
      </c>
      <c r="D10" s="41" t="s">
        <v>3</v>
      </c>
      <c r="E10" s="45" t="s">
        <v>30</v>
      </c>
      <c r="F10" s="45" t="s">
        <v>83</v>
      </c>
      <c r="G10" s="2" t="s">
        <v>43</v>
      </c>
      <c r="H10" s="1">
        <v>1</v>
      </c>
      <c r="I10" s="1">
        <v>1</v>
      </c>
      <c r="J10" s="42">
        <v>1</v>
      </c>
      <c r="K10" s="43" t="s">
        <v>107</v>
      </c>
    </row>
    <row r="11" spans="2:11" ht="16" x14ac:dyDescent="0.2">
      <c r="B11" s="46" t="s">
        <v>110</v>
      </c>
      <c r="C11" s="32">
        <v>318.14999999999998</v>
      </c>
      <c r="D11" s="35" t="s">
        <v>21</v>
      </c>
      <c r="E11" s="45" t="s">
        <v>17</v>
      </c>
      <c r="F11" s="45" t="s">
        <v>7</v>
      </c>
      <c r="G11" s="2" t="s">
        <v>49</v>
      </c>
      <c r="H11" s="45">
        <v>1</v>
      </c>
      <c r="I11" s="45">
        <v>1</v>
      </c>
      <c r="J11" s="42">
        <v>1</v>
      </c>
      <c r="K11" s="5" t="s">
        <v>105</v>
      </c>
    </row>
    <row r="12" spans="2:11" ht="16" x14ac:dyDescent="0.2">
      <c r="B12" s="4" t="s">
        <v>87</v>
      </c>
      <c r="C12" s="32">
        <v>3.3941656669286671</v>
      </c>
      <c r="D12" s="2" t="s">
        <v>20</v>
      </c>
      <c r="E12" s="45" t="s">
        <v>17</v>
      </c>
      <c r="F12" s="45" t="s">
        <v>7</v>
      </c>
      <c r="G12" s="2" t="s">
        <v>42</v>
      </c>
      <c r="H12" s="45">
        <v>1</v>
      </c>
      <c r="I12" s="45">
        <v>1</v>
      </c>
      <c r="J12" s="6">
        <v>1</v>
      </c>
      <c r="K12" s="5" t="s">
        <v>88</v>
      </c>
    </row>
    <row r="13" spans="2:11" ht="16" x14ac:dyDescent="0.2">
      <c r="B13" s="8" t="s">
        <v>79</v>
      </c>
      <c r="C13" s="33"/>
      <c r="D13" s="9"/>
      <c r="E13" s="10"/>
      <c r="F13" s="10"/>
      <c r="G13" s="9"/>
      <c r="H13" s="10">
        <v>1</v>
      </c>
      <c r="I13" s="10">
        <v>1</v>
      </c>
      <c r="J13" s="11">
        <v>0</v>
      </c>
      <c r="K13" s="12" t="s">
        <v>80</v>
      </c>
    </row>
  </sheetData>
  <sheetProtection algorithmName="SHA-512" hashValue="nXksDcFkHUIQc+8zuSiorfC1ysYSIfQvyP4VrHhQncAGL3msNFwD5+QppUJ9aBtDowr6lBVB9DrwkQNDrTp9bQ==" saltValue="JZq2+I73dtsc1u0eH05ZPg==" spinCount="100000" sheet="1" objects="1" scenarios="1" selectLockedCells="1"/>
  <mergeCells count="2">
    <mergeCell ref="B3:K3"/>
    <mergeCell ref="K4:K8"/>
  </mergeCells>
  <conditionalFormatting sqref="C13">
    <cfRule type="expression" dxfId="74" priority="37">
      <formula>IF(AND($C13&lt;&gt;"",$J13=0),1,0)</formula>
    </cfRule>
    <cfRule type="expression" dxfId="73" priority="38">
      <formula>IF($C13&lt;&gt;"",1,0)</formula>
    </cfRule>
    <cfRule type="expression" dxfId="72" priority="39">
      <formula>$J13=0</formula>
    </cfRule>
  </conditionalFormatting>
  <conditionalFormatting sqref="C10">
    <cfRule type="expression" dxfId="71" priority="28">
      <formula>IF(AND($C10&lt;&gt;"",$J10=0),1,0)</formula>
    </cfRule>
    <cfRule type="expression" dxfId="70" priority="29">
      <formula>IF($C10&lt;&gt;"",1,0)</formula>
    </cfRule>
    <cfRule type="expression" dxfId="69" priority="30">
      <formula>$J10=0</formula>
    </cfRule>
  </conditionalFormatting>
  <conditionalFormatting sqref="C11">
    <cfRule type="expression" dxfId="68" priority="4">
      <formula>IF(AND($C11&lt;&gt;"",$J11=0),1,0)</formula>
    </cfRule>
    <cfRule type="expression" dxfId="67" priority="5">
      <formula>IF($C11&lt;&gt;"",1,0)</formula>
    </cfRule>
    <cfRule type="expression" dxfId="66" priority="6">
      <formula>$J11=0</formula>
    </cfRule>
  </conditionalFormatting>
  <conditionalFormatting sqref="C12">
    <cfRule type="expression" dxfId="65" priority="1">
      <formula>IF(AND($C12&lt;&gt;"",$J12=0),1,0)</formula>
    </cfRule>
    <cfRule type="expression" dxfId="64" priority="2">
      <formula>IF($C12&lt;&gt;"",1,0)</formula>
    </cfRule>
    <cfRule type="expression" dxfId="63" priority="3">
      <formula>$J12=0</formula>
    </cfRule>
  </conditionalFormatting>
  <conditionalFormatting sqref="K4">
    <cfRule type="expression" dxfId="62" priority="2243">
      <formula>IF(COUNTA($C$10:$C$13)&lt;&gt;COUNTIF($J$10:$J$13,1),1,0)</formula>
    </cfRule>
    <cfRule type="expression" dxfId="61" priority="2244">
      <formula>IF(COUNTA($C$10:$C$13)=COUNTIF($J$10:$J$13,1),1,0)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1</xdr:col>
                    <xdr:colOff>190500</xdr:colOff>
                    <xdr:row>4</xdr:row>
                    <xdr:rowOff>76200</xdr:rowOff>
                  </from>
                  <to>
                    <xdr:col>2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2</xdr:col>
                    <xdr:colOff>1104900</xdr:colOff>
                    <xdr:row>4</xdr:row>
                    <xdr:rowOff>76200</xdr:rowOff>
                  </from>
                  <to>
                    <xdr:col>4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4</xdr:col>
                    <xdr:colOff>114300</xdr:colOff>
                    <xdr:row>4</xdr:row>
                    <xdr:rowOff>76200</xdr:rowOff>
                  </from>
                  <to>
                    <xdr:col>5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Reference!$J$12:$J$14</xm:f>
          </x14:formula1>
          <xm:sqref>C10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G10:G13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F10:F13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E10:E13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B2" zoomScaleNormal="85" zoomScaleSheetLayoutView="85" workbookViewId="0">
      <pane ySplit="8" topLeftCell="A10" activePane="bottomLeft" state="frozen"/>
      <selection activeCell="C24" sqref="C24"/>
      <selection pane="bottomLeft" activeCell="C10" sqref="C10"/>
    </sheetView>
  </sheetViews>
  <sheetFormatPr baseColWidth="10" defaultColWidth="0" defaultRowHeight="14.5" customHeight="1" zeroHeight="1" x14ac:dyDescent="0.2"/>
  <cols>
    <col min="1" max="1" width="3.83203125" style="3" hidden="1" customWidth="1"/>
    <col min="2" max="2" width="17" style="3" bestFit="1" customWidth="1"/>
    <col min="3" max="3" width="22.1640625" style="34" customWidth="1"/>
    <col min="4" max="4" width="20" style="3" customWidth="1"/>
    <col min="5" max="5" width="24.1640625" style="3" customWidth="1"/>
    <col min="6" max="6" width="17.33203125" style="3" customWidth="1"/>
    <col min="7" max="7" width="13.1640625" style="3" customWidth="1"/>
    <col min="8" max="10" width="15" style="3" customWidth="1"/>
    <col min="11" max="11" width="57.5" style="3" customWidth="1"/>
    <col min="12" max="16384" width="8.83203125" style="3" hidden="1"/>
  </cols>
  <sheetData>
    <row r="1" spans="2:11" ht="15" hidden="1" x14ac:dyDescent="0.2">
      <c r="B1" s="24"/>
      <c r="C1" s="24"/>
      <c r="D1" s="24"/>
      <c r="E1" s="24"/>
      <c r="F1" s="24"/>
      <c r="G1" s="24"/>
      <c r="H1" s="24"/>
      <c r="I1" s="24"/>
      <c r="J1" s="24"/>
      <c r="K1" s="24"/>
    </row>
    <row r="2" spans="2:11" ht="15" x14ac:dyDescent="0.2">
      <c r="B2" s="25" t="str">
        <f>'Revision History'!$D$4</f>
        <v>REV. NO.1 (6/8/2022)</v>
      </c>
      <c r="C2" s="26"/>
      <c r="D2" s="26"/>
      <c r="E2" s="26"/>
      <c r="F2" s="26"/>
      <c r="G2" s="26"/>
      <c r="H2" s="26"/>
      <c r="I2" s="26"/>
      <c r="J2" s="26"/>
      <c r="K2" s="27" t="str">
        <f>'Revision History'!$J$4</f>
        <v>Scott Research Group (jkscottresearchgroup.com)</v>
      </c>
    </row>
    <row r="3" spans="2:11" ht="19" x14ac:dyDescent="0.2">
      <c r="B3" s="74" t="s">
        <v>32</v>
      </c>
      <c r="C3" s="75"/>
      <c r="D3" s="75"/>
      <c r="E3" s="75"/>
      <c r="F3" s="75"/>
      <c r="G3" s="75"/>
      <c r="H3" s="75"/>
      <c r="I3" s="75"/>
      <c r="J3" s="75"/>
      <c r="K3" s="76"/>
    </row>
    <row r="4" spans="2:11" ht="14.5" customHeight="1" x14ac:dyDescent="0.2">
      <c r="B4" s="13"/>
      <c r="C4" s="14"/>
      <c r="D4" s="15"/>
      <c r="E4" s="16"/>
      <c r="F4" s="16"/>
      <c r="G4" s="16"/>
      <c r="H4" s="16"/>
      <c r="I4" s="16"/>
      <c r="J4" s="16"/>
      <c r="K4" s="77" t="str">
        <f>IF(COUNTIF(Table11024123[Test 3],1)=COUNTA(Table11024123[Value]),"Ready","Not Ready")</f>
        <v>Ready</v>
      </c>
    </row>
    <row r="5" spans="2:11" ht="14.5" customHeight="1" x14ac:dyDescent="0.2">
      <c r="B5" s="17"/>
      <c r="C5" s="18"/>
      <c r="D5" s="37"/>
      <c r="E5" s="37"/>
      <c r="F5" s="37"/>
      <c r="G5" s="37"/>
      <c r="H5" s="19"/>
      <c r="I5" s="37"/>
      <c r="J5" s="37"/>
      <c r="K5" s="78"/>
    </row>
    <row r="6" spans="2:11" ht="14.5" customHeight="1" x14ac:dyDescent="0.2">
      <c r="B6" s="17"/>
      <c r="C6" s="18"/>
      <c r="D6" s="37"/>
      <c r="E6" s="37"/>
      <c r="F6" s="37"/>
      <c r="G6" s="37"/>
      <c r="H6" s="19"/>
      <c r="I6" s="37"/>
      <c r="J6" s="37"/>
      <c r="K6" s="78"/>
    </row>
    <row r="7" spans="2:11" ht="14.5" customHeight="1" x14ac:dyDescent="0.2">
      <c r="B7" s="17"/>
      <c r="C7" s="18"/>
      <c r="D7" s="37"/>
      <c r="E7" s="37"/>
      <c r="F7" s="37"/>
      <c r="G7" s="37"/>
      <c r="H7" s="19"/>
      <c r="I7" s="37"/>
      <c r="J7" s="37"/>
      <c r="K7" s="78"/>
    </row>
    <row r="8" spans="2:11" ht="14.5" customHeight="1" x14ac:dyDescent="0.2">
      <c r="B8" s="20"/>
      <c r="C8" s="21"/>
      <c r="D8" s="22"/>
      <c r="E8" s="22"/>
      <c r="F8" s="22"/>
      <c r="G8" s="22"/>
      <c r="H8" s="23"/>
      <c r="I8" s="22"/>
      <c r="J8" s="22"/>
      <c r="K8" s="79"/>
    </row>
    <row r="9" spans="2:11" ht="16" x14ac:dyDescent="0.2">
      <c r="B9" s="28" t="s">
        <v>0</v>
      </c>
      <c r="C9" s="29" t="s">
        <v>1</v>
      </c>
      <c r="D9" s="29" t="s">
        <v>2</v>
      </c>
      <c r="E9" s="29" t="s">
        <v>14</v>
      </c>
      <c r="F9" s="29" t="s">
        <v>65</v>
      </c>
      <c r="G9" s="30" t="s">
        <v>41</v>
      </c>
      <c r="H9" s="30" t="s">
        <v>66</v>
      </c>
      <c r="I9" s="29" t="s">
        <v>67</v>
      </c>
      <c r="J9" s="31" t="s">
        <v>75</v>
      </c>
      <c r="K9" s="31" t="s">
        <v>12</v>
      </c>
    </row>
    <row r="10" spans="2:11" ht="16" x14ac:dyDescent="0.2">
      <c r="B10" s="46" t="s">
        <v>127</v>
      </c>
      <c r="C10" s="32">
        <v>20</v>
      </c>
      <c r="D10" s="35" t="s">
        <v>69</v>
      </c>
      <c r="E10" s="45" t="s">
        <v>94</v>
      </c>
      <c r="F10" s="45" t="s">
        <v>7</v>
      </c>
      <c r="G10" s="2" t="s">
        <v>46</v>
      </c>
      <c r="H10" s="45">
        <v>1</v>
      </c>
      <c r="I10" s="45">
        <v>1</v>
      </c>
      <c r="J10" s="42">
        <v>1</v>
      </c>
      <c r="K10" s="5" t="s">
        <v>96</v>
      </c>
    </row>
    <row r="11" spans="2:11" ht="16" x14ac:dyDescent="0.2">
      <c r="B11" s="46" t="s">
        <v>128</v>
      </c>
      <c r="C11" s="32">
        <v>20.5</v>
      </c>
      <c r="D11" s="35" t="s">
        <v>69</v>
      </c>
      <c r="E11" s="45" t="s">
        <v>94</v>
      </c>
      <c r="F11" s="45" t="s">
        <v>7</v>
      </c>
      <c r="G11" s="2" t="s">
        <v>46</v>
      </c>
      <c r="H11" s="45">
        <v>1</v>
      </c>
      <c r="I11" s="45">
        <v>1</v>
      </c>
      <c r="J11" s="6">
        <v>1</v>
      </c>
      <c r="K11" s="5" t="s">
        <v>97</v>
      </c>
    </row>
    <row r="12" spans="2:11" ht="16" x14ac:dyDescent="0.2">
      <c r="B12" s="46" t="s">
        <v>129</v>
      </c>
      <c r="C12" s="32">
        <v>33.800769771555913</v>
      </c>
      <c r="D12" s="35" t="s">
        <v>69</v>
      </c>
      <c r="E12" s="45" t="s">
        <v>94</v>
      </c>
      <c r="F12" s="45" t="s">
        <v>7</v>
      </c>
      <c r="G12" s="2" t="s">
        <v>46</v>
      </c>
      <c r="H12" s="45">
        <v>1</v>
      </c>
      <c r="I12" s="45">
        <v>1</v>
      </c>
      <c r="J12" s="6">
        <v>1</v>
      </c>
      <c r="K12" s="5" t="s">
        <v>98</v>
      </c>
    </row>
    <row r="13" spans="2:11" ht="16" x14ac:dyDescent="0.2">
      <c r="B13" s="8" t="s">
        <v>79</v>
      </c>
      <c r="C13" s="33"/>
      <c r="D13" s="9"/>
      <c r="E13" s="10"/>
      <c r="F13" s="10"/>
      <c r="G13" s="9"/>
      <c r="H13" s="10">
        <v>1</v>
      </c>
      <c r="I13" s="10">
        <v>1</v>
      </c>
      <c r="J13" s="11">
        <v>0</v>
      </c>
      <c r="K13" s="12" t="s">
        <v>80</v>
      </c>
    </row>
  </sheetData>
  <sheetProtection algorithmName="SHA-512" hashValue="tOpvxdVM8V57aGP4zDiNm1c4wjXkSM363voNpWBOs58GdnzKN7+t3QZCRrhbskLsZtenajfQmyl4atih82tpBQ==" saltValue="f5FoqUhFmjHWjq0LzJdEFQ==" spinCount="100000" sheet="1" objects="1" scenarios="1" selectLockedCells="1"/>
  <mergeCells count="2">
    <mergeCell ref="B3:K3"/>
    <mergeCell ref="K4:K8"/>
  </mergeCells>
  <conditionalFormatting sqref="C10:C13">
    <cfRule type="expression" dxfId="45" priority="28">
      <formula>IF(AND($C10&lt;&gt;"",$J10=0),1,0)</formula>
    </cfRule>
    <cfRule type="expression" dxfId="44" priority="29">
      <formula>IF($C10&lt;&gt;"",1,0)</formula>
    </cfRule>
    <cfRule type="expression" dxfId="43" priority="30">
      <formula>$J10=0</formula>
    </cfRule>
  </conditionalFormatting>
  <conditionalFormatting sqref="K4">
    <cfRule type="expression" dxfId="42" priority="2245">
      <formula>IF(COUNTA($C$10:$C$13)&lt;&gt;COUNTIF($J$10:$J$13,1),1,0)</formula>
    </cfRule>
    <cfRule type="expression" dxfId="41" priority="2246">
      <formula>IF(COUNTA($C$10:$C$13)=COUNTIF($J$10:$J$13,1),1,0)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1</xdr:col>
                    <xdr:colOff>190500</xdr:colOff>
                    <xdr:row>4</xdr:row>
                    <xdr:rowOff>76200</xdr:rowOff>
                  </from>
                  <to>
                    <xdr:col>2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2</xdr:col>
                    <xdr:colOff>1104900</xdr:colOff>
                    <xdr:row>4</xdr:row>
                    <xdr:rowOff>76200</xdr:rowOff>
                  </from>
                  <to>
                    <xdr:col>4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4</xdr:col>
                    <xdr:colOff>114300</xdr:colOff>
                    <xdr:row>4</xdr:row>
                    <xdr:rowOff>76200</xdr:rowOff>
                  </from>
                  <to>
                    <xdr:col>5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G10:G13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F10:F13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E10:E13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opLeftCell="B2" zoomScale="85" zoomScaleNormal="85" zoomScaleSheetLayoutView="85" workbookViewId="0">
      <pane ySplit="8" topLeftCell="A10" activePane="bottomLeft" state="frozen"/>
      <selection activeCell="C24" sqref="C24"/>
      <selection pane="bottomLeft" activeCell="C14" sqref="C14"/>
    </sheetView>
  </sheetViews>
  <sheetFormatPr baseColWidth="10" defaultColWidth="0" defaultRowHeight="14.5" customHeight="1" zeroHeight="1" x14ac:dyDescent="0.2"/>
  <cols>
    <col min="1" max="1" width="3.83203125" style="3" hidden="1" customWidth="1"/>
    <col min="2" max="2" width="17" style="3" bestFit="1" customWidth="1"/>
    <col min="3" max="3" width="22.1640625" style="34" customWidth="1"/>
    <col min="4" max="4" width="20" style="3" customWidth="1"/>
    <col min="5" max="5" width="24.1640625" style="3" customWidth="1"/>
    <col min="6" max="6" width="17.33203125" style="3" customWidth="1"/>
    <col min="7" max="7" width="13.1640625" style="3" customWidth="1"/>
    <col min="8" max="10" width="15" style="3" customWidth="1"/>
    <col min="11" max="11" width="57.5" style="3" customWidth="1"/>
    <col min="12" max="16384" width="8.83203125" style="3" hidden="1"/>
  </cols>
  <sheetData>
    <row r="1" spans="2:11" ht="15" hidden="1" x14ac:dyDescent="0.2">
      <c r="B1" s="24"/>
      <c r="C1" s="24"/>
      <c r="D1" s="24"/>
      <c r="E1" s="24"/>
      <c r="F1" s="24"/>
      <c r="G1" s="24"/>
      <c r="H1" s="24"/>
      <c r="I1" s="24"/>
      <c r="J1" s="24"/>
      <c r="K1" s="24"/>
    </row>
    <row r="2" spans="2:11" ht="15" x14ac:dyDescent="0.2">
      <c r="B2" s="25" t="str">
        <f>'Revision History'!$D$4</f>
        <v>REV. NO.1 (6/8/2022)</v>
      </c>
      <c r="C2" s="26"/>
      <c r="D2" s="26"/>
      <c r="E2" s="26"/>
      <c r="F2" s="26"/>
      <c r="G2" s="26"/>
      <c r="H2" s="26"/>
      <c r="I2" s="26"/>
      <c r="J2" s="26"/>
      <c r="K2" s="27" t="str">
        <f>'Revision History'!$J$4</f>
        <v>Scott Research Group (jkscottresearchgroup.com)</v>
      </c>
    </row>
    <row r="3" spans="2:11" ht="19" x14ac:dyDescent="0.2">
      <c r="B3" s="74" t="s">
        <v>32</v>
      </c>
      <c r="C3" s="75"/>
      <c r="D3" s="75"/>
      <c r="E3" s="75"/>
      <c r="F3" s="75"/>
      <c r="G3" s="75"/>
      <c r="H3" s="75"/>
      <c r="I3" s="75"/>
      <c r="J3" s="75"/>
      <c r="K3" s="76"/>
    </row>
    <row r="4" spans="2:11" ht="14.5" customHeight="1" x14ac:dyDescent="0.2">
      <c r="B4" s="13"/>
      <c r="C4" s="14"/>
      <c r="D4" s="15"/>
      <c r="E4" s="16"/>
      <c r="F4" s="16"/>
      <c r="G4" s="16"/>
      <c r="H4" s="16"/>
      <c r="I4" s="16"/>
      <c r="J4" s="16"/>
      <c r="K4" s="77" t="str">
        <f>IF(COUNTIF(Table1102412[Test 3],1)=COUNTA(Table1102412[Value]),"Ready","Not Ready")</f>
        <v>Ready</v>
      </c>
    </row>
    <row r="5" spans="2:11" ht="14.5" customHeight="1" x14ac:dyDescent="0.2">
      <c r="B5" s="17"/>
      <c r="C5" s="18"/>
      <c r="D5" s="37"/>
      <c r="E5" s="37"/>
      <c r="F5" s="37"/>
      <c r="G5" s="37"/>
      <c r="H5" s="19"/>
      <c r="I5" s="37"/>
      <c r="J5" s="37"/>
      <c r="K5" s="78"/>
    </row>
    <row r="6" spans="2:11" ht="14.5" customHeight="1" x14ac:dyDescent="0.2">
      <c r="B6" s="17"/>
      <c r="C6" s="18"/>
      <c r="D6" s="37"/>
      <c r="E6" s="37"/>
      <c r="F6" s="37"/>
      <c r="G6" s="37"/>
      <c r="H6" s="19"/>
      <c r="I6" s="37"/>
      <c r="J6" s="37"/>
      <c r="K6" s="78"/>
    </row>
    <row r="7" spans="2:11" ht="14.5" customHeight="1" x14ac:dyDescent="0.2">
      <c r="B7" s="17"/>
      <c r="C7" s="18"/>
      <c r="D7" s="37"/>
      <c r="E7" s="37"/>
      <c r="F7" s="37"/>
      <c r="G7" s="37"/>
      <c r="H7" s="19"/>
      <c r="I7" s="37"/>
      <c r="J7" s="37"/>
      <c r="K7" s="78"/>
    </row>
    <row r="8" spans="2:11" ht="14.5" customHeight="1" x14ac:dyDescent="0.2">
      <c r="B8" s="20"/>
      <c r="C8" s="21"/>
      <c r="D8" s="22"/>
      <c r="E8" s="22"/>
      <c r="F8" s="22"/>
      <c r="G8" s="22"/>
      <c r="H8" s="23"/>
      <c r="I8" s="22"/>
      <c r="J8" s="22"/>
      <c r="K8" s="79"/>
    </row>
    <row r="9" spans="2:11" ht="16" x14ac:dyDescent="0.2">
      <c r="B9" s="28" t="s">
        <v>0</v>
      </c>
      <c r="C9" s="29" t="s">
        <v>1</v>
      </c>
      <c r="D9" s="29" t="s">
        <v>2</v>
      </c>
      <c r="E9" s="29" t="s">
        <v>14</v>
      </c>
      <c r="F9" s="29" t="s">
        <v>65</v>
      </c>
      <c r="G9" s="30" t="s">
        <v>41</v>
      </c>
      <c r="H9" s="30" t="s">
        <v>66</v>
      </c>
      <c r="I9" s="29" t="s">
        <v>67</v>
      </c>
      <c r="J9" s="31" t="s">
        <v>75</v>
      </c>
      <c r="K9" s="31" t="s">
        <v>12</v>
      </c>
    </row>
    <row r="10" spans="2:11" ht="32" x14ac:dyDescent="0.2">
      <c r="B10" s="44" t="s">
        <v>130</v>
      </c>
      <c r="C10" s="32">
        <v>10</v>
      </c>
      <c r="D10" s="35" t="s">
        <v>95</v>
      </c>
      <c r="E10" s="38" t="s">
        <v>23</v>
      </c>
      <c r="F10" s="38" t="s">
        <v>7</v>
      </c>
      <c r="G10" s="2" t="s">
        <v>49</v>
      </c>
      <c r="H10" s="38">
        <v>1</v>
      </c>
      <c r="I10" s="38">
        <v>1</v>
      </c>
      <c r="J10" s="6">
        <v>1</v>
      </c>
      <c r="K10" s="5" t="s">
        <v>99</v>
      </c>
    </row>
    <row r="11" spans="2:11" ht="32" x14ac:dyDescent="0.2">
      <c r="B11" s="44" t="s">
        <v>131</v>
      </c>
      <c r="C11" s="32">
        <v>12</v>
      </c>
      <c r="D11" s="35" t="s">
        <v>95</v>
      </c>
      <c r="E11" s="38" t="s">
        <v>23</v>
      </c>
      <c r="F11" s="38" t="s">
        <v>7</v>
      </c>
      <c r="G11" s="2" t="s">
        <v>49</v>
      </c>
      <c r="H11" s="38">
        <v>1</v>
      </c>
      <c r="I11" s="38">
        <v>1</v>
      </c>
      <c r="J11" s="6">
        <v>1</v>
      </c>
      <c r="K11" s="5" t="s">
        <v>100</v>
      </c>
    </row>
    <row r="12" spans="2:11" ht="32" x14ac:dyDescent="0.2">
      <c r="B12" s="39" t="s">
        <v>132</v>
      </c>
      <c r="C12" s="32">
        <v>7.8300000000000002E-3</v>
      </c>
      <c r="D12" s="35" t="s">
        <v>22</v>
      </c>
      <c r="E12" s="38" t="s">
        <v>23</v>
      </c>
      <c r="F12" s="38" t="s">
        <v>7</v>
      </c>
      <c r="G12" s="2" t="s">
        <v>49</v>
      </c>
      <c r="H12" s="38">
        <v>1</v>
      </c>
      <c r="I12" s="38">
        <v>1</v>
      </c>
      <c r="J12" s="6">
        <v>1</v>
      </c>
      <c r="K12" s="5" t="s">
        <v>99</v>
      </c>
    </row>
    <row r="13" spans="2:11" ht="32" x14ac:dyDescent="0.2">
      <c r="B13" s="39" t="s">
        <v>133</v>
      </c>
      <c r="C13" s="32">
        <v>502.32</v>
      </c>
      <c r="D13" s="35" t="s">
        <v>104</v>
      </c>
      <c r="E13" s="38" t="s">
        <v>23</v>
      </c>
      <c r="F13" s="38" t="s">
        <v>7</v>
      </c>
      <c r="G13" s="2" t="s">
        <v>49</v>
      </c>
      <c r="H13" s="38">
        <v>1</v>
      </c>
      <c r="I13" s="38">
        <v>1</v>
      </c>
      <c r="J13" s="6">
        <v>1</v>
      </c>
      <c r="K13" s="5" t="s">
        <v>100</v>
      </c>
    </row>
    <row r="14" spans="2:11" ht="16" x14ac:dyDescent="0.2">
      <c r="B14" s="8" t="s">
        <v>79</v>
      </c>
      <c r="C14" s="33"/>
      <c r="D14" s="9"/>
      <c r="E14" s="10"/>
      <c r="F14" s="10"/>
      <c r="G14" s="9"/>
      <c r="H14" s="10">
        <v>1</v>
      </c>
      <c r="I14" s="10">
        <v>1</v>
      </c>
      <c r="J14" s="11">
        <v>0</v>
      </c>
      <c r="K14" s="12" t="s">
        <v>80</v>
      </c>
    </row>
  </sheetData>
  <sheetProtection algorithmName="SHA-512" hashValue="QMy5OMt1qKp8cRlwwfX/BIB5AYvhn1nWhzYC6oOIR/qCmy/Q4K1FcS55vK+o2n9bkpx0b5fI/GdMqzqdV8jatA==" saltValue="Z0UM2e0hpTEwnnzCxFgLzQ==" spinCount="100000" sheet="1" objects="1" scenarios="1" selectLockedCells="1"/>
  <mergeCells count="2">
    <mergeCell ref="B3:K3"/>
    <mergeCell ref="K4:K8"/>
  </mergeCells>
  <conditionalFormatting sqref="C14">
    <cfRule type="expression" dxfId="25" priority="88">
      <formula>IF(AND($C14&lt;&gt;"",$J14=0),1,0)</formula>
    </cfRule>
    <cfRule type="expression" dxfId="24" priority="89">
      <formula>IF($C14&lt;&gt;"",1,0)</formula>
    </cfRule>
    <cfRule type="expression" dxfId="23" priority="90">
      <formula>$J14=0</formula>
    </cfRule>
  </conditionalFormatting>
  <conditionalFormatting sqref="C12:C13">
    <cfRule type="expression" dxfId="22" priority="43">
      <formula>IF(AND($C12&lt;&gt;"",$J12=0),1,0)</formula>
    </cfRule>
    <cfRule type="expression" dxfId="21" priority="44">
      <formula>IF($C12&lt;&gt;"",1,0)</formula>
    </cfRule>
    <cfRule type="expression" dxfId="20" priority="45">
      <formula>$J12=0</formula>
    </cfRule>
  </conditionalFormatting>
  <conditionalFormatting sqref="C10:C11">
    <cfRule type="expression" dxfId="19" priority="1">
      <formula>IF(AND($C10&lt;&gt;"",$J10=0),1,0)</formula>
    </cfRule>
    <cfRule type="expression" dxfId="18" priority="2">
      <formula>IF($C10&lt;&gt;"",1,0)</formula>
    </cfRule>
    <cfRule type="expression" dxfId="17" priority="3">
      <formula>$J10=0</formula>
    </cfRule>
  </conditionalFormatting>
  <conditionalFormatting sqref="K4">
    <cfRule type="expression" dxfId="16" priority="2247">
      <formula>IF(COUNTA($C$10:$C$14)&lt;&gt;COUNTIF($J$10:$J$14,1),1,0)</formula>
    </cfRule>
    <cfRule type="expression" dxfId="15" priority="2248">
      <formula>IF(COUNTA($C$10:$C$14)=COUNTIF($J$10:$J$14,1),1,0)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1</xdr:col>
                    <xdr:colOff>177800</xdr:colOff>
                    <xdr:row>4</xdr:row>
                    <xdr:rowOff>76200</xdr:rowOff>
                  </from>
                  <to>
                    <xdr:col>2</xdr:col>
                    <xdr:colOff>927100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2</xdr:col>
                    <xdr:colOff>1016000</xdr:colOff>
                    <xdr:row>4</xdr:row>
                    <xdr:rowOff>76200</xdr:rowOff>
                  </from>
                  <to>
                    <xdr:col>4</xdr:col>
                    <xdr:colOff>38100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4</xdr:col>
                    <xdr:colOff>139700</xdr:colOff>
                    <xdr:row>4</xdr:row>
                    <xdr:rowOff>76200</xdr:rowOff>
                  </from>
                  <to>
                    <xdr:col>5</xdr:col>
                    <xdr:colOff>393700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E10:E14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F10:F14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G10:G14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A0E25-63A6-463A-8715-402E7B2CC220}">
  <sheetPr codeName="Sheet20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C7" sqref="C7"/>
      <selection pane="bottomLeft"/>
    </sheetView>
  </sheetViews>
  <sheetFormatPr baseColWidth="10" defaultColWidth="0" defaultRowHeight="0" customHeight="1" zeroHeight="1" x14ac:dyDescent="0.2"/>
  <cols>
    <col min="1" max="2" width="8.83203125" style="62" customWidth="1"/>
    <col min="3" max="3" width="13.1640625" style="62" customWidth="1"/>
    <col min="4" max="4" width="13.5" style="62" customWidth="1"/>
    <col min="5" max="6" width="8.83203125" style="62" customWidth="1"/>
    <col min="7" max="7" width="14.83203125" style="62" customWidth="1"/>
    <col min="8" max="8" width="11.6640625" style="62" customWidth="1"/>
    <col min="9" max="9" width="10.33203125" style="62" customWidth="1"/>
    <col min="10" max="10" width="5.6640625" style="62" customWidth="1"/>
    <col min="11" max="11" width="10.5" style="62" customWidth="1"/>
    <col min="12" max="17" width="8.83203125" style="62" customWidth="1"/>
    <col min="18" max="16384" width="8.83203125" style="62" hidden="1"/>
  </cols>
  <sheetData>
    <row r="1" spans="1:17" ht="15" x14ac:dyDescent="0.2">
      <c r="A1" s="59" t="str">
        <f>'[1]Revision History'!D4</f>
        <v>REV. NO.1 (6/8/2022)</v>
      </c>
      <c r="B1" s="60"/>
      <c r="C1" s="60"/>
      <c r="D1" s="60"/>
      <c r="E1" s="60"/>
      <c r="F1" s="60"/>
      <c r="G1" s="60"/>
      <c r="H1" s="60"/>
      <c r="I1" s="61"/>
      <c r="J1" s="61"/>
      <c r="K1" s="61"/>
      <c r="L1" s="61"/>
      <c r="M1" s="61"/>
      <c r="N1" s="61"/>
      <c r="O1" s="61"/>
      <c r="P1" s="61"/>
      <c r="Q1" s="61" t="str">
        <f>'[2]Revision History'!$J$4</f>
        <v>Scott Research Group (jkscottresearchgroup.com)</v>
      </c>
    </row>
    <row r="2" spans="1:17" ht="15" x14ac:dyDescent="0.2">
      <c r="A2" s="80" t="s">
        <v>125</v>
      </c>
      <c r="B2" s="81"/>
      <c r="C2" s="81"/>
      <c r="D2" s="81"/>
      <c r="E2" s="81"/>
      <c r="F2" s="81"/>
      <c r="G2" s="81"/>
      <c r="H2" s="81"/>
      <c r="I2" s="81"/>
      <c r="J2" s="81"/>
      <c r="K2" s="81"/>
      <c r="L2" s="81"/>
      <c r="M2" s="81"/>
      <c r="N2" s="81"/>
      <c r="O2" s="81"/>
      <c r="P2" s="81"/>
      <c r="Q2" s="81"/>
    </row>
    <row r="3" spans="1:17" ht="15" x14ac:dyDescent="0.2">
      <c r="A3" s="63"/>
      <c r="B3" s="64"/>
      <c r="C3" s="64"/>
      <c r="D3" s="64"/>
      <c r="E3" s="64"/>
      <c r="F3" s="64"/>
      <c r="G3" s="64"/>
      <c r="H3" s="64"/>
      <c r="I3" s="64"/>
      <c r="J3" s="64"/>
      <c r="K3" s="64"/>
      <c r="L3" s="64"/>
      <c r="M3" s="64"/>
      <c r="N3" s="64"/>
      <c r="O3" s="64"/>
      <c r="P3" s="64"/>
      <c r="Q3" s="64"/>
    </row>
    <row r="4" spans="1:17" ht="15" x14ac:dyDescent="0.2">
      <c r="A4" s="63"/>
      <c r="B4" s="64" t="s">
        <v>123</v>
      </c>
      <c r="C4" s="64"/>
      <c r="D4" s="64"/>
      <c r="E4" s="64"/>
      <c r="F4" s="64"/>
      <c r="G4" s="64"/>
      <c r="H4" s="64"/>
      <c r="I4" s="64"/>
      <c r="J4" s="64"/>
      <c r="K4" s="64"/>
      <c r="L4" s="64"/>
      <c r="M4" s="64"/>
      <c r="N4" s="64"/>
      <c r="O4" s="64"/>
      <c r="P4" s="64"/>
      <c r="Q4" s="64"/>
    </row>
    <row r="5" spans="1:17" ht="15" x14ac:dyDescent="0.2">
      <c r="A5" s="63"/>
      <c r="B5" s="65"/>
      <c r="C5" s="64" t="s">
        <v>126</v>
      </c>
      <c r="D5" s="64"/>
      <c r="E5" s="64"/>
      <c r="F5" s="64"/>
      <c r="G5" s="64"/>
      <c r="H5" s="64"/>
      <c r="I5" s="64"/>
      <c r="J5" s="64"/>
      <c r="K5" s="64"/>
      <c r="L5" s="64"/>
      <c r="M5" s="64"/>
      <c r="N5" s="64"/>
      <c r="O5" s="64"/>
      <c r="P5" s="64"/>
      <c r="Q5" s="64"/>
    </row>
    <row r="6" spans="1:17" ht="15" x14ac:dyDescent="0.2">
      <c r="A6" s="63"/>
      <c r="B6" s="64"/>
      <c r="C6" s="64"/>
      <c r="D6" s="64"/>
      <c r="E6" s="64"/>
      <c r="F6" s="64"/>
      <c r="G6" s="64"/>
      <c r="H6" s="64"/>
      <c r="I6" s="64"/>
      <c r="J6" s="64"/>
      <c r="K6" s="64"/>
      <c r="L6" s="64"/>
      <c r="M6" s="64"/>
      <c r="N6" s="64"/>
      <c r="O6" s="64"/>
      <c r="P6" s="64"/>
      <c r="Q6" s="64"/>
    </row>
    <row r="7" spans="1:17" ht="15" x14ac:dyDescent="0.2">
      <c r="A7" s="63"/>
      <c r="B7" s="64"/>
      <c r="C7" s="64"/>
      <c r="D7" s="64"/>
      <c r="E7" s="64"/>
      <c r="F7" s="64"/>
      <c r="G7" s="64"/>
      <c r="H7" s="64"/>
      <c r="I7" s="64"/>
      <c r="J7" s="64"/>
      <c r="K7" s="64"/>
      <c r="L7" s="64"/>
      <c r="M7" s="64"/>
      <c r="N7" s="64"/>
      <c r="O7" s="64"/>
      <c r="P7" s="64"/>
      <c r="Q7" s="64"/>
    </row>
    <row r="8" spans="1:17" ht="15" x14ac:dyDescent="0.2">
      <c r="A8" s="63"/>
      <c r="B8" s="64"/>
      <c r="C8" s="64"/>
      <c r="D8" s="64"/>
      <c r="E8" s="64"/>
      <c r="F8" s="64"/>
      <c r="G8" s="64"/>
      <c r="H8" s="64"/>
      <c r="I8" s="64"/>
      <c r="J8" s="64"/>
      <c r="K8" s="64"/>
      <c r="L8" s="64"/>
      <c r="M8" s="64"/>
      <c r="N8" s="64"/>
      <c r="O8" s="64"/>
      <c r="P8" s="64"/>
      <c r="Q8" s="64"/>
    </row>
    <row r="9" spans="1:17" ht="15" x14ac:dyDescent="0.2">
      <c r="A9" s="63"/>
      <c r="B9" s="64"/>
      <c r="C9" s="64"/>
      <c r="D9" s="64"/>
      <c r="E9" s="64"/>
      <c r="F9" s="64"/>
      <c r="G9" s="64"/>
      <c r="H9" s="64"/>
      <c r="I9" s="64"/>
      <c r="J9" s="64"/>
      <c r="K9" s="64"/>
      <c r="L9" s="64"/>
      <c r="M9" s="64"/>
      <c r="N9" s="64"/>
      <c r="O9" s="64"/>
      <c r="P9" s="64"/>
      <c r="Q9" s="64"/>
    </row>
    <row r="10" spans="1:17" ht="15" x14ac:dyDescent="0.2">
      <c r="A10" s="63"/>
      <c r="B10" s="64"/>
      <c r="C10" s="64"/>
      <c r="D10" s="64"/>
      <c r="E10" s="64"/>
      <c r="F10" s="64"/>
      <c r="G10" s="64"/>
      <c r="H10" s="64"/>
      <c r="I10" s="64"/>
      <c r="J10" s="64"/>
      <c r="K10" s="64"/>
      <c r="L10" s="64"/>
      <c r="M10" s="64"/>
      <c r="N10" s="64"/>
      <c r="O10" s="64"/>
      <c r="P10" s="64"/>
      <c r="Q10" s="64"/>
    </row>
    <row r="11" spans="1:17" ht="15" x14ac:dyDescent="0.2">
      <c r="A11" s="63"/>
      <c r="B11" s="64"/>
      <c r="C11" s="64"/>
      <c r="D11" s="64"/>
      <c r="E11" s="64"/>
      <c r="F11" s="64"/>
      <c r="G11" s="64"/>
      <c r="H11" s="64"/>
      <c r="I11" s="64"/>
      <c r="J11" s="64"/>
      <c r="K11" s="64"/>
      <c r="L11" s="64"/>
      <c r="M11" s="64"/>
      <c r="N11" s="64"/>
      <c r="O11" s="64"/>
      <c r="P11" s="64"/>
      <c r="Q11" s="64"/>
    </row>
    <row r="12" spans="1:17" ht="15" x14ac:dyDescent="0.2">
      <c r="A12" s="63"/>
      <c r="B12" s="64"/>
      <c r="C12" s="64"/>
      <c r="D12" s="64"/>
      <c r="E12" s="64"/>
      <c r="F12" s="64"/>
      <c r="G12" s="64"/>
      <c r="H12" s="64"/>
      <c r="I12" s="64"/>
      <c r="J12" s="64"/>
      <c r="K12" s="64"/>
      <c r="L12" s="64"/>
      <c r="M12" s="64"/>
      <c r="N12" s="64"/>
      <c r="O12" s="64"/>
      <c r="P12" s="64"/>
      <c r="Q12" s="64"/>
    </row>
    <row r="13" spans="1:17" ht="15" x14ac:dyDescent="0.2">
      <c r="A13" s="63"/>
      <c r="B13" s="64"/>
      <c r="C13" s="64"/>
      <c r="D13" s="64"/>
      <c r="E13" s="64"/>
      <c r="F13" s="64"/>
      <c r="G13" s="64"/>
      <c r="H13" s="64"/>
      <c r="I13" s="64"/>
      <c r="J13" s="64"/>
      <c r="K13" s="64"/>
      <c r="L13" s="64"/>
      <c r="M13" s="64"/>
      <c r="N13" s="64"/>
      <c r="O13" s="64"/>
      <c r="P13" s="64"/>
      <c r="Q13" s="64"/>
    </row>
    <row r="14" spans="1:17" ht="15" x14ac:dyDescent="0.2">
      <c r="A14" s="63"/>
      <c r="B14" s="64"/>
      <c r="C14" s="64"/>
      <c r="D14" s="64"/>
      <c r="E14" s="64"/>
      <c r="F14" s="64"/>
      <c r="G14" s="64"/>
      <c r="H14" s="64"/>
      <c r="I14" s="64"/>
      <c r="J14" s="64"/>
      <c r="K14" s="64"/>
      <c r="L14" s="64"/>
      <c r="M14" s="64"/>
      <c r="N14" s="64"/>
      <c r="O14" s="64"/>
      <c r="P14" s="64"/>
      <c r="Q14" s="64"/>
    </row>
    <row r="15" spans="1:17" ht="15" x14ac:dyDescent="0.2">
      <c r="A15" s="63"/>
      <c r="B15" s="64"/>
      <c r="C15" s="64"/>
      <c r="D15" s="64"/>
      <c r="E15" s="64"/>
      <c r="F15" s="64"/>
      <c r="G15" s="64"/>
      <c r="H15" s="64"/>
      <c r="I15" s="64"/>
      <c r="J15" s="64"/>
      <c r="K15" s="64"/>
      <c r="L15" s="64"/>
      <c r="M15" s="64"/>
      <c r="N15" s="64"/>
      <c r="O15" s="64"/>
      <c r="P15" s="64"/>
      <c r="Q15" s="64"/>
    </row>
    <row r="16" spans="1:17" ht="15" x14ac:dyDescent="0.2">
      <c r="A16" s="63"/>
      <c r="B16" s="64"/>
      <c r="C16" s="64"/>
      <c r="D16" s="64"/>
      <c r="E16" s="64"/>
      <c r="F16" s="64"/>
      <c r="G16" s="64"/>
      <c r="H16" s="64"/>
      <c r="I16" s="64"/>
      <c r="J16" s="64"/>
      <c r="K16" s="64"/>
      <c r="L16" s="64"/>
      <c r="M16" s="64"/>
      <c r="N16" s="64"/>
      <c r="O16" s="64"/>
      <c r="P16" s="64"/>
      <c r="Q16" s="64"/>
    </row>
    <row r="17" spans="1:17" ht="15" x14ac:dyDescent="0.2">
      <c r="A17" s="63"/>
      <c r="B17" s="64"/>
      <c r="C17" s="64"/>
      <c r="D17" s="64"/>
      <c r="E17" s="64"/>
      <c r="F17" s="64"/>
      <c r="G17" s="64"/>
      <c r="H17" s="64"/>
      <c r="I17" s="64"/>
      <c r="J17" s="64"/>
      <c r="K17" s="64"/>
      <c r="L17" s="64"/>
      <c r="M17" s="64"/>
      <c r="N17" s="64"/>
      <c r="O17" s="64"/>
      <c r="P17" s="64"/>
      <c r="Q17" s="64"/>
    </row>
    <row r="18" spans="1:17" ht="15" x14ac:dyDescent="0.2">
      <c r="A18" s="63"/>
      <c r="B18" s="64"/>
      <c r="C18" s="64"/>
      <c r="D18" s="64"/>
      <c r="E18" s="64"/>
      <c r="F18" s="64"/>
      <c r="G18" s="64"/>
      <c r="H18" s="64"/>
      <c r="I18" s="64"/>
      <c r="J18" s="64"/>
      <c r="K18" s="64"/>
      <c r="L18" s="64"/>
      <c r="M18" s="64"/>
      <c r="N18" s="64"/>
      <c r="O18" s="64"/>
      <c r="P18" s="64"/>
      <c r="Q18" s="64"/>
    </row>
    <row r="19" spans="1:17" ht="15" x14ac:dyDescent="0.2">
      <c r="A19" s="63"/>
      <c r="B19" s="64"/>
      <c r="C19" s="64"/>
      <c r="D19" s="64"/>
      <c r="E19" s="64"/>
      <c r="F19" s="64"/>
      <c r="G19" s="64"/>
      <c r="H19" s="64"/>
      <c r="I19" s="64"/>
      <c r="J19" s="64"/>
      <c r="K19" s="64"/>
      <c r="L19" s="64"/>
      <c r="M19" s="64"/>
      <c r="N19" s="64"/>
      <c r="O19" s="64"/>
      <c r="P19" s="64"/>
      <c r="Q19" s="64"/>
    </row>
    <row r="20" spans="1:17" ht="15" x14ac:dyDescent="0.2">
      <c r="A20" s="63"/>
      <c r="B20" s="64"/>
      <c r="C20" s="64"/>
      <c r="D20" s="64"/>
      <c r="E20" s="64"/>
      <c r="F20" s="64"/>
      <c r="G20" s="64"/>
      <c r="H20" s="64"/>
      <c r="I20" s="64"/>
      <c r="J20" s="64"/>
      <c r="K20" s="64"/>
      <c r="L20" s="64"/>
      <c r="M20" s="64"/>
      <c r="N20" s="64"/>
      <c r="O20" s="64"/>
      <c r="P20" s="64"/>
      <c r="Q20" s="64"/>
    </row>
    <row r="21" spans="1:17" ht="15" x14ac:dyDescent="0.2">
      <c r="A21" s="63"/>
      <c r="B21" s="64"/>
      <c r="C21" s="64"/>
      <c r="D21" s="64"/>
      <c r="E21" s="64"/>
      <c r="F21" s="64"/>
      <c r="G21" s="64"/>
      <c r="H21" s="64"/>
      <c r="I21" s="64"/>
      <c r="J21" s="64"/>
      <c r="K21" s="64"/>
      <c r="L21" s="64"/>
      <c r="M21" s="64"/>
      <c r="N21" s="64"/>
      <c r="O21" s="64"/>
      <c r="P21" s="64"/>
      <c r="Q21" s="64"/>
    </row>
    <row r="22" spans="1:17" ht="15" x14ac:dyDescent="0.2">
      <c r="A22" s="63"/>
      <c r="B22" s="64"/>
      <c r="C22" s="64"/>
      <c r="D22" s="64"/>
      <c r="E22" s="64"/>
      <c r="F22" s="64"/>
      <c r="G22" s="64"/>
      <c r="H22" s="64"/>
      <c r="I22" s="64"/>
      <c r="J22" s="64"/>
      <c r="K22" s="64"/>
      <c r="L22" s="64"/>
      <c r="M22" s="64"/>
      <c r="N22" s="64"/>
      <c r="O22" s="64"/>
      <c r="P22" s="64"/>
      <c r="Q22" s="64"/>
    </row>
    <row r="23" spans="1:17" ht="15" x14ac:dyDescent="0.2">
      <c r="A23" s="63"/>
      <c r="B23" s="64"/>
      <c r="C23" s="64"/>
      <c r="D23" s="64"/>
      <c r="E23" s="64"/>
      <c r="F23" s="64"/>
      <c r="G23" s="64"/>
      <c r="H23" s="64"/>
      <c r="I23" s="64"/>
      <c r="J23" s="64"/>
      <c r="K23" s="64"/>
      <c r="L23" s="64"/>
      <c r="M23" s="64"/>
      <c r="N23" s="64"/>
      <c r="O23" s="64"/>
      <c r="P23" s="64"/>
      <c r="Q23" s="64"/>
    </row>
    <row r="24" spans="1:17" ht="15" x14ac:dyDescent="0.2">
      <c r="A24" s="63"/>
      <c r="B24" s="64"/>
      <c r="C24" s="64"/>
      <c r="D24" s="64"/>
      <c r="E24" s="64"/>
      <c r="F24" s="64"/>
      <c r="G24" s="64"/>
      <c r="H24" s="64"/>
      <c r="I24" s="64"/>
      <c r="J24" s="64"/>
      <c r="K24" s="64"/>
      <c r="L24" s="64"/>
      <c r="M24" s="64"/>
      <c r="N24" s="64"/>
      <c r="O24" s="64"/>
      <c r="P24" s="64"/>
      <c r="Q24" s="64"/>
    </row>
    <row r="25" spans="1:17" ht="15" x14ac:dyDescent="0.2">
      <c r="A25" s="63"/>
      <c r="B25" s="64"/>
      <c r="C25" s="64"/>
      <c r="D25" s="64"/>
      <c r="E25" s="64"/>
      <c r="F25" s="64"/>
      <c r="G25" s="64"/>
      <c r="H25" s="64"/>
      <c r="I25" s="64"/>
      <c r="J25" s="64"/>
      <c r="K25" s="64"/>
      <c r="L25" s="64"/>
      <c r="M25" s="64"/>
      <c r="N25" s="64"/>
      <c r="O25" s="64"/>
      <c r="P25" s="64"/>
      <c r="Q25" s="64"/>
    </row>
    <row r="26" spans="1:17" ht="15" x14ac:dyDescent="0.2">
      <c r="A26" s="63"/>
      <c r="B26" s="64"/>
      <c r="C26" s="64"/>
      <c r="D26" s="64"/>
      <c r="E26" s="64"/>
      <c r="F26" s="64"/>
      <c r="G26" s="64"/>
      <c r="H26" s="64"/>
      <c r="I26" s="64"/>
      <c r="J26" s="64"/>
      <c r="K26" s="64"/>
      <c r="L26" s="64"/>
      <c r="M26" s="64"/>
      <c r="N26" s="64"/>
      <c r="O26" s="64"/>
      <c r="P26" s="64"/>
      <c r="Q26" s="64"/>
    </row>
    <row r="27" spans="1:17" ht="15" x14ac:dyDescent="0.2">
      <c r="A27" s="63"/>
      <c r="B27" s="64"/>
      <c r="C27" s="64"/>
      <c r="D27" s="64"/>
      <c r="E27" s="64"/>
      <c r="F27" s="64"/>
      <c r="G27" s="64"/>
      <c r="H27" s="64"/>
      <c r="I27" s="64"/>
      <c r="J27" s="64"/>
      <c r="K27" s="64"/>
      <c r="L27" s="64"/>
      <c r="M27" s="64"/>
      <c r="N27" s="64"/>
      <c r="O27" s="64"/>
      <c r="P27" s="64"/>
      <c r="Q27" s="64"/>
    </row>
    <row r="28" spans="1:17" ht="15" x14ac:dyDescent="0.2">
      <c r="A28" s="63"/>
      <c r="B28" s="64"/>
      <c r="C28" s="64"/>
      <c r="D28" s="64"/>
      <c r="E28" s="64"/>
      <c r="F28" s="64"/>
      <c r="G28" s="64"/>
      <c r="H28" s="64"/>
      <c r="I28" s="64"/>
      <c r="J28" s="64"/>
      <c r="K28" s="64"/>
      <c r="L28" s="64"/>
      <c r="M28" s="64"/>
      <c r="N28" s="64"/>
      <c r="O28" s="64"/>
      <c r="P28" s="64"/>
      <c r="Q28" s="64"/>
    </row>
    <row r="29" spans="1:17" ht="15" x14ac:dyDescent="0.2">
      <c r="A29" s="63"/>
      <c r="B29" s="64"/>
      <c r="C29" s="64"/>
      <c r="D29" s="64"/>
      <c r="E29" s="64"/>
      <c r="F29" s="64"/>
      <c r="G29" s="64"/>
      <c r="H29" s="64"/>
      <c r="I29" s="64"/>
      <c r="J29" s="64"/>
      <c r="K29" s="64"/>
      <c r="L29" s="64"/>
      <c r="M29" s="64"/>
      <c r="N29" s="64"/>
      <c r="O29" s="64"/>
      <c r="P29" s="64"/>
      <c r="Q29" s="64"/>
    </row>
    <row r="30" spans="1:17" ht="15" x14ac:dyDescent="0.2">
      <c r="A30" s="63"/>
      <c r="B30" s="64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64"/>
      <c r="P30" s="64"/>
      <c r="Q30" s="64"/>
    </row>
    <row r="31" spans="1:17" ht="15" x14ac:dyDescent="0.2">
      <c r="A31" s="63"/>
      <c r="B31" s="64"/>
      <c r="C31" s="64"/>
      <c r="D31" s="64"/>
      <c r="E31" s="64"/>
      <c r="F31" s="64"/>
      <c r="G31" s="64"/>
      <c r="H31" s="64"/>
      <c r="I31" s="64"/>
      <c r="J31" s="64"/>
      <c r="K31" s="64"/>
      <c r="L31" s="64"/>
      <c r="M31" s="64"/>
      <c r="N31" s="64"/>
      <c r="O31" s="64"/>
      <c r="P31" s="64"/>
      <c r="Q31" s="64"/>
    </row>
    <row r="32" spans="1:17" ht="15" x14ac:dyDescent="0.2">
      <c r="A32" s="63"/>
      <c r="B32" s="65"/>
      <c r="C32" s="64"/>
      <c r="D32" s="64"/>
      <c r="E32" s="64"/>
      <c r="F32" s="64"/>
      <c r="G32" s="64"/>
      <c r="H32" s="64"/>
      <c r="I32" s="64"/>
      <c r="J32" s="64"/>
      <c r="K32" s="64"/>
      <c r="L32" s="64"/>
      <c r="M32" s="64"/>
      <c r="N32" s="64"/>
      <c r="O32" s="64"/>
      <c r="P32" s="64"/>
      <c r="Q32" s="64"/>
    </row>
    <row r="33" spans="1:17" ht="15" x14ac:dyDescent="0.2">
      <c r="A33" s="63"/>
      <c r="B33" s="64"/>
      <c r="C33" s="64"/>
      <c r="D33" s="64"/>
      <c r="E33" s="64"/>
      <c r="F33" s="64"/>
      <c r="G33" s="64"/>
      <c r="H33" s="64"/>
      <c r="I33" s="64"/>
      <c r="J33" s="64"/>
      <c r="K33" s="64"/>
      <c r="L33" s="64"/>
      <c r="M33" s="64"/>
      <c r="N33" s="64"/>
      <c r="O33" s="64"/>
      <c r="P33" s="64"/>
      <c r="Q33" s="64"/>
    </row>
    <row r="34" spans="1:17" ht="15" x14ac:dyDescent="0.2">
      <c r="A34" s="63"/>
      <c r="B34" s="64"/>
      <c r="C34" s="64"/>
      <c r="D34" s="64"/>
      <c r="E34" s="64"/>
      <c r="F34" s="64"/>
      <c r="G34" s="64"/>
      <c r="H34" s="64"/>
      <c r="I34" s="64"/>
      <c r="J34" s="64"/>
      <c r="K34" s="64"/>
      <c r="L34" s="64"/>
      <c r="M34" s="64"/>
      <c r="N34" s="64"/>
      <c r="O34" s="64"/>
      <c r="P34" s="64"/>
      <c r="Q34" s="64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FE4A3D-7B8A-46A2-9579-1884F1D8693B}">
  <sheetPr codeName="Sheet2">
    <tabColor rgb="FF00B050"/>
  </sheetPr>
  <dimension ref="A1:AV52"/>
  <sheetViews>
    <sheetView showGridLines="0" zoomScale="85" zoomScaleNormal="85" zoomScaleSheetLayoutView="55" workbookViewId="0">
      <selection activeCell="C7" sqref="C7"/>
    </sheetView>
  </sheetViews>
  <sheetFormatPr baseColWidth="10" defaultColWidth="0" defaultRowHeight="14.5" customHeight="1" zeroHeight="1" x14ac:dyDescent="0.2"/>
  <cols>
    <col min="1" max="18" width="8.83203125" style="66" customWidth="1"/>
    <col min="19" max="48" width="0" style="66" hidden="1" customWidth="1"/>
    <col min="49" max="16384" width="8.83203125" style="66" hidden="1"/>
  </cols>
  <sheetData>
    <row r="1" spans="1:18" ht="15" x14ac:dyDescent="0.2">
      <c r="A1" s="59" t="str">
        <f>'[1]Revision History'!D4</f>
        <v>REV. NO.1 (6/8/2022)</v>
      </c>
      <c r="B1" s="60"/>
      <c r="C1" s="60"/>
      <c r="D1" s="60"/>
      <c r="E1" s="60"/>
      <c r="F1" s="60"/>
      <c r="G1" s="60"/>
      <c r="H1" s="60"/>
      <c r="I1" s="60"/>
      <c r="J1" s="61"/>
      <c r="K1" s="61"/>
      <c r="L1" s="61"/>
      <c r="M1" s="61"/>
      <c r="N1" s="61"/>
      <c r="O1" s="61"/>
      <c r="P1" s="61"/>
      <c r="Q1" s="61"/>
      <c r="R1" s="61" t="str">
        <f>'[2]Revision History'!$J$4</f>
        <v>Scott Research Group (jkscottresearchgroup.com)</v>
      </c>
    </row>
    <row r="2" spans="1:18" ht="15" x14ac:dyDescent="0.2">
      <c r="A2" s="67" t="s">
        <v>124</v>
      </c>
      <c r="B2" s="68"/>
      <c r="C2" s="68"/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  <c r="O2" s="69"/>
      <c r="P2" s="69"/>
      <c r="Q2" s="69"/>
      <c r="R2" s="70"/>
    </row>
    <row r="3" spans="1:18" ht="15" x14ac:dyDescent="0.2">
      <c r="A3" s="63"/>
      <c r="B3" s="64"/>
      <c r="C3" s="71"/>
      <c r="D3" s="71"/>
      <c r="E3" s="71"/>
      <c r="F3" s="71"/>
      <c r="G3" s="71"/>
      <c r="H3" s="71"/>
      <c r="I3" s="71"/>
      <c r="J3" s="71"/>
      <c r="K3" s="71"/>
      <c r="L3" s="71"/>
      <c r="M3" s="71"/>
      <c r="N3" s="71"/>
      <c r="O3" s="71"/>
      <c r="P3" s="71"/>
      <c r="Q3" s="71"/>
      <c r="R3" s="72"/>
    </row>
    <row r="4" spans="1:18" ht="15" x14ac:dyDescent="0.2">
      <c r="A4" s="63"/>
      <c r="B4" s="64"/>
      <c r="C4" s="71"/>
      <c r="D4" s="71"/>
      <c r="E4" s="71"/>
      <c r="F4" s="71"/>
      <c r="G4" s="71"/>
      <c r="H4" s="71"/>
      <c r="I4" s="71"/>
      <c r="J4" s="71"/>
      <c r="K4" s="71"/>
      <c r="L4" s="71"/>
      <c r="M4" s="71"/>
      <c r="N4" s="71"/>
      <c r="O4" s="71"/>
      <c r="P4" s="71"/>
      <c r="Q4" s="71"/>
      <c r="R4" s="72"/>
    </row>
    <row r="5" spans="1:18" ht="15" x14ac:dyDescent="0.2">
      <c r="A5" s="63"/>
      <c r="B5" s="64"/>
      <c r="C5" s="71"/>
      <c r="D5" s="71"/>
      <c r="E5" s="71"/>
      <c r="F5" s="71"/>
      <c r="G5" s="71"/>
      <c r="H5" s="71"/>
      <c r="I5" s="71"/>
      <c r="J5" s="71"/>
      <c r="K5" s="71"/>
      <c r="L5" s="71"/>
      <c r="M5" s="71"/>
      <c r="N5" s="71"/>
      <c r="O5" s="71"/>
      <c r="P5" s="71"/>
      <c r="Q5" s="71"/>
      <c r="R5" s="72"/>
    </row>
    <row r="6" spans="1:18" ht="15" x14ac:dyDescent="0.2">
      <c r="A6" s="63"/>
      <c r="B6" s="64"/>
      <c r="C6" s="71"/>
      <c r="D6" s="71"/>
      <c r="E6" s="71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72"/>
    </row>
    <row r="7" spans="1:18" ht="15" x14ac:dyDescent="0.2">
      <c r="A7" s="63"/>
      <c r="B7" s="64"/>
      <c r="C7" s="71"/>
      <c r="D7" s="71"/>
      <c r="E7" s="71"/>
      <c r="F7" s="71"/>
      <c r="G7" s="71"/>
      <c r="H7" s="71"/>
      <c r="I7" s="71"/>
      <c r="J7" s="71"/>
      <c r="K7" s="71"/>
      <c r="L7" s="71"/>
      <c r="M7" s="71"/>
      <c r="N7" s="71"/>
      <c r="O7" s="71"/>
      <c r="P7" s="71"/>
      <c r="Q7" s="71"/>
      <c r="R7" s="72"/>
    </row>
    <row r="8" spans="1:18" ht="15" x14ac:dyDescent="0.2">
      <c r="A8" s="63"/>
      <c r="B8" s="64"/>
      <c r="C8" s="71"/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2"/>
    </row>
    <row r="9" spans="1:18" ht="15" x14ac:dyDescent="0.2">
      <c r="A9" s="63"/>
      <c r="B9" s="64"/>
      <c r="C9" s="71"/>
      <c r="D9" s="71"/>
      <c r="E9" s="71"/>
      <c r="F9" s="71"/>
      <c r="G9" s="71"/>
      <c r="H9" s="71"/>
      <c r="I9" s="71"/>
      <c r="J9" s="71"/>
      <c r="K9" s="71"/>
      <c r="L9" s="71"/>
      <c r="M9" s="71"/>
      <c r="N9" s="71"/>
      <c r="O9" s="71"/>
      <c r="P9" s="71"/>
      <c r="Q9" s="71"/>
      <c r="R9" s="72"/>
    </row>
    <row r="10" spans="1:18" ht="15" x14ac:dyDescent="0.2">
      <c r="A10" s="63"/>
      <c r="B10" s="64"/>
      <c r="C10" s="71"/>
      <c r="D10" s="71"/>
      <c r="E10" s="71"/>
      <c r="F10" s="71"/>
      <c r="G10" s="71"/>
      <c r="H10" s="71"/>
      <c r="I10" s="71"/>
      <c r="J10" s="71"/>
      <c r="K10" s="71"/>
      <c r="L10" s="71"/>
      <c r="M10" s="71"/>
      <c r="N10" s="71"/>
      <c r="O10" s="71"/>
      <c r="P10" s="71"/>
      <c r="Q10" s="71"/>
      <c r="R10" s="72"/>
    </row>
    <row r="11" spans="1:18" ht="15" x14ac:dyDescent="0.2">
      <c r="A11" s="63"/>
      <c r="B11" s="64"/>
      <c r="C11" s="71"/>
      <c r="D11" s="71"/>
      <c r="E11" s="71"/>
      <c r="F11" s="71"/>
      <c r="G11" s="71"/>
      <c r="H11" s="71"/>
      <c r="I11" s="71"/>
      <c r="J11" s="71"/>
      <c r="K11" s="71"/>
      <c r="L11" s="71"/>
      <c r="M11" s="71"/>
      <c r="N11" s="71"/>
      <c r="O11" s="71"/>
      <c r="P11" s="71"/>
      <c r="Q11" s="71"/>
      <c r="R11" s="72"/>
    </row>
    <row r="12" spans="1:18" ht="15" x14ac:dyDescent="0.2">
      <c r="A12" s="63"/>
      <c r="B12" s="64"/>
      <c r="C12" s="71"/>
      <c r="D12" s="71"/>
      <c r="E12" s="71"/>
      <c r="F12" s="71"/>
      <c r="G12" s="71"/>
      <c r="H12" s="71"/>
      <c r="I12" s="71"/>
      <c r="J12" s="71"/>
      <c r="K12" s="71"/>
      <c r="L12" s="71"/>
      <c r="M12" s="71"/>
      <c r="N12" s="71"/>
      <c r="O12" s="71"/>
      <c r="P12" s="71"/>
      <c r="Q12" s="71"/>
      <c r="R12" s="72"/>
    </row>
    <row r="13" spans="1:18" ht="15" x14ac:dyDescent="0.2">
      <c r="A13" s="63"/>
      <c r="B13" s="64"/>
      <c r="C13" s="71"/>
      <c r="D13" s="71"/>
      <c r="E13" s="71"/>
      <c r="F13" s="71"/>
      <c r="G13" s="71"/>
      <c r="H13" s="71"/>
      <c r="I13" s="71"/>
      <c r="J13" s="71"/>
      <c r="K13" s="71"/>
      <c r="L13" s="71"/>
      <c r="M13" s="71"/>
      <c r="N13" s="71"/>
      <c r="O13" s="71"/>
      <c r="P13" s="71"/>
      <c r="Q13" s="71"/>
      <c r="R13" s="72"/>
    </row>
    <row r="14" spans="1:18" ht="15" x14ac:dyDescent="0.2">
      <c r="A14" s="63"/>
      <c r="B14" s="64"/>
      <c r="C14" s="71"/>
      <c r="D14" s="71"/>
      <c r="E14" s="71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72"/>
    </row>
    <row r="15" spans="1:18" ht="15" x14ac:dyDescent="0.2">
      <c r="A15" s="63"/>
      <c r="B15" s="64"/>
      <c r="C15" s="71"/>
      <c r="D15" s="71"/>
      <c r="E15" s="71"/>
      <c r="F15" s="71"/>
      <c r="G15" s="71"/>
      <c r="H15" s="71"/>
      <c r="I15" s="71"/>
      <c r="J15" s="71"/>
      <c r="K15" s="71"/>
      <c r="L15" s="71"/>
      <c r="M15" s="71"/>
      <c r="N15" s="71"/>
      <c r="O15" s="71"/>
      <c r="P15" s="71"/>
      <c r="Q15" s="71"/>
      <c r="R15" s="72"/>
    </row>
    <row r="16" spans="1:18" ht="15" x14ac:dyDescent="0.2">
      <c r="A16" s="63"/>
      <c r="B16" s="64"/>
      <c r="C16" s="71"/>
      <c r="D16" s="71"/>
      <c r="E16" s="71"/>
      <c r="F16" s="71"/>
      <c r="G16" s="71"/>
      <c r="H16" s="71"/>
      <c r="I16" s="71"/>
      <c r="J16" s="71"/>
      <c r="K16" s="71"/>
      <c r="L16" s="71"/>
      <c r="M16" s="71"/>
      <c r="N16" s="71"/>
      <c r="O16" s="71"/>
      <c r="P16" s="71"/>
      <c r="Q16" s="71"/>
      <c r="R16" s="72"/>
    </row>
    <row r="17" spans="1:18" ht="15" x14ac:dyDescent="0.2">
      <c r="A17" s="63"/>
      <c r="B17" s="64"/>
      <c r="C17" s="71"/>
      <c r="D17" s="71"/>
      <c r="E17" s="71"/>
      <c r="F17" s="71"/>
      <c r="G17" s="71"/>
      <c r="H17" s="71"/>
      <c r="I17" s="71"/>
      <c r="J17" s="71"/>
      <c r="K17" s="71"/>
      <c r="L17" s="71"/>
      <c r="M17" s="71"/>
      <c r="N17" s="71"/>
      <c r="O17" s="71"/>
      <c r="P17" s="71"/>
      <c r="Q17" s="71"/>
      <c r="R17" s="72"/>
    </row>
    <row r="18" spans="1:18" ht="15" x14ac:dyDescent="0.2">
      <c r="A18" s="63"/>
      <c r="B18" s="64"/>
      <c r="C18" s="71"/>
      <c r="D18" s="71"/>
      <c r="E18" s="71"/>
      <c r="F18" s="71"/>
      <c r="G18" s="71"/>
      <c r="H18" s="71"/>
      <c r="I18" s="71"/>
      <c r="J18" s="71"/>
      <c r="K18" s="71"/>
      <c r="L18" s="71"/>
      <c r="M18" s="71"/>
      <c r="N18" s="71"/>
      <c r="O18" s="71"/>
      <c r="P18" s="71"/>
      <c r="Q18" s="71"/>
      <c r="R18" s="72"/>
    </row>
    <row r="19" spans="1:18" ht="15" x14ac:dyDescent="0.2">
      <c r="A19" s="63"/>
      <c r="B19" s="64"/>
      <c r="C19" s="71"/>
      <c r="D19" s="71"/>
      <c r="E19" s="71"/>
      <c r="F19" s="71"/>
      <c r="G19" s="71"/>
      <c r="H19" s="71"/>
      <c r="I19" s="71"/>
      <c r="J19" s="71"/>
      <c r="K19" s="71"/>
      <c r="L19" s="71"/>
      <c r="M19" s="71"/>
      <c r="N19" s="71"/>
      <c r="O19" s="71"/>
      <c r="P19" s="71"/>
      <c r="Q19" s="71"/>
      <c r="R19" s="72"/>
    </row>
    <row r="20" spans="1:18" ht="15" x14ac:dyDescent="0.2">
      <c r="A20" s="63"/>
      <c r="B20" s="64"/>
      <c r="C20" s="71"/>
      <c r="D20" s="71"/>
      <c r="E20" s="71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2"/>
    </row>
    <row r="21" spans="1:18" ht="15" x14ac:dyDescent="0.2">
      <c r="A21" s="63"/>
      <c r="B21" s="64"/>
      <c r="C21" s="71"/>
      <c r="D21" s="71"/>
      <c r="E21" s="71"/>
      <c r="F21" s="71"/>
      <c r="G21" s="71"/>
      <c r="H21" s="71"/>
      <c r="I21" s="71"/>
      <c r="J21" s="71"/>
      <c r="K21" s="71"/>
      <c r="L21" s="71"/>
      <c r="M21" s="71"/>
      <c r="N21" s="71"/>
      <c r="O21" s="71"/>
      <c r="P21" s="71"/>
      <c r="Q21" s="71"/>
      <c r="R21" s="72"/>
    </row>
    <row r="22" spans="1:18" ht="15" x14ac:dyDescent="0.2">
      <c r="A22" s="63"/>
      <c r="B22" s="64"/>
      <c r="C22" s="71"/>
      <c r="D22" s="71"/>
      <c r="E22" s="71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2"/>
    </row>
    <row r="23" spans="1:18" ht="15" x14ac:dyDescent="0.2">
      <c r="A23" s="63"/>
      <c r="B23" s="64"/>
      <c r="C23" s="71"/>
      <c r="D23" s="71"/>
      <c r="E23" s="71"/>
      <c r="F23" s="71"/>
      <c r="G23" s="71"/>
      <c r="H23" s="71"/>
      <c r="I23" s="71"/>
      <c r="J23" s="71"/>
      <c r="K23" s="71"/>
      <c r="L23" s="71"/>
      <c r="M23" s="71"/>
      <c r="N23" s="71"/>
      <c r="O23" s="71"/>
      <c r="P23" s="71"/>
      <c r="Q23" s="71"/>
      <c r="R23" s="72"/>
    </row>
    <row r="24" spans="1:18" ht="15" x14ac:dyDescent="0.2">
      <c r="A24" s="63"/>
      <c r="B24" s="64"/>
      <c r="C24" s="71"/>
      <c r="D24" s="71"/>
      <c r="E24" s="71"/>
      <c r="F24" s="71"/>
      <c r="G24" s="71"/>
      <c r="H24" s="71"/>
      <c r="I24" s="71"/>
      <c r="J24" s="71"/>
      <c r="K24" s="71"/>
      <c r="L24" s="71"/>
      <c r="M24" s="71"/>
      <c r="N24" s="71"/>
      <c r="O24" s="71"/>
      <c r="P24" s="71"/>
      <c r="Q24" s="71"/>
      <c r="R24" s="72"/>
    </row>
    <row r="25" spans="1:18" ht="15" x14ac:dyDescent="0.2">
      <c r="A25" s="63"/>
      <c r="B25" s="64"/>
      <c r="C25" s="71"/>
      <c r="D25" s="71"/>
      <c r="E25" s="71"/>
      <c r="F25" s="71"/>
      <c r="G25" s="71"/>
      <c r="H25" s="71"/>
      <c r="I25" s="71"/>
      <c r="J25" s="71"/>
      <c r="K25" s="71"/>
      <c r="L25" s="71"/>
      <c r="M25" s="71"/>
      <c r="N25" s="71"/>
      <c r="O25" s="71"/>
      <c r="P25" s="71"/>
      <c r="Q25" s="71"/>
      <c r="R25" s="72"/>
    </row>
    <row r="26" spans="1:18" ht="15" x14ac:dyDescent="0.2">
      <c r="A26" s="63"/>
      <c r="B26" s="64"/>
      <c r="C26" s="71"/>
      <c r="D26" s="71"/>
      <c r="E26" s="71"/>
      <c r="F26" s="71"/>
      <c r="G26" s="71"/>
      <c r="H26" s="71"/>
      <c r="I26" s="71"/>
      <c r="J26" s="71"/>
      <c r="K26" s="71"/>
      <c r="L26" s="71"/>
      <c r="M26" s="71"/>
      <c r="N26" s="71"/>
      <c r="O26" s="71"/>
      <c r="P26" s="71"/>
      <c r="Q26" s="71"/>
      <c r="R26" s="72"/>
    </row>
    <row r="27" spans="1:18" ht="15" x14ac:dyDescent="0.2">
      <c r="A27" s="63"/>
      <c r="B27" s="64"/>
      <c r="C27" s="71"/>
      <c r="D27" s="71"/>
      <c r="E27" s="71"/>
      <c r="F27" s="71"/>
      <c r="G27" s="71"/>
      <c r="H27" s="71"/>
      <c r="I27" s="71"/>
      <c r="J27" s="71"/>
      <c r="K27" s="71"/>
      <c r="L27" s="71"/>
      <c r="M27" s="71"/>
      <c r="N27" s="71"/>
      <c r="O27" s="71"/>
      <c r="P27" s="71"/>
      <c r="Q27" s="71"/>
      <c r="R27" s="72"/>
    </row>
    <row r="28" spans="1:18" ht="15" x14ac:dyDescent="0.2">
      <c r="A28" s="63"/>
      <c r="B28" s="64"/>
      <c r="C28" s="71"/>
      <c r="D28" s="71"/>
      <c r="E28" s="71"/>
      <c r="F28" s="71"/>
      <c r="G28" s="71"/>
      <c r="H28" s="71"/>
      <c r="I28" s="71"/>
      <c r="J28" s="71"/>
      <c r="K28" s="71"/>
      <c r="L28" s="71"/>
      <c r="M28" s="71"/>
      <c r="N28" s="71"/>
      <c r="O28" s="71"/>
      <c r="P28" s="71"/>
      <c r="Q28" s="71"/>
      <c r="R28" s="72"/>
    </row>
    <row r="29" spans="1:18" ht="15" x14ac:dyDescent="0.2">
      <c r="A29" s="63"/>
      <c r="B29" s="64"/>
      <c r="C29" s="71"/>
      <c r="D29" s="71"/>
      <c r="E29" s="71"/>
      <c r="F29" s="71"/>
      <c r="G29" s="71"/>
      <c r="H29" s="71"/>
      <c r="I29" s="71"/>
      <c r="J29" s="71"/>
      <c r="K29" s="71"/>
      <c r="L29" s="71"/>
      <c r="M29" s="71"/>
      <c r="N29" s="71"/>
      <c r="O29" s="71"/>
      <c r="P29" s="71"/>
      <c r="Q29" s="71"/>
      <c r="R29" s="72"/>
    </row>
    <row r="30" spans="1:18" ht="15" x14ac:dyDescent="0.2">
      <c r="A30" s="63"/>
      <c r="B30" s="64"/>
      <c r="C30" s="71"/>
      <c r="D30" s="71"/>
      <c r="E30" s="71"/>
      <c r="F30" s="71"/>
      <c r="G30" s="71"/>
      <c r="H30" s="71"/>
      <c r="I30" s="71"/>
      <c r="J30" s="71"/>
      <c r="K30" s="71"/>
      <c r="L30" s="71"/>
      <c r="M30" s="71"/>
      <c r="N30" s="71"/>
      <c r="O30" s="71"/>
      <c r="P30" s="71"/>
      <c r="Q30" s="71"/>
      <c r="R30" s="72"/>
    </row>
    <row r="31" spans="1:18" ht="15" x14ac:dyDescent="0.2">
      <c r="A31" s="63"/>
      <c r="B31" s="64"/>
      <c r="C31" s="71"/>
      <c r="D31" s="71"/>
      <c r="E31" s="71"/>
      <c r="F31" s="71"/>
      <c r="G31" s="71"/>
      <c r="H31" s="71"/>
      <c r="I31" s="71"/>
      <c r="J31" s="71"/>
      <c r="K31" s="71"/>
      <c r="L31" s="71"/>
      <c r="M31" s="71"/>
      <c r="N31" s="71"/>
      <c r="O31" s="71"/>
      <c r="P31" s="71"/>
      <c r="Q31" s="71"/>
      <c r="R31" s="72"/>
    </row>
    <row r="32" spans="1:18" ht="15" x14ac:dyDescent="0.2">
      <c r="A32" s="63"/>
      <c r="B32" s="64"/>
      <c r="C32" s="71"/>
      <c r="D32" s="71"/>
      <c r="E32" s="71"/>
      <c r="F32" s="71"/>
      <c r="G32" s="71"/>
      <c r="H32" s="71"/>
      <c r="I32" s="71"/>
      <c r="J32" s="71"/>
      <c r="K32" s="71"/>
      <c r="L32" s="71"/>
      <c r="M32" s="71"/>
      <c r="N32" s="71"/>
      <c r="O32" s="71"/>
      <c r="P32" s="71"/>
      <c r="Q32" s="71"/>
      <c r="R32" s="72"/>
    </row>
    <row r="33" spans="1:18" ht="15" x14ac:dyDescent="0.2">
      <c r="A33" s="63"/>
      <c r="B33" s="64"/>
      <c r="C33" s="71"/>
      <c r="D33" s="71"/>
      <c r="E33" s="71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2"/>
    </row>
    <row r="34" spans="1:18" ht="15" x14ac:dyDescent="0.2">
      <c r="A34" s="63"/>
      <c r="B34" s="64"/>
      <c r="C34" s="71"/>
      <c r="D34" s="71"/>
      <c r="E34" s="71"/>
      <c r="F34" s="71"/>
      <c r="G34" s="71"/>
      <c r="H34" s="71"/>
      <c r="I34" s="71"/>
      <c r="J34" s="71"/>
      <c r="K34" s="71"/>
      <c r="L34" s="71"/>
      <c r="M34" s="71"/>
      <c r="N34" s="71"/>
      <c r="O34" s="71"/>
      <c r="P34" s="71"/>
      <c r="Q34" s="71"/>
      <c r="R34" s="72"/>
    </row>
    <row r="35" spans="1:18" ht="15" x14ac:dyDescent="0.2">
      <c r="A35" s="63"/>
      <c r="B35" s="64"/>
      <c r="C35" s="71"/>
      <c r="D35" s="71"/>
      <c r="E35" s="71"/>
      <c r="F35" s="71"/>
      <c r="G35" s="71"/>
      <c r="H35" s="71"/>
      <c r="I35" s="71"/>
      <c r="J35" s="71"/>
      <c r="K35" s="71"/>
      <c r="L35" s="71"/>
      <c r="M35" s="71"/>
      <c r="N35" s="71"/>
      <c r="O35" s="71"/>
      <c r="P35" s="71"/>
      <c r="Q35" s="71"/>
      <c r="R35" s="72"/>
    </row>
    <row r="36" spans="1:18" ht="15" x14ac:dyDescent="0.2">
      <c r="A36" s="63"/>
      <c r="B36" s="64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2"/>
    </row>
    <row r="37" spans="1:18" ht="15" x14ac:dyDescent="0.2">
      <c r="A37" s="63"/>
      <c r="B37" s="64"/>
      <c r="C37" s="71"/>
      <c r="D37" s="71"/>
      <c r="E37" s="71"/>
      <c r="F37" s="71"/>
      <c r="G37" s="71"/>
      <c r="H37" s="71"/>
      <c r="I37" s="71"/>
      <c r="J37" s="71"/>
      <c r="K37" s="71"/>
      <c r="L37" s="71"/>
      <c r="M37" s="71"/>
      <c r="N37" s="71"/>
      <c r="O37" s="71"/>
      <c r="P37" s="71"/>
      <c r="Q37" s="71"/>
      <c r="R37" s="72"/>
    </row>
    <row r="38" spans="1:18" ht="15" x14ac:dyDescent="0.2">
      <c r="A38" s="63"/>
      <c r="B38" s="64"/>
      <c r="C38" s="71"/>
      <c r="D38" s="71"/>
      <c r="E38" s="71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2"/>
    </row>
    <row r="39" spans="1:18" ht="15" x14ac:dyDescent="0.2">
      <c r="A39" s="63"/>
      <c r="B39" s="64"/>
      <c r="C39" s="71"/>
      <c r="D39" s="71"/>
      <c r="E39" s="71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2"/>
    </row>
    <row r="40" spans="1:18" ht="15" x14ac:dyDescent="0.2">
      <c r="A40" s="63"/>
      <c r="B40" s="64"/>
      <c r="C40" s="71"/>
      <c r="D40" s="71"/>
      <c r="E40" s="71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2"/>
    </row>
    <row r="41" spans="1:18" ht="15" x14ac:dyDescent="0.2">
      <c r="A41" s="63"/>
      <c r="B41" s="64"/>
      <c r="C41" s="71"/>
      <c r="D41" s="71"/>
      <c r="E41" s="71"/>
      <c r="F41" s="71"/>
      <c r="G41" s="71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2"/>
    </row>
    <row r="42" spans="1:18" ht="15" x14ac:dyDescent="0.2">
      <c r="A42" s="63"/>
      <c r="B42" s="64"/>
      <c r="C42" s="71"/>
      <c r="D42" s="71"/>
      <c r="E42" s="71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2"/>
    </row>
    <row r="43" spans="1:18" ht="15" x14ac:dyDescent="0.2">
      <c r="A43" s="63"/>
      <c r="B43" s="64"/>
      <c r="C43" s="71"/>
      <c r="D43" s="71"/>
      <c r="E43" s="71"/>
      <c r="F43" s="71"/>
      <c r="G43" s="71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2"/>
    </row>
    <row r="44" spans="1:18" ht="15" x14ac:dyDescent="0.2">
      <c r="A44" s="63"/>
      <c r="B44" s="64"/>
      <c r="C44" s="71"/>
      <c r="D44" s="71"/>
      <c r="E44" s="71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2"/>
    </row>
    <row r="45" spans="1:18" ht="15" x14ac:dyDescent="0.2">
      <c r="A45" s="63"/>
      <c r="B45" s="64"/>
      <c r="C45" s="71"/>
      <c r="D45" s="71"/>
      <c r="E45" s="71"/>
      <c r="F45" s="71"/>
      <c r="G45" s="71"/>
      <c r="H45" s="71"/>
      <c r="I45" s="71"/>
      <c r="J45" s="71"/>
      <c r="K45" s="71"/>
      <c r="L45" s="71"/>
      <c r="M45" s="71"/>
      <c r="N45" s="71"/>
      <c r="O45" s="71"/>
      <c r="P45" s="71"/>
      <c r="Q45" s="71"/>
      <c r="R45" s="72"/>
    </row>
    <row r="46" spans="1:18" ht="15" x14ac:dyDescent="0.2">
      <c r="A46" s="63"/>
      <c r="B46" s="64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2"/>
    </row>
    <row r="47" spans="1:18" ht="15" x14ac:dyDescent="0.2">
      <c r="A47" s="63"/>
      <c r="B47" s="64"/>
      <c r="C47" s="71"/>
      <c r="D47" s="71"/>
      <c r="E47" s="71"/>
      <c r="F47" s="71"/>
      <c r="G47" s="71"/>
      <c r="H47" s="71"/>
      <c r="I47" s="71"/>
      <c r="J47" s="71"/>
      <c r="K47" s="71"/>
      <c r="L47" s="71"/>
      <c r="M47" s="71"/>
      <c r="N47" s="71"/>
      <c r="O47" s="71"/>
      <c r="P47" s="71"/>
      <c r="Q47" s="71"/>
      <c r="R47" s="72"/>
    </row>
    <row r="48" spans="1:18" ht="15" x14ac:dyDescent="0.2">
      <c r="A48" s="63"/>
      <c r="B48" s="64"/>
      <c r="C48" s="71"/>
      <c r="D48" s="71"/>
      <c r="E48" s="71"/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2"/>
    </row>
    <row r="49" spans="1:18" ht="15" x14ac:dyDescent="0.2">
      <c r="A49" s="63"/>
      <c r="B49" s="64"/>
      <c r="C49" s="71"/>
      <c r="D49" s="71"/>
      <c r="E49" s="71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2"/>
    </row>
    <row r="50" spans="1:18" ht="15" x14ac:dyDescent="0.2">
      <c r="A50" s="63"/>
      <c r="B50" s="64"/>
      <c r="C50" s="71"/>
      <c r="D50" s="71"/>
      <c r="E50" s="71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2"/>
    </row>
    <row r="51" spans="1:18" ht="15" x14ac:dyDescent="0.2">
      <c r="A51" s="63"/>
      <c r="B51" s="64"/>
      <c r="C51" s="71"/>
      <c r="D51" s="71"/>
      <c r="E51" s="71"/>
      <c r="F51" s="71"/>
      <c r="G51" s="71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2"/>
    </row>
    <row r="52" spans="1:18" ht="15" x14ac:dyDescent="0.2">
      <c r="A52" s="63"/>
      <c r="B52" s="64"/>
      <c r="C52" s="71"/>
      <c r="D52" s="71"/>
      <c r="E52" s="71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2"/>
    </row>
  </sheetData>
  <sheetProtection selectLockedCells="1" selectUnlockedCells="1"/>
  <pageMargins left="0.7" right="0.7" top="0.75" bottom="0.75" header="0.3" footer="0.3"/>
  <pageSetup scale="20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91</v>
      </c>
    </row>
    <row r="2" spans="1:1" x14ac:dyDescent="0.2">
      <c r="A2" t="s">
        <v>89</v>
      </c>
    </row>
    <row r="3" spans="1:1" x14ac:dyDescent="0.2">
      <c r="A3" t="s">
        <v>90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M2"/>
  <sheetViews>
    <sheetView workbookViewId="0">
      <selection activeCell="CM2" sqref="CM2"/>
    </sheetView>
  </sheetViews>
  <sheetFormatPr baseColWidth="10" defaultColWidth="8.83203125" defaultRowHeight="15" x14ac:dyDescent="0.2"/>
  <sheetData>
    <row r="1" spans="1:13" x14ac:dyDescent="0.2">
      <c r="A1" t="s">
        <v>106</v>
      </c>
      <c r="B1" t="s">
        <v>110</v>
      </c>
      <c r="C1" t="s">
        <v>87</v>
      </c>
      <c r="D1" t="s">
        <v>79</v>
      </c>
      <c r="E1" t="s">
        <v>127</v>
      </c>
      <c r="F1" t="s">
        <v>128</v>
      </c>
      <c r="G1" t="s">
        <v>129</v>
      </c>
      <c r="H1" t="s">
        <v>79</v>
      </c>
      <c r="I1" t="s">
        <v>130</v>
      </c>
      <c r="J1" t="s">
        <v>131</v>
      </c>
      <c r="K1" t="s">
        <v>132</v>
      </c>
      <c r="L1" t="s">
        <v>133</v>
      </c>
      <c r="M1" t="s">
        <v>79</v>
      </c>
    </row>
    <row r="2" spans="1:13" x14ac:dyDescent="0.2">
      <c r="A2">
        <v>1</v>
      </c>
      <c r="B2">
        <v>318.14999999999998</v>
      </c>
      <c r="C2">
        <v>3.3941656669286671</v>
      </c>
      <c r="E2">
        <v>20</v>
      </c>
      <c r="F2">
        <v>20.5</v>
      </c>
      <c r="G2">
        <v>33.800769771555913</v>
      </c>
      <c r="I2">
        <v>10</v>
      </c>
      <c r="J2">
        <v>12</v>
      </c>
      <c r="K2">
        <v>7.8300000000000002E-3</v>
      </c>
      <c r="L2">
        <v>502.32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M2"/>
  <sheetViews>
    <sheetView topLeftCell="CC1" workbookViewId="0">
      <selection activeCell="CR2" sqref="CR2"/>
    </sheetView>
  </sheetViews>
  <sheetFormatPr baseColWidth="10" defaultColWidth="8.83203125" defaultRowHeight="15" x14ac:dyDescent="0.2"/>
  <sheetData>
    <row r="1" spans="1:13" x14ac:dyDescent="0.2">
      <c r="A1" t="s">
        <v>106</v>
      </c>
      <c r="B1" t="s">
        <v>110</v>
      </c>
      <c r="C1" t="s">
        <v>87</v>
      </c>
      <c r="D1" t="s">
        <v>79</v>
      </c>
      <c r="E1" t="s">
        <v>127</v>
      </c>
      <c r="F1" t="s">
        <v>128</v>
      </c>
      <c r="G1" t="s">
        <v>129</v>
      </c>
      <c r="H1" t="s">
        <v>79</v>
      </c>
      <c r="I1" t="s">
        <v>130</v>
      </c>
      <c r="J1" t="s">
        <v>131</v>
      </c>
      <c r="K1" t="s">
        <v>132</v>
      </c>
      <c r="L1" t="s">
        <v>133</v>
      </c>
      <c r="M1" t="s">
        <v>79</v>
      </c>
    </row>
    <row r="2" spans="1:13" x14ac:dyDescent="0.2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</vt:i4>
      </vt:variant>
    </vt:vector>
  </HeadingPairs>
  <TitlesOfParts>
    <vt:vector size="14" baseType="lpstr">
      <vt:lpstr>Revision History</vt:lpstr>
      <vt:lpstr>Reference</vt:lpstr>
      <vt:lpstr>Initialization</vt:lpstr>
      <vt:lpstr>Geometry</vt:lpstr>
      <vt:lpstr>Physical Properties</vt:lpstr>
      <vt:lpstr>Help</vt:lpstr>
      <vt:lpstr>PFD</vt:lpstr>
      <vt:lpstr>maintenance check list</vt:lpstr>
      <vt:lpstr>Data(Transposed)</vt:lpstr>
      <vt:lpstr>Data(Test)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Microsoft Office User</cp:lastModifiedBy>
  <cp:lastPrinted>2020-11-27T00:08:43Z</cp:lastPrinted>
  <dcterms:created xsi:type="dcterms:W3CDTF">2020-11-24T18:36:54Z</dcterms:created>
  <dcterms:modified xsi:type="dcterms:W3CDTF">2022-08-08T01:07:11Z</dcterms:modified>
</cp:coreProperties>
</file>