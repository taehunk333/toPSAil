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A2E5138D-BB42-D64E-AD2E-3858AB06F364}" xr6:coauthVersionLast="47" xr6:coauthVersionMax="47" xr10:uidLastSave="{00000000-0000-0000-0000-000000000000}"/>
  <bookViews>
    <workbookView xWindow="0" yWindow="640" windowWidth="34560" windowHeight="21700" tabRatio="818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Help" sheetId="41" r:id="rId6"/>
    <sheet name="PFD" sheetId="42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31" l="1"/>
  <c r="B2" i="31"/>
  <c r="K2" i="43"/>
  <c r="B2" i="43"/>
  <c r="K2" i="40"/>
  <c r="B2" i="40"/>
  <c r="K4" i="43" l="1"/>
  <c r="R1" i="42"/>
  <c r="A1" i="42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<sst xmlns="http://schemas.openxmlformats.org/spreadsheetml/2006/main" count="244" uniqueCount="134">
  <si>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</si>
  <si>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</si>
  <si>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</si>
  <si>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</si>
  <si>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</si>
  <si>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</si>
  <si>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</si>
  <si>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</si>
  <si>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</si>
  <si>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</si>
  <si>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</si>
  <si>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</si>
  <si>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</si>
  <si>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</si>
  <si>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</si>
  <si>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</si>
  <si>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</si>
  <si>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</si>
  <si>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</si>
  <si>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</si>
  <si>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</si>
  <si>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</si>
  <si>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</si>
  <si>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</si>
  <si>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</si>
  <si>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</si>
  <si>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</si>
  <si>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</si>
  <si>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</si>
  <si>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</si>
  <si>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</si>
  <si>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</si>
  <si>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</si>
  <si>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</si>
  <si>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</si>
  <si>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</si>
  <si>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</si>
  <si>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</si>
  <si>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</si>
  <si>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</si>
  <si>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</si>
  <si>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</si>
  <si>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</si>
  <si>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</si>
  <si>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</si>
  <si>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</si>
  <si>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</si>
  <si>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</si>
  <si>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</si>
  <si>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</si>
  <si>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</si>
  <si>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</si>
  <si>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</si>
  <si>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</si>
  <si>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</si>
  <si>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</si>
  <si>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</si>
  <si>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</si>
  <si>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</si>
  <si>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</si>
  <si>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</si>
  <si>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</si>
  <si>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</si>
  <si>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</si>
  <si>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</si>
  <si>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</si>
  <si>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</si>
  <si>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</si>
  <si>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</si>
  <si>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</si>
  <si>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</si>
  <si>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</si>
  <si>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</si>
  <si>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</si>
  <si>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</si>
  <si>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</si>
  <si>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</si>
  <si>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</si>
  <si>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</si>
  <si>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</si>
  <si>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</si>
  <si>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</si>
  <si>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</si>
  <si>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</si>
  <si>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</si>
  <si>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</si>
  <si>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</si>
  <si>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</si>
  <si>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</si>
  <si>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</si>
  <si>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</si>
  <si>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</si>
  <si>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</si>
  <si>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</si>
  <si>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</si>
  <si>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</si>
  <si>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</si>
  <si>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</si>
  <si>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</si>
  <si>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</si>
  <si>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</si>
  <si>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</si>
  <si>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</si>
  <si>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</si>
  <si>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</si>
  <si>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</si>
  <si>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</si>
  <si>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</si>
  <si>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</si>
  <si>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</si>
  <si>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</si>
  <si>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</si>
  <si>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</si>
  <si>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</si>
  <si>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</si>
  <si>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</si>
  <si>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</si>
  <si>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</si>
  <si>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</si>
  <si>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</si>
  <si>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</si>
  <si>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</si>
  <si>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</si>
  <si>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</si>
  <si>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Pressure Swing Adsorption Process Flow Diagram (PFD)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</si>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</sst>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74" dataDxfId="72" headerRowBorderDxfId="73" tableBorderDxfId="71" totalsRowBorderDxfId="70">
  <autoFilter ref="B9:K13" xr:uid="{B089C5C3-2CCE-4800-96CA-2131BB6E3E4F}"/>
  <tableColumns count="10">
    <tableColumn id="1" xr3:uid="{3E4F27FA-9CCD-488C-9FFE-8189DF89B2B5}" name="Variable" dataDxfId="69"/>
    <tableColumn id="4" xr3:uid="{4D38B92D-B1E9-4DDE-B914-6A4E9DB63C9E}" name="Value" dataDxfId="68"/>
    <tableColumn id="5" xr3:uid="{DE2ACEA5-F459-4C5B-ADEC-6214F75935FA}" name="Unit" dataDxfId="67"/>
    <tableColumn id="6" xr3:uid="{BBE9846A-4956-4FAF-848B-0B1F56311296}" name="Comparisons" dataDxfId="66"/>
    <tableColumn id="7" xr3:uid="{7604F104-935C-4D6C-98BF-97589769DD42}" name="Variable Type" dataDxfId="65"/>
    <tableColumn id="8" xr3:uid="{7D3892CD-8765-4699-977F-B3AA8A9AB120}" name="Dependency" dataDxfId="64"/>
    <tableColumn id="12" xr3:uid="{161D2FD1-7A78-4D8E-8024-885B20FF313F}" name="Test 1" dataDxfId="63"/>
    <tableColumn id="10" xr3:uid="{1AA44E52-6629-487F-B43F-5CEC7D36BB2A}" name="Test 2" dataDxfId="62"/>
    <tableColumn id="2" xr3:uid="{6AF5B301-E925-40CD-B0FD-ED73E5B71C10}" name="Test 3" dataDxfId="61"/>
    <tableColumn id="9" xr3:uid="{29E572B6-C772-4761-B1A5-7C1BBC5A9A8E}" name="Description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59" dataDxfId="57" headerRowBorderDxfId="58" tableBorderDxfId="56" totalsRowBorderDxfId="55">
  <autoFilter ref="B9:K13" xr:uid="{B089C5C3-2CCE-4800-96CA-2131BB6E3E4F}"/>
  <tableColumns count="10">
    <tableColumn id="1" xr3:uid="{33A6A58D-364D-4A35-922C-DE212771E5A3}" name="Variable" dataDxfId="54"/>
    <tableColumn id="4" xr3:uid="{941C2A7D-BF3F-418E-B42D-DD80A4DE2A81}" name="Value" dataDxfId="53"/>
    <tableColumn id="5" xr3:uid="{C4E86D48-03E8-46FA-B8CA-6F5D6C6A2D12}" name="Unit" dataDxfId="52"/>
    <tableColumn id="6" xr3:uid="{665361F6-20BF-415D-BBF1-F45B832A29DE}" name="Comparisons" dataDxfId="51"/>
    <tableColumn id="7" xr3:uid="{F7A189BB-30E4-471C-9393-FF44966433C9}" name="Variable Type" dataDxfId="50"/>
    <tableColumn id="8" xr3:uid="{536CEEB4-5D6D-4FC9-B347-8D4F6CE10C67}" name="Dependency" dataDxfId="49"/>
    <tableColumn id="12" xr3:uid="{41F5DBE5-C5A3-4D63-A4BF-9774F11F14D3}" name="Test 1" dataDxfId="48"/>
    <tableColumn id="10" xr3:uid="{75ACAF5C-BDFE-45DE-AD7B-8EA0171A905D}" name="Test 2" dataDxfId="47"/>
    <tableColumn id="2" xr3:uid="{E0C16DCE-CCB9-4239-B5AF-7F90FE1422EF}" name="Test 3" dataDxfId="46"/>
    <tableColumn id="9" xr3:uid="{11A90378-9784-4E77-9A9A-BDE1BD80CAC4}" name="Description" dataDxfId="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44" dataDxfId="42" headerRowBorderDxfId="43" tableBorderDxfId="41" totalsRowBorderDxfId="40">
  <autoFilter ref="B9:K14" xr:uid="{B089C5C3-2CCE-4800-96CA-2131BB6E3E4F}"/>
  <tableColumns count="10">
    <tableColumn id="1" xr3:uid="{897C7A45-3F96-4FAD-9D88-64BEDA59EE04}" name="Variable" dataDxfId="39"/>
    <tableColumn id="4" xr3:uid="{AC44F3C7-74B4-4404-BA30-07059568F4CD}" name="Value" dataDxfId="38"/>
    <tableColumn id="5" xr3:uid="{6083DF57-24E4-4D4A-B84A-AB4CE9566C0A}" name="Unit" dataDxfId="37"/>
    <tableColumn id="6" xr3:uid="{7B5B4F38-11BC-48C2-B29A-22FAFA39A76A}" name="Comparisons" dataDxfId="36"/>
    <tableColumn id="7" xr3:uid="{687831A6-7122-45C8-9279-6A017FA30571}" name="Variable Type" dataDxfId="35"/>
    <tableColumn id="8" xr3:uid="{F0D98687-63CA-49F2-A0F5-F43443FEED82}" name="Dependency" dataDxfId="34"/>
    <tableColumn id="12" xr3:uid="{57EFF7D5-281B-4073-9550-73D369BA3603}" name="Test 1" dataDxfId="33"/>
    <tableColumn id="10" xr3:uid="{886EC4A5-54AE-4612-B5FF-8B6E7B32A853}" name="Test 2" dataDxfId="32"/>
    <tableColumn id="2" xr3:uid="{C5B5DD0C-C82D-4FD9-A165-974B4B54478C}" name="Test 3" dataDxfId="31"/>
    <tableColumn id="9" xr3:uid="{E8B12666-0292-4BAB-9166-E185CB24DBFE}" name="Description" dataDxfId="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47" hidden="1" customWidth="1"/>
    <col min="3" max="3" width="2.5" style="47" customWidth="1"/>
    <col min="4" max="4" width="13.83203125" style="47" customWidth="1"/>
    <col min="5" max="5" width="51.33203125" style="48" bestFit="1" customWidth="1"/>
    <col min="6" max="6" width="15.83203125" style="49" bestFit="1" customWidth="1"/>
    <col min="7" max="9" width="13.33203125" style="47" customWidth="1"/>
    <col min="10" max="10" width="48.83203125" style="47" customWidth="1"/>
    <col min="11" max="11" width="2.5" style="47" customWidth="1"/>
    <col min="12" max="12" width="0" style="47" hidden="1" customWidth="1"/>
    <col min="13" max="16384" width="9" style="47" hidden="1"/>
  </cols>
  <sheetData>
    <row r="3" spans="4:10" ht="15" x14ac:dyDescent="0.2"/>
    <row r="4" spans="4:10" ht="19" x14ac:dyDescent="0.25">
      <c r="D4" s="50" t="s">
        <v>121</v>
      </c>
      <c r="E4" s="51"/>
      <c r="F4" s="52"/>
      <c r="G4" s="53"/>
      <c r="H4" s="53"/>
      <c r="I4" s="53"/>
      <c r="J4" s="36" t="s">
        <v>86</v>
      </c>
    </row>
    <row r="5" spans="4:10" ht="40" x14ac:dyDescent="0.2">
      <c r="D5" s="73" t="s">
        <v>39</v>
      </c>
      <c r="E5" s="73"/>
      <c r="F5" s="73"/>
      <c r="G5" s="73"/>
      <c r="H5" s="73"/>
      <c r="I5" s="73"/>
      <c r="J5" s="73"/>
    </row>
    <row r="6" spans="4:10" ht="20" x14ac:dyDescent="0.2">
      <c r="D6" s="54" t="s">
        <v>33</v>
      </c>
      <c r="E6" s="54" t="s">
        <v>120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40" x14ac:dyDescent="0.2">
      <c r="D7" s="55">
        <v>1</v>
      </c>
      <c r="E7" s="56" t="s">
        <v>122</v>
      </c>
      <c r="F7" s="57">
        <v>44720</v>
      </c>
      <c r="G7" s="55" t="s">
        <v>40</v>
      </c>
      <c r="H7" s="55"/>
      <c r="I7" s="55"/>
      <c r="J7" s="56"/>
    </row>
    <row r="8" spans="4:10" ht="19" x14ac:dyDescent="0.2">
      <c r="D8" s="55">
        <v>2</v>
      </c>
      <c r="E8" s="56"/>
      <c r="F8" s="57"/>
      <c r="G8" s="55"/>
      <c r="H8" s="55"/>
      <c r="I8" s="55"/>
      <c r="J8" s="56"/>
    </row>
    <row r="9" spans="4:10" ht="19" x14ac:dyDescent="0.2">
      <c r="D9" s="55">
        <v>3</v>
      </c>
      <c r="E9" s="56"/>
      <c r="F9" s="57"/>
      <c r="G9" s="55"/>
      <c r="H9" s="55"/>
      <c r="I9" s="55"/>
      <c r="J9" s="56"/>
    </row>
    <row r="10" spans="4:10" ht="19" x14ac:dyDescent="0.2">
      <c r="D10" s="55">
        <v>4</v>
      </c>
      <c r="E10" s="56"/>
      <c r="F10" s="57"/>
      <c r="G10" s="55"/>
      <c r="H10" s="55"/>
      <c r="I10" s="55"/>
      <c r="J10" s="56"/>
    </row>
    <row r="11" spans="4:10" ht="19" x14ac:dyDescent="0.2">
      <c r="D11" s="55">
        <v>5</v>
      </c>
      <c r="E11" s="56"/>
      <c r="F11" s="57"/>
      <c r="G11" s="55"/>
      <c r="H11" s="55"/>
      <c r="I11" s="55"/>
      <c r="J11" s="56"/>
    </row>
    <row r="12" spans="4:10" ht="19" x14ac:dyDescent="0.2">
      <c r="D12" s="55">
        <v>6</v>
      </c>
      <c r="E12" s="56"/>
      <c r="F12" s="57"/>
      <c r="G12" s="55"/>
      <c r="H12" s="55"/>
      <c r="I12" s="55"/>
      <c r="J12" s="56"/>
    </row>
    <row r="13" spans="4:10" ht="19" x14ac:dyDescent="0.2">
      <c r="D13" s="55">
        <v>7</v>
      </c>
      <c r="E13" s="56"/>
      <c r="F13" s="57"/>
      <c r="G13" s="55"/>
      <c r="H13" s="55"/>
      <c r="I13" s="55"/>
      <c r="J13" s="56"/>
    </row>
    <row r="14" spans="4:10" ht="19" x14ac:dyDescent="0.2">
      <c r="D14" s="55">
        <v>8</v>
      </c>
      <c r="E14" s="56"/>
      <c r="F14" s="57"/>
      <c r="G14" s="55"/>
      <c r="H14" s="55"/>
      <c r="I14" s="55"/>
      <c r="J14" s="56"/>
    </row>
    <row r="15" spans="4:10" ht="19" x14ac:dyDescent="0.2">
      <c r="D15" s="55">
        <v>9</v>
      </c>
      <c r="E15" s="56"/>
      <c r="F15" s="57"/>
      <c r="G15" s="55"/>
      <c r="H15" s="55"/>
      <c r="I15" s="55"/>
      <c r="J15" s="56"/>
    </row>
    <row r="16" spans="4:10" ht="19" x14ac:dyDescent="0.2">
      <c r="D16" s="55">
        <v>10</v>
      </c>
      <c r="E16" s="56"/>
      <c r="F16" s="57"/>
      <c r="G16" s="55"/>
      <c r="H16" s="55"/>
      <c r="I16" s="55"/>
      <c r="J16" s="58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B2" sqref="B2:K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IF(COUNTIF(Table11024122[Test 3],1)=COUNTA(Table11024122[Value]),"Ready","Not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32" x14ac:dyDescent="0.2">
      <c r="B10" s="40" t="s">
        <v>106</v>
      </c>
      <c r="C10" s="32">
        <v>1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107</v>
      </c>
    </row>
    <row r="11" spans="2:11" ht="16" x14ac:dyDescent="0.2">
      <c r="B11" s="46" t="s">
        <v>110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105</v>
      </c>
    </row>
    <row r="12" spans="2:11" ht="16" x14ac:dyDescent="0.2">
      <c r="B12" s="4" t="s">
        <v>87</v>
      </c>
      <c r="C12" s="32">
        <v>3.3941656669286671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88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selectLockedCells="1"/>
  <mergeCells count="2">
    <mergeCell ref="B3:K3"/>
    <mergeCell ref="K4:K8"/>
  </mergeCells>
  <conditionalFormatting sqref="C13">
    <cfRule type="expression" dxfId="29" priority="37">
      <formula>IF(AND($C13&lt;&gt;"",$J13=0),1,0)</formula>
    </cfRule>
    <cfRule type="expression" dxfId="28" priority="38">
      <formula>IF($C13&lt;&gt;"",1,0)</formula>
    </cfRule>
    <cfRule type="expression" dxfId="27" priority="39">
      <formula>$J13=0</formula>
    </cfRule>
  </conditionalFormatting>
  <conditionalFormatting sqref="C10">
    <cfRule type="expression" dxfId="26" priority="28">
      <formula>IF(AND($C10&lt;&gt;"",$J10=0),1,0)</formula>
    </cfRule>
    <cfRule type="expression" dxfId="25" priority="29">
      <formula>IF($C10&lt;&gt;"",1,0)</formula>
    </cfRule>
    <cfRule type="expression" dxfId="24" priority="30">
      <formula>$J10=0</formula>
    </cfRule>
  </conditionalFormatting>
  <conditionalFormatting sqref="C11">
    <cfRule type="expression" dxfId="23" priority="4">
      <formula>IF(AND($C11&lt;&gt;"",$J11=0),1,0)</formula>
    </cfRule>
    <cfRule type="expression" dxfId="22" priority="5">
      <formula>IF($C11&lt;&gt;"",1,0)</formula>
    </cfRule>
    <cfRule type="expression" dxfId="21" priority="6">
      <formula>$J11=0</formula>
    </cfRule>
  </conditionalFormatting>
  <conditionalFormatting sqref="C12">
    <cfRule type="expression" dxfId="20" priority="1">
      <formula>IF(AND($C12&lt;&gt;"",$J12=0),1,0)</formula>
    </cfRule>
    <cfRule type="expression" dxfId="19" priority="2">
      <formula>IF($C12&lt;&gt;"",1,0)</formula>
    </cfRule>
    <cfRule type="expression" dxfId="18" priority="3">
      <formula>$J12=0</formula>
    </cfRule>
  </conditionalFormatting>
  <conditionalFormatting sqref="K4">
    <cfRule type="expression" dxfId="17" priority="2243">
      <formula>IF(COUNTA($C$10:$C$13)&lt;&gt;COUNTIF($J$10:$J$13,1),1,0)</formula>
    </cfRule>
    <cfRule type="expression" dxfId="16" priority="2244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B2" sqref="B2:K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IF(COUNTIF(Table11024123[Test 3],1)=COUNTA(Table11024123[Value]),"Ready","Not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127</v>
      </c>
      <c r="C10" s="32">
        <v>20</v>
      </c>
      <c r="D10" s="35" t="s">
        <v>69</v>
      </c>
      <c r="E10" s="45" t="s">
        <v>94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96</v>
      </c>
    </row>
    <row r="11" spans="2:11" ht="16" x14ac:dyDescent="0.2">
      <c r="B11" s="46" t="s">
        <v>128</v>
      </c>
      <c r="C11" s="32">
        <v>20.5</v>
      </c>
      <c r="D11" s="35" t="s">
        <v>69</v>
      </c>
      <c r="E11" s="45" t="s">
        <v>94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97</v>
      </c>
    </row>
    <row r="12" spans="2:11" ht="16" x14ac:dyDescent="0.2">
      <c r="B12" s="46" t="s">
        <v>129</v>
      </c>
      <c r="C12" s="32">
        <v>33.800769771555913</v>
      </c>
      <c r="D12" s="35" t="s">
        <v>69</v>
      </c>
      <c r="E12" s="45" t="s">
        <v>94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98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selectLockedCells="1"/>
  <mergeCells count="2">
    <mergeCell ref="B3:K3"/>
    <mergeCell ref="K4:K8"/>
  </mergeCells>
  <conditionalFormatting sqref="C10:C13">
    <cfRule type="expression" dxfId="15" priority="28">
      <formula>IF(AND($C10&lt;&gt;"",$J10=0),1,0)</formula>
    </cfRule>
    <cfRule type="expression" dxfId="14" priority="29">
      <formula>IF($C10&lt;&gt;"",1,0)</formula>
    </cfRule>
    <cfRule type="expression" dxfId="13" priority="30">
      <formula>$J10=0</formula>
    </cfRule>
  </conditionalFormatting>
  <conditionalFormatting sqref="K4">
    <cfRule type="expression" dxfId="12" priority="2245">
      <formula>IF(COUNTA($C$10:$C$13)&lt;&gt;COUNTIF($J$10:$J$13,1),1,0)</formula>
    </cfRule>
    <cfRule type="expression" dxfId="11" priority="2246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4" sqref="C14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74" t="s">
        <v>32</v>
      </c>
      <c r="C3" s="75"/>
      <c r="D3" s="75"/>
      <c r="E3" s="75"/>
      <c r="F3" s="75"/>
      <c r="G3" s="75"/>
      <c r="H3" s="75"/>
      <c r="I3" s="75"/>
      <c r="J3" s="75"/>
      <c r="K3" s="76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7" t="str">
        <f>IF(COUNTIF(Table1102412[Test 3],1)=COUNTA(Table1102412[Value]),"Ready","Not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8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8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8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9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32" x14ac:dyDescent="0.2">
      <c r="B10" s="44" t="s">
        <v>130</v>
      </c>
      <c r="C10" s="32">
        <v>10</v>
      </c>
      <c r="D10" s="35" t="s">
        <v>95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99</v>
      </c>
    </row>
    <row r="11" spans="2:11" ht="32" x14ac:dyDescent="0.2">
      <c r="B11" s="44" t="s">
        <v>131</v>
      </c>
      <c r="C11" s="32">
        <v>12</v>
      </c>
      <c r="D11" s="35" t="s">
        <v>95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100</v>
      </c>
    </row>
    <row r="12" spans="2:11" ht="32" x14ac:dyDescent="0.2">
      <c r="B12" s="39" t="s">
        <v>132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99</v>
      </c>
    </row>
    <row r="13" spans="2:11" ht="32" x14ac:dyDescent="0.2">
      <c r="B13" s="39" t="s">
        <v>133</v>
      </c>
      <c r="C13" s="32">
        <v>502.32</v>
      </c>
      <c r="D13" s="35" t="s">
        <v>104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100</v>
      </c>
    </row>
    <row r="14" spans="2:11" ht="16" x14ac:dyDescent="0.2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QMy5OMt1qKp8cRlwwfX/BIB5AYvhn1nWhzYC6oOIR/qCmy/Q4K1FcS55vK+o2n9bkpx0b5fI/GdMqzqdV8jatA==" saltValue="Z0UM2e0hpTEwnnzCxFgLzQ==" spinCount="100000" sheet="1" objects="1" scenarios="1" selectLockedCells="1"/>
  <mergeCells count="2">
    <mergeCell ref="B3:K3"/>
    <mergeCell ref="K4:K8"/>
  </mergeCells>
  <conditionalFormatting sqref="C14">
    <cfRule type="expression" dxfId="10" priority="88">
      <formula>IF(AND($C14&lt;&gt;"",$J14=0),1,0)</formula>
    </cfRule>
    <cfRule type="expression" dxfId="9" priority="89">
      <formula>IF($C14&lt;&gt;"",1,0)</formula>
    </cfRule>
    <cfRule type="expression" dxfId="8" priority="90">
      <formula>$J14=0</formula>
    </cfRule>
  </conditionalFormatting>
  <conditionalFormatting sqref="C12:C13">
    <cfRule type="expression" dxfId="7" priority="43">
      <formula>IF(AND($C12&lt;&gt;"",$J12=0),1,0)</formula>
    </cfRule>
    <cfRule type="expression" dxfId="6" priority="44">
      <formula>IF($C12&lt;&gt;"",1,0)</formula>
    </cfRule>
    <cfRule type="expression" dxfId="5" priority="45">
      <formula>$J12=0</formula>
    </cfRule>
  </conditionalFormatting>
  <conditionalFormatting sqref="C10:C11">
    <cfRule type="expression" dxfId="4" priority="1">
      <formula>IF(AND($C10&lt;&gt;"",$J10=0),1,0)</formula>
    </cfRule>
    <cfRule type="expression" dxfId="3" priority="2">
      <formula>IF($C10&lt;&gt;"",1,0)</formula>
    </cfRule>
    <cfRule type="expression" dxfId="2" priority="3">
      <formula>$J10=0</formula>
    </cfRule>
  </conditionalFormatting>
  <conditionalFormatting sqref="K4">
    <cfRule type="expression" dxfId="1" priority="2247">
      <formula>IF(COUNTA($C$10:$C$14)&lt;&gt;COUNTIF($J$10:$J$14,1),1,0)</formula>
    </cfRule>
    <cfRule type="expression" dxfId="0" priority="2248">
      <formula>IF(COUNTA($C$10:$C$14)=COUNTIF($J$10:$J$14,1),1,0)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/>
    </sheetView>
  </sheetViews>
  <sheetFormatPr baseColWidth="10" defaultColWidth="0" defaultRowHeight="0" customHeight="1" zeroHeight="1" x14ac:dyDescent="0.2"/>
  <cols>
    <col min="1" max="2" width="8.83203125" style="62" customWidth="1"/>
    <col min="3" max="3" width="13.1640625" style="62" customWidth="1"/>
    <col min="4" max="4" width="13.5" style="62" customWidth="1"/>
    <col min="5" max="6" width="8.83203125" style="62" customWidth="1"/>
    <col min="7" max="7" width="14.8320312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5" style="62" customWidth="1"/>
    <col min="12" max="17" width="8.83203125" style="62" customWidth="1"/>
    <col min="18" max="16384" width="8.83203125" style="62" hidden="1"/>
  </cols>
  <sheetData>
    <row r="1" spans="1:17" ht="15" x14ac:dyDescent="0.2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'[2]Revision History'!$J$4</f>
        <v>Scott Research Group (jkscottresearchgroup.com)</v>
      </c>
    </row>
    <row r="2" spans="1:17" ht="15" x14ac:dyDescent="0.2">
      <c r="A2" s="80" t="s">
        <v>125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</row>
    <row r="3" spans="1:17" ht="15" x14ac:dyDescent="0.2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5" x14ac:dyDescent="0.2">
      <c r="A4" s="63"/>
      <c r="B4" s="64" t="s">
        <v>123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5" x14ac:dyDescent="0.2">
      <c r="A5" s="63"/>
      <c r="B5" s="65"/>
      <c r="C5" s="64" t="s">
        <v>126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</row>
    <row r="6" spans="1:17" ht="15" x14ac:dyDescent="0.2">
      <c r="A6" s="63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5" x14ac:dyDescent="0.2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5" x14ac:dyDescent="0.2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5" x14ac:dyDescent="0.2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5" x14ac:dyDescent="0.2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5" x14ac:dyDescent="0.2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5" x14ac:dyDescent="0.2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5" x14ac:dyDescent="0.2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5" x14ac:dyDescent="0.2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5" x14ac:dyDescent="0.2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5" x14ac:dyDescent="0.2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5" x14ac:dyDescent="0.2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5" x14ac:dyDescent="0.2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5" x14ac:dyDescent="0.2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5" x14ac:dyDescent="0.2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5" x14ac:dyDescent="0.2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5" x14ac:dyDescent="0.2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5" x14ac:dyDescent="0.2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5" x14ac:dyDescent="0.2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5" x14ac:dyDescent="0.2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5" x14ac:dyDescent="0.2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5" x14ac:dyDescent="0.2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5" x14ac:dyDescent="0.2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5" x14ac:dyDescent="0.2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5" x14ac:dyDescent="0.2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5" x14ac:dyDescent="0.2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5" x14ac:dyDescent="0.2">
      <c r="A32" s="63"/>
      <c r="B32" s="65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5" x14ac:dyDescent="0.2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  <row r="34" spans="1:17" ht="15" x14ac:dyDescent="0.2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E4A3D-7B8A-46A2-9579-1884F1D8693B}">
  <sheetPr codeName="Sheet2">
    <tabColor rgb="FF00B050"/>
  </sheetPr>
  <dimension ref="A1:AV52"/>
  <sheetViews>
    <sheetView showGridLines="0" zoomScale="85" zoomScaleNormal="85" zoomScaleSheetLayoutView="55" workbookViewId="0">
      <selection activeCell="C7" sqref="C7"/>
    </sheetView>
  </sheetViews>
  <sheetFormatPr baseColWidth="10" defaultColWidth="0" defaultRowHeight="14.5" customHeight="1" zeroHeight="1" x14ac:dyDescent="0.2"/>
  <cols>
    <col min="1" max="18" width="8.83203125" style="66" customWidth="1"/>
    <col min="19" max="48" width="0" style="66" hidden="1" customWidth="1"/>
    <col min="49" max="16384" width="8.83203125" style="66" hidden="1"/>
  </cols>
  <sheetData>
    <row r="1" spans="1:18" ht="15" x14ac:dyDescent="0.2">
      <c r="A1" s="59" t="str">
        <f>'[1]Revision History'!D4</f>
        <v>REV. NO.1 (6/8/2022)</v>
      </c>
      <c r="B1" s="60"/>
      <c r="C1" s="60"/>
      <c r="D1" s="60"/>
      <c r="E1" s="60"/>
      <c r="F1" s="60"/>
      <c r="G1" s="60"/>
      <c r="H1" s="60"/>
      <c r="I1" s="60"/>
      <c r="J1" s="61"/>
      <c r="K1" s="61"/>
      <c r="L1" s="61"/>
      <c r="M1" s="61"/>
      <c r="N1" s="61"/>
      <c r="O1" s="61"/>
      <c r="P1" s="61"/>
      <c r="Q1" s="61"/>
      <c r="R1" s="61" t="str">
        <f>'[2]Revision History'!$J$4</f>
        <v>Scott Research Group (jkscottresearchgroup.com)</v>
      </c>
    </row>
    <row r="2" spans="1:18" ht="15" x14ac:dyDescent="0.2">
      <c r="A2" s="67" t="s">
        <v>124</v>
      </c>
      <c r="B2" s="68"/>
      <c r="C2" s="68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70"/>
    </row>
    <row r="3" spans="1:18" ht="15" x14ac:dyDescent="0.2">
      <c r="A3" s="63"/>
      <c r="B3" s="64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2"/>
    </row>
    <row r="4" spans="1:18" ht="15" x14ac:dyDescent="0.2">
      <c r="A4" s="63"/>
      <c r="B4" s="64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2"/>
    </row>
    <row r="5" spans="1:18" ht="15" x14ac:dyDescent="0.2">
      <c r="A5" s="63"/>
      <c r="B5" s="64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2"/>
    </row>
    <row r="6" spans="1:18" ht="15" x14ac:dyDescent="0.2">
      <c r="A6" s="63"/>
      <c r="B6" s="64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2"/>
    </row>
    <row r="7" spans="1:18" ht="15" x14ac:dyDescent="0.2">
      <c r="A7" s="63"/>
      <c r="B7" s="64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2"/>
    </row>
    <row r="8" spans="1:18" ht="15" x14ac:dyDescent="0.2">
      <c r="A8" s="63"/>
      <c r="B8" s="64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18" ht="15" x14ac:dyDescent="0.2">
      <c r="A9" s="63"/>
      <c r="B9" s="64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2"/>
    </row>
    <row r="10" spans="1:18" ht="15" x14ac:dyDescent="0.2">
      <c r="A10" s="63"/>
      <c r="B10" s="64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2"/>
    </row>
    <row r="11" spans="1:18" ht="15" x14ac:dyDescent="0.2">
      <c r="A11" s="63"/>
      <c r="B11" s="64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 ht="15" x14ac:dyDescent="0.2">
      <c r="A12" s="63"/>
      <c r="B12" s="64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2"/>
    </row>
    <row r="13" spans="1:18" ht="15" x14ac:dyDescent="0.2">
      <c r="A13" s="63"/>
      <c r="B13" s="64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2"/>
    </row>
    <row r="14" spans="1:18" ht="15" x14ac:dyDescent="0.2">
      <c r="A14" s="63"/>
      <c r="B14" s="64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2"/>
    </row>
    <row r="15" spans="1:18" ht="15" x14ac:dyDescent="0.2">
      <c r="A15" s="63"/>
      <c r="B15" s="64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2"/>
    </row>
    <row r="16" spans="1:18" ht="15" x14ac:dyDescent="0.2">
      <c r="A16" s="63"/>
      <c r="B16" s="64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2"/>
    </row>
    <row r="17" spans="1:18" ht="15" x14ac:dyDescent="0.2">
      <c r="A17" s="63"/>
      <c r="B17" s="64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2"/>
    </row>
    <row r="18" spans="1:18" ht="15" x14ac:dyDescent="0.2">
      <c r="A18" s="63"/>
      <c r="B18" s="64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2"/>
    </row>
    <row r="19" spans="1:18" ht="15" x14ac:dyDescent="0.2">
      <c r="A19" s="63"/>
      <c r="B19" s="64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2"/>
    </row>
    <row r="20" spans="1:18" ht="15" x14ac:dyDescent="0.2">
      <c r="A20" s="63"/>
      <c r="B20" s="64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2"/>
    </row>
    <row r="21" spans="1:18" ht="15" x14ac:dyDescent="0.2">
      <c r="A21" s="63"/>
      <c r="B21" s="64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2"/>
    </row>
    <row r="22" spans="1:18" ht="15" x14ac:dyDescent="0.2">
      <c r="A22" s="63"/>
      <c r="B22" s="64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2"/>
    </row>
    <row r="23" spans="1:18" ht="15" x14ac:dyDescent="0.2">
      <c r="A23" s="63"/>
      <c r="B23" s="64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2"/>
    </row>
    <row r="24" spans="1:18" ht="15" x14ac:dyDescent="0.2">
      <c r="A24" s="63"/>
      <c r="B24" s="64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</row>
    <row r="25" spans="1:18" ht="15" x14ac:dyDescent="0.2">
      <c r="A25" s="63"/>
      <c r="B25" s="64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2"/>
    </row>
    <row r="26" spans="1:18" ht="15" x14ac:dyDescent="0.2">
      <c r="A26" s="63"/>
      <c r="B26" s="64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2"/>
    </row>
    <row r="27" spans="1:18" ht="15" x14ac:dyDescent="0.2">
      <c r="A27" s="63"/>
      <c r="B27" s="64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2"/>
    </row>
    <row r="28" spans="1:18" ht="15" x14ac:dyDescent="0.2">
      <c r="A28" s="63"/>
      <c r="B28" s="64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2"/>
    </row>
    <row r="29" spans="1:18" ht="15" x14ac:dyDescent="0.2">
      <c r="A29" s="63"/>
      <c r="B29" s="64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2"/>
    </row>
    <row r="30" spans="1:18" ht="15" x14ac:dyDescent="0.2">
      <c r="A30" s="63"/>
      <c r="B30" s="64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2"/>
    </row>
    <row r="31" spans="1:18" ht="15" x14ac:dyDescent="0.2">
      <c r="A31" s="63"/>
      <c r="B31" s="64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2"/>
    </row>
    <row r="32" spans="1:18" ht="15" x14ac:dyDescent="0.2">
      <c r="A32" s="63"/>
      <c r="B32" s="64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2"/>
    </row>
    <row r="33" spans="1:18" ht="15" x14ac:dyDescent="0.2">
      <c r="A33" s="63"/>
      <c r="B33" s="64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2"/>
    </row>
    <row r="34" spans="1:18" ht="15" x14ac:dyDescent="0.2">
      <c r="A34" s="63"/>
      <c r="B34" s="64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2"/>
    </row>
    <row r="35" spans="1:18" ht="15" x14ac:dyDescent="0.2">
      <c r="A35" s="63"/>
      <c r="B35" s="64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2"/>
    </row>
    <row r="36" spans="1:18" ht="15" x14ac:dyDescent="0.2">
      <c r="A36" s="63"/>
      <c r="B36" s="64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2"/>
    </row>
    <row r="37" spans="1:18" ht="15" x14ac:dyDescent="0.2">
      <c r="A37" s="63"/>
      <c r="B37" s="64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2"/>
    </row>
    <row r="38" spans="1:18" ht="15" x14ac:dyDescent="0.2">
      <c r="A38" s="63"/>
      <c r="B38" s="64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2"/>
    </row>
    <row r="39" spans="1:18" ht="15" x14ac:dyDescent="0.2">
      <c r="A39" s="63"/>
      <c r="B39" s="64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2"/>
    </row>
    <row r="40" spans="1:18" ht="15" x14ac:dyDescent="0.2">
      <c r="A40" s="63"/>
      <c r="B40" s="64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2"/>
    </row>
    <row r="41" spans="1:18" ht="15" x14ac:dyDescent="0.2">
      <c r="A41" s="63"/>
      <c r="B41" s="64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2"/>
    </row>
    <row r="42" spans="1:18" ht="15" x14ac:dyDescent="0.2">
      <c r="A42" s="63"/>
      <c r="B42" s="64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2"/>
    </row>
    <row r="43" spans="1:18" ht="15" x14ac:dyDescent="0.2">
      <c r="A43" s="63"/>
      <c r="B43" s="64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2"/>
    </row>
    <row r="44" spans="1:18" ht="15" x14ac:dyDescent="0.2">
      <c r="A44" s="63"/>
      <c r="B44" s="64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2"/>
    </row>
    <row r="45" spans="1:18" ht="15" x14ac:dyDescent="0.2">
      <c r="A45" s="63"/>
      <c r="B45" s="64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2"/>
    </row>
    <row r="46" spans="1:18" ht="15" x14ac:dyDescent="0.2">
      <c r="A46" s="63"/>
      <c r="B46" s="64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2"/>
    </row>
    <row r="47" spans="1:18" ht="15" x14ac:dyDescent="0.2">
      <c r="A47" s="63"/>
      <c r="B47" s="64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2"/>
    </row>
    <row r="48" spans="1:18" ht="15" x14ac:dyDescent="0.2">
      <c r="A48" s="63"/>
      <c r="B48" s="64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2"/>
    </row>
    <row r="49" spans="1:18" ht="15" x14ac:dyDescent="0.2">
      <c r="A49" s="63"/>
      <c r="B49" s="6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2"/>
    </row>
    <row r="50" spans="1:18" ht="15" x14ac:dyDescent="0.2">
      <c r="A50" s="63"/>
      <c r="B50" s="64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2"/>
    </row>
    <row r="51" spans="1:18" ht="15" x14ac:dyDescent="0.2">
      <c r="A51" s="63"/>
      <c r="B51" s="64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  <row r="52" spans="1:18" ht="15" x14ac:dyDescent="0.2">
      <c r="A52" s="63"/>
      <c r="B52" s="64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127</v>
      </c>
      <c r="F1" t="s">
        <v>128</v>
      </c>
      <c r="G1" t="s">
        <v>129</v>
      </c>
      <c r="H1" t="s">
        <v>79</v>
      </c>
      <c r="I1" t="s">
        <v>130</v>
      </c>
      <c r="J1" t="s">
        <v>131</v>
      </c>
      <c r="K1" t="s">
        <v>132</v>
      </c>
      <c r="L1" t="s">
        <v>133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127</v>
      </c>
      <c r="F1" t="s">
        <v>128</v>
      </c>
      <c r="G1" t="s">
        <v>129</v>
      </c>
      <c r="H1" t="s">
        <v>79</v>
      </c>
      <c r="I1" t="s">
        <v>130</v>
      </c>
      <c r="J1" t="s">
        <v>131</v>
      </c>
      <c r="K1" t="s">
        <v>132</v>
      </c>
      <c r="L1" t="s">
        <v>133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Help</vt:lpstr>
      <vt:lpstr>PFD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2022-08-01T15:22:47Z</dcterms:modified>
</cp:coreProperties>
</file>