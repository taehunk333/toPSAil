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6CE199E0-4B2C-9645-9320-FEA5E8623695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39" r:id="rId1"/>
    <sheet name="Reference" sheetId="2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31" l="1"/>
  <c r="B2" i="31"/>
  <c r="K2" i="43"/>
  <c r="B2" i="43"/>
  <c r="K2" i="40"/>
  <c r="B2" i="40"/>
  <c r="K4" i="43" l="1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<sst xmlns="http://schemas.openxmlformats.org/spreadsheetml/2006/main" count="243" uniqueCount="133">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</sst>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60" dataDxfId="58" headerRowBorderDxfId="59" tableBorderDxfId="57" totalsRowBorderDxfId="56">
  <autoFilter ref="B9:K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40" dataDxfId="38" headerRowBorderDxfId="39" tableBorderDxfId="37" totalsRowBorderDxfId="36">
  <autoFilter ref="B9:K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14" dataDxfId="12" headerRowBorderDxfId="13" tableBorderDxfId="11" totalsRowBorderDxfId="10">
  <autoFilter ref="B9:K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47" hidden="1" customWidth="1"/>
    <col min="3" max="3" width="2.5" style="47" customWidth="1"/>
    <col min="4" max="4" width="13.83203125" style="47" customWidth="1"/>
    <col min="5" max="5" width="51.33203125" style="48" bestFit="1" customWidth="1"/>
    <col min="6" max="6" width="15.83203125" style="49" bestFit="1" customWidth="1"/>
    <col min="7" max="9" width="13.33203125" style="47" customWidth="1"/>
    <col min="10" max="10" width="48.83203125" style="47" customWidth="1"/>
    <col min="11" max="11" width="2.5" style="47" customWidth="1"/>
    <col min="12" max="12" width="0" style="47" hidden="1" customWidth="1"/>
    <col min="13" max="16384" width="9" style="47" hidden="1"/>
  </cols>
  <sheetData>
    <row r="3" spans="4:10" ht="15" x14ac:dyDescent="0.2"/>
    <row r="4" spans="4:10" ht="19" x14ac:dyDescent="0.25">
      <c r="D4" s="50" t="s">
        <v>121</v>
      </c>
      <c r="E4" s="51"/>
      <c r="F4" s="52"/>
      <c r="G4" s="53"/>
      <c r="H4" s="53"/>
      <c r="I4" s="53"/>
      <c r="J4" s="36" t="s">
        <v>86</v>
      </c>
    </row>
    <row r="5" spans="4:10" ht="40" x14ac:dyDescent="0.2">
      <c r="D5" s="66" t="s">
        <v>39</v>
      </c>
      <c r="E5" s="66"/>
      <c r="F5" s="66"/>
      <c r="G5" s="66"/>
      <c r="H5" s="66"/>
      <c r="I5" s="66"/>
      <c r="J5" s="66"/>
    </row>
    <row r="6" spans="4:10" ht="20" x14ac:dyDescent="0.2">
      <c r="D6" s="54" t="s">
        <v>33</v>
      </c>
      <c r="E6" s="54" t="s">
        <v>120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40" x14ac:dyDescent="0.2">
      <c r="D7" s="55">
        <v>1</v>
      </c>
      <c r="E7" s="56" t="s">
        <v>122</v>
      </c>
      <c r="F7" s="57">
        <v>44720</v>
      </c>
      <c r="G7" s="55" t="s">
        <v>40</v>
      </c>
      <c r="H7" s="55"/>
      <c r="I7" s="55"/>
      <c r="J7" s="56"/>
    </row>
    <row r="8" spans="4:10" ht="19" x14ac:dyDescent="0.2">
      <c r="D8" s="55">
        <v>2</v>
      </c>
      <c r="E8" s="56"/>
      <c r="F8" s="57"/>
      <c r="G8" s="55"/>
      <c r="H8" s="55"/>
      <c r="I8" s="55"/>
      <c r="J8" s="56"/>
    </row>
    <row r="9" spans="4:10" ht="19" x14ac:dyDescent="0.2">
      <c r="D9" s="55">
        <v>3</v>
      </c>
      <c r="E9" s="56"/>
      <c r="F9" s="57"/>
      <c r="G9" s="55"/>
      <c r="H9" s="55"/>
      <c r="I9" s="55"/>
      <c r="J9" s="56"/>
    </row>
    <row r="10" spans="4:10" ht="19" x14ac:dyDescent="0.2">
      <c r="D10" s="55">
        <v>4</v>
      </c>
      <c r="E10" s="56"/>
      <c r="F10" s="57"/>
      <c r="G10" s="55"/>
      <c r="H10" s="55"/>
      <c r="I10" s="55"/>
      <c r="J10" s="56"/>
    </row>
    <row r="11" spans="4:10" ht="19" x14ac:dyDescent="0.2">
      <c r="D11" s="55">
        <v>5</v>
      </c>
      <c r="E11" s="56"/>
      <c r="F11" s="57"/>
      <c r="G11" s="55"/>
      <c r="H11" s="55"/>
      <c r="I11" s="55"/>
      <c r="J11" s="56"/>
    </row>
    <row r="12" spans="4:10" ht="19" x14ac:dyDescent="0.2">
      <c r="D12" s="55">
        <v>6</v>
      </c>
      <c r="E12" s="56"/>
      <c r="F12" s="57"/>
      <c r="G12" s="55"/>
      <c r="H12" s="55"/>
      <c r="I12" s="55"/>
      <c r="J12" s="56"/>
    </row>
    <row r="13" spans="4:10" ht="19" x14ac:dyDescent="0.2">
      <c r="D13" s="55">
        <v>7</v>
      </c>
      <c r="E13" s="56"/>
      <c r="F13" s="57"/>
      <c r="G13" s="55"/>
      <c r="H13" s="55"/>
      <c r="I13" s="55"/>
      <c r="J13" s="56"/>
    </row>
    <row r="14" spans="4:10" ht="19" x14ac:dyDescent="0.2">
      <c r="D14" s="55">
        <v>8</v>
      </c>
      <c r="E14" s="56"/>
      <c r="F14" s="57"/>
      <c r="G14" s="55"/>
      <c r="H14" s="55"/>
      <c r="I14" s="55"/>
      <c r="J14" s="56"/>
    </row>
    <row r="15" spans="4:10" ht="19" x14ac:dyDescent="0.2">
      <c r="D15" s="55">
        <v>9</v>
      </c>
      <c r="E15" s="56"/>
      <c r="F15" s="57"/>
      <c r="G15" s="55"/>
      <c r="H15" s="55"/>
      <c r="I15" s="55"/>
      <c r="J15" s="56"/>
    </row>
    <row r="16" spans="4:10" ht="19" x14ac:dyDescent="0.2">
      <c r="D16" s="55">
        <v>10</v>
      </c>
      <c r="E16" s="56"/>
      <c r="F16" s="57"/>
      <c r="G16" s="55"/>
      <c r="H16" s="55"/>
      <c r="I16" s="55"/>
      <c r="J16" s="58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B2" zoomScaleNormal="85" zoomScaleSheetLayoutView="85" workbookViewId="0">
      <pane ySplit="8" topLeftCell="A10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7" t="s">
        <v>32</v>
      </c>
      <c r="C3" s="68"/>
      <c r="D3" s="68"/>
      <c r="E3" s="68"/>
      <c r="F3" s="68"/>
      <c r="G3" s="68"/>
      <c r="H3" s="68"/>
      <c r="I3" s="68"/>
      <c r="J3" s="68"/>
      <c r="K3" s="69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0" t="str">
        <f>IF(COUNTIF(Table11024122[Test 3],1)=COUNTA(Table11024122[Value]),"Ready","Not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1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1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1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2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32" x14ac:dyDescent="0.2">
      <c r="B10" s="40" t="s">
        <v>106</v>
      </c>
      <c r="C10" s="32">
        <v>1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107</v>
      </c>
    </row>
    <row r="11" spans="2:11" ht="16" x14ac:dyDescent="0.2">
      <c r="B11" s="46" t="s">
        <v>110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105</v>
      </c>
    </row>
    <row r="12" spans="2:11" ht="16" x14ac:dyDescent="0.2">
      <c r="B12" s="4" t="s">
        <v>87</v>
      </c>
      <c r="C12" s="32">
        <v>3.3941656669286671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88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nXksDcFkHUIQc+8zuSiorfC1ysYSIfQvyP4VrHhQncAGL3msNFwD5+QppUJ9aBtDowr6lBVB9DrwkQNDrTp9bQ==" saltValue="JZq2+I73dtsc1u0eH05ZPg==" spinCount="100000" sheet="1" objects="1" scenarios="1" selectLockedCells="1"/>
  <mergeCells count="2">
    <mergeCell ref="B3:K3"/>
    <mergeCell ref="K4:K8"/>
  </mergeCells>
  <conditionalFormatting sqref="C13">
    <cfRule type="expression" dxfId="74" priority="37">
      <formula>IF(AND($C13&lt;&gt;"",$J13=0),1,0)</formula>
    </cfRule>
    <cfRule type="expression" dxfId="73" priority="38">
      <formula>IF($C13&lt;&gt;"",1,0)</formula>
    </cfRule>
    <cfRule type="expression" dxfId="72" priority="39">
      <formula>$J13=0</formula>
    </cfRule>
  </conditionalFormatting>
  <conditionalFormatting sqref="C10">
    <cfRule type="expression" dxfId="71" priority="28">
      <formula>IF(AND($C10&lt;&gt;"",$J10=0),1,0)</formula>
    </cfRule>
    <cfRule type="expression" dxfId="70" priority="29">
      <formula>IF($C10&lt;&gt;"",1,0)</formula>
    </cfRule>
    <cfRule type="expression" dxfId="69" priority="30">
      <formula>$J10=0</formula>
    </cfRule>
  </conditionalFormatting>
  <conditionalFormatting sqref="C11">
    <cfRule type="expression" dxfId="68" priority="4">
      <formula>IF(AND($C11&lt;&gt;"",$J11=0),1,0)</formula>
    </cfRule>
    <cfRule type="expression" dxfId="67" priority="5">
      <formula>IF($C11&lt;&gt;"",1,0)</formula>
    </cfRule>
    <cfRule type="expression" dxfId="66" priority="6">
      <formula>$J11=0</formula>
    </cfRule>
  </conditionalFormatting>
  <conditionalFormatting sqref="C12">
    <cfRule type="expression" dxfId="65" priority="1">
      <formula>IF(AND($C12&lt;&gt;"",$J12=0),1,0)</formula>
    </cfRule>
    <cfRule type="expression" dxfId="64" priority="2">
      <formula>IF($C12&lt;&gt;"",1,0)</formula>
    </cfRule>
    <cfRule type="expression" dxfId="63" priority="3">
      <formula>$J12=0</formula>
    </cfRule>
  </conditionalFormatting>
  <conditionalFormatting sqref="K4">
    <cfRule type="expression" dxfId="62" priority="2243">
      <formula>IF(COUNTA($C$10:$C$13)&lt;&gt;COUNTIF($J$10:$J$13,1),1,0)</formula>
    </cfRule>
    <cfRule type="expression" dxfId="61" priority="2244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4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B2" zoomScaleNormal="85" zoomScaleSheetLayoutView="85" workbookViewId="0">
      <pane ySplit="8" topLeftCell="A10" activePane="bottomLeft" state="frozen"/>
      <selection activeCell="C24" sqref="C24"/>
      <selection pane="bottomLeft" activeCell="C10" sqref="C1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7" t="s">
        <v>32</v>
      </c>
      <c r="C3" s="68"/>
      <c r="D3" s="68"/>
      <c r="E3" s="68"/>
      <c r="F3" s="68"/>
      <c r="G3" s="68"/>
      <c r="H3" s="68"/>
      <c r="I3" s="68"/>
      <c r="J3" s="68"/>
      <c r="K3" s="69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0" t="str">
        <f>IF(COUNTIF(Table11024123[Test 3],1)=COUNTA(Table11024123[Value]),"Ready","Not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1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1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1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2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126</v>
      </c>
      <c r="C10" s="32">
        <v>20</v>
      </c>
      <c r="D10" s="35" t="s">
        <v>69</v>
      </c>
      <c r="E10" s="45" t="s">
        <v>94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96</v>
      </c>
    </row>
    <row r="11" spans="2:11" ht="16" x14ac:dyDescent="0.2">
      <c r="B11" s="46" t="s">
        <v>127</v>
      </c>
      <c r="C11" s="32">
        <v>20.5</v>
      </c>
      <c r="D11" s="35" t="s">
        <v>69</v>
      </c>
      <c r="E11" s="45" t="s">
        <v>94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97</v>
      </c>
    </row>
    <row r="12" spans="2:11" ht="16" x14ac:dyDescent="0.2">
      <c r="B12" s="46" t="s">
        <v>128</v>
      </c>
      <c r="C12" s="32">
        <v>33.800769771555913</v>
      </c>
      <c r="D12" s="35" t="s">
        <v>69</v>
      </c>
      <c r="E12" s="45" t="s">
        <v>94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98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tOpvxdVM8V57aGP4zDiNm1c4wjXkSM363voNpWBOs58GdnzKN7+t3QZCRrhbskLsZtenajfQmyl4atih82tpBQ==" saltValue="f5FoqUhFmjHWjq0LzJdEFQ==" spinCount="100000" sheet="1" objects="1" scenarios="1" selectLockedCells="1"/>
  <mergeCells count="2">
    <mergeCell ref="B3:K3"/>
    <mergeCell ref="K4:K8"/>
  </mergeCells>
  <conditionalFormatting sqref="C10:C13">
    <cfRule type="expression" dxfId="45" priority="28">
      <formula>IF(AND($C10&lt;&gt;"",$J10=0),1,0)</formula>
    </cfRule>
    <cfRule type="expression" dxfId="44" priority="29">
      <formula>IF($C10&lt;&gt;"",1,0)</formula>
    </cfRule>
    <cfRule type="expression" dxfId="43" priority="30">
      <formula>$J10=0</formula>
    </cfRule>
  </conditionalFormatting>
  <conditionalFormatting sqref="K4">
    <cfRule type="expression" dxfId="42" priority="2245">
      <formula>IF(COUNTA($C$10:$C$13)&lt;&gt;COUNTIF($J$10:$J$13,1),1,0)</formula>
    </cfRule>
    <cfRule type="expression" dxfId="41" priority="2246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4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4" sqref="C14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7" t="s">
        <v>32</v>
      </c>
      <c r="C3" s="68"/>
      <c r="D3" s="68"/>
      <c r="E3" s="68"/>
      <c r="F3" s="68"/>
      <c r="G3" s="68"/>
      <c r="H3" s="68"/>
      <c r="I3" s="68"/>
      <c r="J3" s="68"/>
      <c r="K3" s="69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0" t="str">
        <f>IF(COUNTIF(Table1102412[Test 3],1)=COUNTA(Table1102412[Value]),"Ready","Not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1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1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1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2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32" x14ac:dyDescent="0.2">
      <c r="B10" s="44" t="s">
        <v>129</v>
      </c>
      <c r="C10" s="32">
        <v>10</v>
      </c>
      <c r="D10" s="35" t="s">
        <v>95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99</v>
      </c>
    </row>
    <row r="11" spans="2:11" ht="32" x14ac:dyDescent="0.2">
      <c r="B11" s="44" t="s">
        <v>130</v>
      </c>
      <c r="C11" s="32">
        <v>12</v>
      </c>
      <c r="D11" s="35" t="s">
        <v>95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100</v>
      </c>
    </row>
    <row r="12" spans="2:11" ht="32" x14ac:dyDescent="0.2">
      <c r="B12" s="39" t="s">
        <v>131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99</v>
      </c>
    </row>
    <row r="13" spans="2:11" ht="32" x14ac:dyDescent="0.2">
      <c r="B13" s="39" t="s">
        <v>132</v>
      </c>
      <c r="C13" s="32">
        <v>502.32</v>
      </c>
      <c r="D13" s="35" t="s">
        <v>104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100</v>
      </c>
    </row>
    <row r="14" spans="2:11" ht="16" x14ac:dyDescent="0.2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QMy5OMt1qKp8cRlwwfX/BIB5AYvhn1nWhzYC6oOIR/qCmy/Q4K1FcS55vK+o2n9bkpx0b5fI/GdMqzqdV8jatA==" saltValue="Z0UM2e0hpTEwnnzCxFgLzQ==" spinCount="100000" sheet="1" objects="1" scenarios="1" selectLockedCells="1"/>
  <mergeCells count="2">
    <mergeCell ref="B3:K3"/>
    <mergeCell ref="K4:K8"/>
  </mergeCells>
  <conditionalFormatting sqref="C14">
    <cfRule type="expression" dxfId="25" priority="88">
      <formula>IF(AND($C14&lt;&gt;"",$J14=0),1,0)</formula>
    </cfRule>
    <cfRule type="expression" dxfId="24" priority="89">
      <formula>IF($C14&lt;&gt;"",1,0)</formula>
    </cfRule>
    <cfRule type="expression" dxfId="23" priority="90">
      <formula>$J14=0</formula>
    </cfRule>
  </conditionalFormatting>
  <conditionalFormatting sqref="C12:C13">
    <cfRule type="expression" dxfId="22" priority="43">
      <formula>IF(AND($C12&lt;&gt;"",$J12=0),1,0)</formula>
    </cfRule>
    <cfRule type="expression" dxfId="21" priority="44">
      <formula>IF($C12&lt;&gt;"",1,0)</formula>
    </cfRule>
    <cfRule type="expression" dxfId="20" priority="45">
      <formula>$J12=0</formula>
    </cfRule>
  </conditionalFormatting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247">
      <formula>IF(COUNTA($C$10:$C$14)&lt;&gt;COUNTIF($J$10:$J$14,1),1,0)</formula>
    </cfRule>
    <cfRule type="expression" dxfId="15" priority="2248">
      <formula>IF(COUNTA($C$10:$C$14)=COUNTIF($J$10:$J$14,1),1,0)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/>
    </sheetView>
  </sheetViews>
  <sheetFormatPr baseColWidth="10" defaultColWidth="0" defaultRowHeight="0" customHeight="1" zeroHeight="1" x14ac:dyDescent="0.2"/>
  <cols>
    <col min="1" max="2" width="8.83203125" style="62" customWidth="1"/>
    <col min="3" max="3" width="13.1640625" style="62" customWidth="1"/>
    <col min="4" max="4" width="13.5" style="62" customWidth="1"/>
    <col min="5" max="6" width="8.83203125" style="62" customWidth="1"/>
    <col min="7" max="7" width="14.8320312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5" style="62" customWidth="1"/>
    <col min="12" max="17" width="8.83203125" style="62" customWidth="1"/>
    <col min="18" max="16384" width="8.83203125" style="62" hidden="1"/>
  </cols>
  <sheetData>
    <row r="1" spans="1:17" ht="15" x14ac:dyDescent="0.2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'[2]Revision History'!$J$4</f>
        <v>Scott Research Group (jkscottresearchgroup.com)</v>
      </c>
    </row>
    <row r="2" spans="1:17" ht="15" x14ac:dyDescent="0.2">
      <c r="A2" s="73" t="s">
        <v>124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</row>
    <row r="3" spans="1:17" ht="15" x14ac:dyDescent="0.2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5" x14ac:dyDescent="0.2">
      <c r="A4" s="63"/>
      <c r="B4" s="64" t="s">
        <v>123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5" x14ac:dyDescent="0.2">
      <c r="A5" s="63"/>
      <c r="B5" s="65"/>
      <c r="C5" s="64" t="s">
        <v>125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</row>
    <row r="6" spans="1:17" ht="15" x14ac:dyDescent="0.2">
      <c r="A6" s="63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5" x14ac:dyDescent="0.2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5" x14ac:dyDescent="0.2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5" x14ac:dyDescent="0.2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5" x14ac:dyDescent="0.2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5" x14ac:dyDescent="0.2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5" x14ac:dyDescent="0.2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5" x14ac:dyDescent="0.2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5" x14ac:dyDescent="0.2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5" x14ac:dyDescent="0.2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5" x14ac:dyDescent="0.2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5" x14ac:dyDescent="0.2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5" x14ac:dyDescent="0.2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5" x14ac:dyDescent="0.2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5" x14ac:dyDescent="0.2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5" x14ac:dyDescent="0.2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5" x14ac:dyDescent="0.2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5" x14ac:dyDescent="0.2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5" x14ac:dyDescent="0.2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5" x14ac:dyDescent="0.2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5" x14ac:dyDescent="0.2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5" x14ac:dyDescent="0.2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5" x14ac:dyDescent="0.2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5" x14ac:dyDescent="0.2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5" x14ac:dyDescent="0.2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5" x14ac:dyDescent="0.2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5" x14ac:dyDescent="0.2">
      <c r="A32" s="63"/>
      <c r="B32" s="65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5" x14ac:dyDescent="0.2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  <row r="34" spans="1:17" ht="15" x14ac:dyDescent="0.2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126</v>
      </c>
      <c r="F1" t="s">
        <v>127</v>
      </c>
      <c r="G1" t="s">
        <v>128</v>
      </c>
      <c r="H1" t="s">
        <v>79</v>
      </c>
      <c r="I1" t="s">
        <v>129</v>
      </c>
      <c r="J1" t="s">
        <v>130</v>
      </c>
      <c r="K1" t="s">
        <v>131</v>
      </c>
      <c r="L1" t="s">
        <v>132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126</v>
      </c>
      <c r="F1" t="s">
        <v>127</v>
      </c>
      <c r="G1" t="s">
        <v>128</v>
      </c>
      <c r="H1" t="s">
        <v>79</v>
      </c>
      <c r="I1" t="s">
        <v>129</v>
      </c>
      <c r="J1" t="s">
        <v>130</v>
      </c>
      <c r="K1" t="s">
        <v>131</v>
      </c>
      <c r="L1" t="s">
        <v>132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2022-08-28T01:11:47Z</dcterms:modified>
</cp:coreProperties>
</file>