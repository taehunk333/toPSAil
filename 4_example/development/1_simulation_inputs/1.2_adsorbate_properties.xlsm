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5C0E266D-0ADC-F54F-8ED0-4CAEDDD64A81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Initialization!$A$9:$J$10</definedName>
    <definedName name="_xlnm._FilterDatabase" localSheetId="3" hidden="1">'Physical Properties'!$A$9:$J$9</definedName>
    <definedName name="_xlnm._FilterDatabase" localSheetId="4" hidden="1">'Thermodynamic Properties'!$A$9:$J$9</definedName>
    <definedName name="_xlnm.Print_Area" localSheetId="2">Initialization!$A$2:$J$13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7" i="44" l="1"/>
  <c r="H16" i="44"/>
  <c r="H15" i="44"/>
  <c r="H14" i="44"/>
  <c r="H13" i="44"/>
  <c r="H12" i="44"/>
  <c r="H11" i="44"/>
  <c r="H10" i="44"/>
  <c r="J4" i="44"/>
  <c r="J2" i="44"/>
  <c r="A2" i="44"/>
  <c r="H11" i="43" l="1"/>
  <c r="H10" i="43"/>
  <c r="J4" i="43"/>
  <c r="J2" i="43"/>
  <c r="A2" i="43"/>
  <c r="H12" i="40"/>
  <c r="H11" i="40"/>
  <c r="Q1" i="41"/>
  <c r="A1" i="4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G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<sst xmlns="http://schemas.openxmlformats.org/spreadsheetml/2006/main" count="276" uniqueCount="137">
  <si>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</si>
  <si>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</si>
  <si>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</si>
  <si>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</si>
  <si>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</si>
  <si>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</si>
  <si>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</si>
  <si>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</si>
  <si>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</si>
  <si>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</si>
  <si>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</si>
  <si>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</si>
  <si>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</si>
  <si>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</si>
  <si>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</si>
  <si>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</si>
  <si>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</si>
  <si>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</si>
  <si>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</si>
  <si>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</si>
  <si>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</si>
  <si>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</si>
  <si>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</si>
  <si>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</si>
  <si>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</si>
  <si>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</si>
  <si>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</si>
  <si>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</si>
  <si>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</si>
  <si>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</si>
  <si>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</si>
  <si>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</si>
  <si>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</si>
  <si>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</si>
  <si>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</si>
  <si>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</si>
  <si>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</si>
  <si>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</si>
  <si>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</si>
  <si>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</si>
  <si>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</si>
  <si>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</si>
  <si>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</si>
  <si>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</si>
  <si>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</si>
  <si>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</si>
  <si>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</si>
  <si>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</si>
  <si>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</si>
  <si>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</si>
  <si>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</si>
  <si>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</si>
  <si>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</si>
  <si>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</si>
  <si>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</si>
  <si>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</si>
  <si>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</si>
  <si>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</si>
  <si>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</si>
  <si>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</si>
  <si>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</si>
  <si>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</si>
  <si>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</si>
  <si>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</si>
  <si>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</si>
  <si>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</si>
  <si>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</si>
  <si>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The number of components to be modeled in the system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</si>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</sst>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3" totalsRowShown="0" headerRowDxfId="87" dataDxfId="85" headerRowBorderDxfId="86" tableBorderDxfId="84" totalsRowBorderDxfId="83">
  <autoFilter ref="A9:J13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929E74D4-E828-45A7-B400-EB49F90082D7}">
    <text>place 1 if we want to keep the row when re-initializing. Otherwise, leave it as a blank.</text>
  </threadedComment>
  <threadedComment ref="H9" dT="2020-11-26T18:35:03.27" personId="{7F98AE94-13FB-49E1-9262-339C11E0EDB4}" id="{5CF684AC-E434-4C54-AB68-3C5C687E62EA}">
    <text>supply a value greater than 1 if you want to duplicate the row</text>
  </threadedComment>
  <threadedComment ref="I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I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136</v>
      </c>
      <c r="E4" s="50"/>
      <c r="F4" s="51"/>
      <c r="G4" s="52"/>
      <c r="H4" s="52"/>
      <c r="I4" s="52"/>
      <c r="J4" s="36" t="s">
        <v>86</v>
      </c>
    </row>
    <row r="5" spans="4:10" ht="40" x14ac:dyDescent="0.2">
      <c r="D5" s="58" t="s">
        <v>36</v>
      </c>
      <c r="E5" s="58"/>
      <c r="F5" s="58"/>
      <c r="G5" s="58"/>
      <c r="H5" s="58"/>
      <c r="I5" s="58"/>
      <c r="J5" s="58"/>
    </row>
    <row r="6" spans="4:10" ht="20" x14ac:dyDescent="0.2">
      <c r="D6" s="46" t="s">
        <v>30</v>
      </c>
      <c r="E6" s="46" t="s">
        <v>130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135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133</v>
      </c>
      <c r="F8" s="39">
        <v>44818</v>
      </c>
      <c r="G8" s="37" t="s">
        <v>37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93</v>
      </c>
      <c r="R1" t="s">
        <v>103</v>
      </c>
      <c r="S1" t="s">
        <v>104</v>
      </c>
      <c r="T1" t="s">
        <v>117</v>
      </c>
      <c r="U1" t="s">
        <v>118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119</v>
      </c>
    </row>
    <row r="4" spans="1:21" x14ac:dyDescent="0.2">
      <c r="A4" t="s">
        <v>83</v>
      </c>
      <c r="B4" t="s">
        <v>21</v>
      </c>
      <c r="C4" t="s">
        <v>43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120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121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122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123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124</v>
      </c>
    </row>
    <row r="9" spans="1:21" x14ac:dyDescent="0.2">
      <c r="B9" t="s">
        <v>91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125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115</v>
      </c>
    </row>
    <row r="12" spans="1:21" x14ac:dyDescent="0.2">
      <c r="B12" t="s">
        <v>92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116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6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67</v>
      </c>
    </row>
    <row r="11" spans="1:10" ht="32" x14ac:dyDescent="0.2">
      <c r="A11" s="4" t="s">
        <v>62</v>
      </c>
      <c r="B11" s="30" t="s">
        <v>69</v>
      </c>
      <c r="C11" s="2" t="s">
        <v>3</v>
      </c>
      <c r="D11" s="1" t="s">
        <v>22</v>
      </c>
      <c r="E11" s="1" t="s">
        <v>9</v>
      </c>
      <c r="F11" s="2" t="s">
        <v>5</v>
      </c>
      <c r="G11" s="1">
        <v>1</v>
      </c>
      <c r="H11" s="1">
        <f>Initialization!$B$10</f>
        <v>2</v>
      </c>
      <c r="I11" s="6">
        <v>1</v>
      </c>
      <c r="J11" s="5" t="s">
        <v>134</v>
      </c>
    </row>
    <row r="12" spans="1:10" ht="32" x14ac:dyDescent="0.2">
      <c r="A12" s="4" t="s">
        <v>63</v>
      </c>
      <c r="B12" s="30" t="s">
        <v>105</v>
      </c>
      <c r="C12" s="2" t="s">
        <v>3</v>
      </c>
      <c r="D12" s="1" t="s">
        <v>22</v>
      </c>
      <c r="E12" s="1" t="s">
        <v>9</v>
      </c>
      <c r="F12" s="2" t="s">
        <v>5</v>
      </c>
      <c r="G12" s="1"/>
      <c r="H12" s="1">
        <f>Initialization!$B$10</f>
        <v>2</v>
      </c>
      <c r="I12" s="6">
        <v>1</v>
      </c>
      <c r="J12" s="5" t="s">
        <v>134</v>
      </c>
    </row>
    <row r="13" spans="1:10" ht="16" x14ac:dyDescent="0.2">
      <c r="A13" s="8" t="s">
        <v>79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4eGM0qnAtFDKttdarumdXkezoK7shLgRcBcMLugsI4ni2IJwWTK3D6F3JiFiFjJ/XBcMH1UYu8NVgjVR9CWUA==" saltValue="2LYAYic6hkYXyHwahZO6XQ==" spinCount="100000" sheet="1" objects="1" scenarios="1" selectLockedCells="1"/>
  <mergeCells count="2">
    <mergeCell ref="A3:J3"/>
    <mergeCell ref="J4:J8"/>
  </mergeCells>
  <conditionalFormatting sqref="B10 B13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J4">
    <cfRule type="expression" dxfId="92" priority="59">
      <formula>IF(COUNTA($B$10:$B$13)&lt;&gt;COUNTIF($I$10:$I$13,1),1,0)</formula>
    </cfRule>
    <cfRule type="expression" dxfId="91" priority="60">
      <formula>IF(COUNTA($B$10:$B$13)=COUNTIF($I$10:$I$13,1),1,0)</formula>
    </cfRule>
  </conditionalFormatting>
  <conditionalFormatting sqref="B11:B12">
    <cfRule type="expression" dxfId="90" priority="1">
      <formula>IF(AND($B11&lt;&gt;"",$I11=0),1,0)</formula>
    </cfRule>
    <cfRule type="expression" dxfId="89" priority="2">
      <formula>IF($B11&lt;&gt;"",1,0)</formula>
    </cfRule>
    <cfRule type="expression" dxfId="8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F10:F13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D10:D13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6" x14ac:dyDescent="0.2">
      <c r="A10" s="47" t="s">
        <v>126</v>
      </c>
      <c r="B10" s="30">
        <v>16</v>
      </c>
      <c r="C10" s="32" t="s">
        <v>127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128</v>
      </c>
    </row>
    <row r="11" spans="1:10" ht="16" x14ac:dyDescent="0.2">
      <c r="A11" s="47" t="s">
        <v>129</v>
      </c>
      <c r="B11" s="30">
        <v>14</v>
      </c>
      <c r="C11" s="32" t="s">
        <v>127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128</v>
      </c>
    </row>
    <row r="12" spans="1:10" ht="16" x14ac:dyDescent="0.2">
      <c r="A12" s="8" t="s">
        <v>79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80</v>
      </c>
    </row>
  </sheetData>
  <sheetProtection algorithmName="SHA-512" hashValue="F4AHut1hWbihY8zLkVHKv5DGBCDnqg1dASJSJYr199HkZL6Uo5mck1040LhDiT1vMu8Zni5mdXRqIQMsOfiz/g==" saltValue="s47NSCDnkM9uGfB7/kKDhA==" spinCount="100000" sheet="1" objects="1" scenarios="1" selectLockedCells="1"/>
  <mergeCells count="2">
    <mergeCell ref="A3:J3"/>
    <mergeCell ref="J4:J8"/>
  </mergeCells>
  <conditionalFormatting sqref="B12">
    <cfRule type="expression" dxfId="72" priority="70">
      <formula>IF(AND($B12&lt;&gt;"",$I12=0),1,0)</formula>
    </cfRule>
    <cfRule type="expression" dxfId="71" priority="71">
      <formula>IF($B12&lt;&gt;"",1,0)</formula>
    </cfRule>
    <cfRule type="expression" dxfId="70" priority="72">
      <formula>$I12=0</formula>
    </cfRule>
  </conditionalFormatting>
  <conditionalFormatting sqref="B10">
    <cfRule type="expression" dxfId="69" priority="31">
      <formula>IF(AND($B10&lt;&gt;"",$I10=0),1,0)</formula>
    </cfRule>
    <cfRule type="expression" dxfId="68" priority="32">
      <formula>IF($B10&lt;&gt;"",1,0)</formula>
    </cfRule>
    <cfRule type="expression" dxfId="67" priority="33">
      <formula>$I10=0</formula>
    </cfRule>
  </conditionalFormatting>
  <conditionalFormatting sqref="B11">
    <cfRule type="expression" dxfId="66" priority="1">
      <formula>IF(AND($B11&lt;&gt;"",$I11=0),1,0)</formula>
    </cfRule>
    <cfRule type="expression" dxfId="65" priority="2">
      <formula>IF($B11&lt;&gt;"",1,0)</formula>
    </cfRule>
    <cfRule type="expression" dxfId="64" priority="3">
      <formula>$I11=0</formula>
    </cfRule>
  </conditionalFormatting>
  <conditionalFormatting sqref="J4">
    <cfRule type="expression" dxfId="63" priority="483">
      <formula>IF(COUNTA($B$10:$B$12)&lt;&gt;COUNTIF($I$10:$I$12,1),1,0)</formula>
    </cfRule>
    <cfRule type="expression" dxfId="62" priority="48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E10:E12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D10:D12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6" x14ac:dyDescent="0.2">
      <c r="A10" s="4" t="s">
        <v>94</v>
      </c>
      <c r="B10" s="30">
        <v>14000</v>
      </c>
      <c r="C10" s="2" t="s">
        <v>96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98</v>
      </c>
    </row>
    <row r="11" spans="1:10" ht="16" x14ac:dyDescent="0.2">
      <c r="A11" s="4" t="s">
        <v>95</v>
      </c>
      <c r="B11" s="30">
        <v>20340</v>
      </c>
      <c r="C11" s="2" t="s">
        <v>96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98</v>
      </c>
    </row>
    <row r="12" spans="1:10" ht="32" x14ac:dyDescent="0.2">
      <c r="A12" s="4" t="s">
        <v>108</v>
      </c>
      <c r="B12" s="30">
        <v>29.370999999999999</v>
      </c>
      <c r="C12" s="2" t="s">
        <v>97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106</v>
      </c>
    </row>
    <row r="13" spans="1:10" ht="32" x14ac:dyDescent="0.2">
      <c r="A13" s="4" t="s">
        <v>109</v>
      </c>
      <c r="B13" s="30">
        <v>29.129000000000001</v>
      </c>
      <c r="C13" s="2" t="s">
        <v>97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106</v>
      </c>
    </row>
    <row r="14" spans="1:10" ht="32" x14ac:dyDescent="0.2">
      <c r="A14" s="47" t="s">
        <v>110</v>
      </c>
      <c r="B14" s="30">
        <v>21.056999999999999</v>
      </c>
      <c r="C14" s="2" t="s">
        <v>97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107</v>
      </c>
    </row>
    <row r="15" spans="1:10" ht="32" x14ac:dyDescent="0.2">
      <c r="A15" s="47" t="s">
        <v>111</v>
      </c>
      <c r="B15" s="30">
        <v>20.815000000000001</v>
      </c>
      <c r="C15" s="2" t="s">
        <v>97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107</v>
      </c>
    </row>
    <row r="16" spans="1:10" ht="32" x14ac:dyDescent="0.2">
      <c r="A16" s="47" t="s">
        <v>113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112</v>
      </c>
    </row>
    <row r="17" spans="1:10" ht="32" x14ac:dyDescent="0.2">
      <c r="A17" s="47" t="s">
        <v>114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112</v>
      </c>
    </row>
    <row r="18" spans="1:10" ht="16" x14ac:dyDescent="0.2">
      <c r="A18" s="8" t="s">
        <v>79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80</v>
      </c>
    </row>
  </sheetData>
  <sheetProtection algorithmName="SHA-512" hashValue="T8GKNy7/x9MJQ8iV0elLBhJdGhK3N6afSXOjXsBRzB6lWv2xPXBCkjgu3CCjb3Mv6FzbUziuJ6v7Afo4lblUHQ==" saltValue="aySkDb8sLDyf9IUystEI5w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5" x14ac:dyDescent="0.2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132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99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100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101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102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P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6" x14ac:dyDescent="0.2">
      <c r="A1" t="s">
        <v>5</v>
      </c>
      <c r="B1" t="s">
        <v>62</v>
      </c>
      <c r="C1" t="s">
        <v>63</v>
      </c>
      <c r="D1" t="s">
        <v>79</v>
      </c>
      <c r="E1" t="s">
        <v>126</v>
      </c>
      <c r="F1" t="s">
        <v>129</v>
      </c>
      <c r="G1" t="s">
        <v>79</v>
      </c>
      <c r="H1" t="s">
        <v>94</v>
      </c>
      <c r="I1" t="s">
        <v>95</v>
      </c>
      <c r="J1" t="s">
        <v>108</v>
      </c>
      <c r="K1" t="s">
        <v>109</v>
      </c>
      <c r="L1" t="s">
        <v>110</v>
      </c>
      <c r="M1" t="s">
        <v>111</v>
      </c>
      <c r="N1" t="s">
        <v>113</v>
      </c>
      <c r="O1" t="s">
        <v>114</v>
      </c>
      <c r="P1" t="s">
        <v>79</v>
      </c>
    </row>
    <row r="2" spans="1:16" x14ac:dyDescent="0.2">
      <c r="A2">
        <v>2</v>
      </c>
      <c r="B2" t="s">
        <v>69</v>
      </c>
      <c r="C2" t="s">
        <v>105</v>
      </c>
      <c r="E2">
        <v>16</v>
      </c>
      <c r="F2">
        <v>14</v>
      </c>
      <c r="H2">
        <v>14000</v>
      </c>
      <c r="I2">
        <v>20340</v>
      </c>
      <c r="J2">
        <v>29.370999999999999</v>
      </c>
      <c r="K2">
        <v>29.129000000000001</v>
      </c>
      <c r="L2">
        <v>21.056999999999999</v>
      </c>
      <c r="M2">
        <v>20.815000000000001</v>
      </c>
      <c r="N2">
        <v>1</v>
      </c>
      <c r="O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P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6" x14ac:dyDescent="0.2">
      <c r="A1" t="s">
        <v>5</v>
      </c>
      <c r="B1" t="s">
        <v>62</v>
      </c>
      <c r="C1" t="s">
        <v>63</v>
      </c>
      <c r="D1" t="s">
        <v>79</v>
      </c>
      <c r="E1" t="s">
        <v>126</v>
      </c>
      <c r="F1" t="s">
        <v>129</v>
      </c>
      <c r="G1" t="s">
        <v>79</v>
      </c>
      <c r="H1" t="s">
        <v>94</v>
      </c>
      <c r="I1" t="s">
        <v>95</v>
      </c>
      <c r="J1" t="s">
        <v>108</v>
      </c>
      <c r="K1" t="s">
        <v>109</v>
      </c>
      <c r="L1" t="s">
        <v>110</v>
      </c>
      <c r="M1" t="s">
        <v>111</v>
      </c>
      <c r="N1" t="s">
        <v>113</v>
      </c>
      <c r="O1" t="s">
        <v>114</v>
      </c>
      <c r="P1" t="s">
        <v>79</v>
      </c>
    </row>
    <row r="2" spans="1:16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2022-09-14T00:48:00Z</dcterms:modified>
</cp:coreProperties>
</file>