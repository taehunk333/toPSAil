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1DCFFFF1-3308-4572-B386-1B76F377040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Help" sheetId="37" r:id="rId4"/>
    <sheet name="PFD" sheetId="38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2" hidden="1">'Thermodynamic Properties'!$B$9:$K$9</definedName>
    <definedName name="_xlnm.Print_Area" localSheetId="0">'Revision History'!$C$3:$K$51</definedName>
    <definedName name="_xlnm.Print_Area" localSheetId="2">'Thermodynamic Properties'!$B$2:$K$11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0" l="1"/>
  <c r="K2" i="40"/>
  <c r="B2" i="40"/>
  <c r="R1" i="38"/>
  <c r="A1" i="38"/>
  <c r="Q1" i="37"/>
  <c r="A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H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<sst xmlns="http://schemas.openxmlformats.org/spreadsheetml/2006/main" count="142" uniqueCount="112">
  <si>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</si>
  <si>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</si>
  <si>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</si>
  <si>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</si>
  <si>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</si>
  <si>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</si>
  <si>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</si>
  <si>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</si>
  <si>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</si>
  <si>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</si>
  <si>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</si>
  <si>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</si>
  <si>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</si>
  <si>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</si>
  <si>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</si>
  <si>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</si>
  <si>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</si>
  <si>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</si>
  <si>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</si>
  <si>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</si>
  <si>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</si>
  <si>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</si>
  <si>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</si>
  <si>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</si>
  <si>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</si>
  <si>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</si>
  <si>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</si>
  <si>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</si>
  <si>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</si>
  <si>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</si>
  <si>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</si>
  <si>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</si>
  <si>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</si>
  <si>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</si>
  <si>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</si>
  <si>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</si>
  <si>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</si>
  <si>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</si>
  <si>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</si>
  <si>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</si>
  <si>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</si>
  <si>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</si>
  <si>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</si>
  <si>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</si>
  <si>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</si>
  <si>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</si>
  <si>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</si>
  <si>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</si>
  <si>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</si>
  <si>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</si>
  <si>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</si>
  <si>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</si>
  <si>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</si>
  <si>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</si>
  <si>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</si>
  <si>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</si>
  <si>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</si>
  <si>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</si>
  <si>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</si>
  <si>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</si>
  <si>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</si>
  <si>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</si>
  <si>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</si>
  <si>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</si>
  <si>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</si>
  <si>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</si>
  <si>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</si>
  <si>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</si>
  <si>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</si>
  <si>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</si>
  <si>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</si>
  <si>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</si>
  <si>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</si>
  <si>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</si>
  <si>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</si>
  <si>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</si>
  <si>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</si>
  <si>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</si>
  <si>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</si>
  <si>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</si>
  <si>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</si>
  <si>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</si>
  <si>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</si>
  <si>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</si>
  <si>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</si>
  <si>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</si>
  <si>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</si>
  <si>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</si>
  <si>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</si>
  <si>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</si>
  <si>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</si>
  <si>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</si>
  <si>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</si>
  <si>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</si>
  <si>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</si>
  <si>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</si>
  <si>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</si>
  <si>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</si>
  <si>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</si>
  <si>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</si>
  <si>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</si>
  <si>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</si>
  <si>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</si>
  <si>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</si>
  <si>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</si>
  <si>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</si>
  <si>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</si>
  <si>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</si>
  <si>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Pressure Changers Information</t>
  </si>
  <si>
    <t>Vacuum Pump</t>
  </si>
  <si>
    <t>Compressor</t>
  </si>
  <si>
    <t>isEntEffPump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</si>
</sst>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3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3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3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D841CC4-BAC8-49CA-94C8-1681D2A28E77}">
    <text>place 1 if we want to keep the row when re-initializing. Otherwise, leave it as a blank.</text>
  </threadedComment>
  <threadedComment ref="I9" dT="2020-11-26T18:35:03.27" personId="{7F98AE94-13FB-49E1-9262-339C11E0EDB4}" id="{190EFEDD-2DC1-491C-8B1C-21EA83B058D9}">
    <text>supply a value greater than 1 if you want to duplicate the row</text>
  </threadedComment>
  <threadedComment ref="J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J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4" sqref="E14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886718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886718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9" t="s">
        <v>106</v>
      </c>
      <c r="E4" s="50"/>
      <c r="F4" s="51"/>
      <c r="G4" s="52"/>
      <c r="H4" s="52"/>
      <c r="I4" s="52"/>
      <c r="J4" s="34" t="s">
        <v>82</v>
      </c>
    </row>
    <row r="5" spans="4:10" ht="36">
      <c r="D5" s="67" t="s">
        <v>36</v>
      </c>
      <c r="E5" s="67"/>
      <c r="F5" s="67"/>
      <c r="G5" s="67"/>
      <c r="H5" s="67"/>
      <c r="I5" s="67"/>
      <c r="J5" s="67"/>
    </row>
    <row r="6" spans="4:10" ht="18">
      <c r="D6" s="45" t="s">
        <v>30</v>
      </c>
      <c r="E6" s="45" t="s">
        <v>104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36">
      <c r="D7" s="35">
        <v>1</v>
      </c>
      <c r="E7" s="46" t="s">
        <v>105</v>
      </c>
      <c r="F7" s="47">
        <v>44720</v>
      </c>
      <c r="G7" s="48" t="s">
        <v>37</v>
      </c>
      <c r="H7" s="35"/>
      <c r="I7" s="35"/>
      <c r="J7" s="36"/>
    </row>
    <row r="8" spans="4:10" ht="18">
      <c r="D8" s="35">
        <v>2</v>
      </c>
      <c r="E8" s="36"/>
      <c r="F8" s="37"/>
      <c r="G8" s="35"/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8">
      <c r="B3" s="68" t="s">
        <v>29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2"/>
      <c r="C4" s="13"/>
      <c r="D4" s="14"/>
      <c r="E4" s="15"/>
      <c r="F4" s="15"/>
      <c r="G4" s="15"/>
      <c r="H4" s="15"/>
      <c r="I4" s="15"/>
      <c r="J4" s="15"/>
      <c r="K4" s="69" t="str">
        <f>IF(COUNTIF(Table110423[Test 3],1)=COUNTA(Table110423[Value]),"Ready","Not Ready")</f>
        <v>Ready</v>
      </c>
    </row>
    <row r="5" spans="2:11" ht="14.4" customHeight="1">
      <c r="B5" s="16"/>
      <c r="C5" s="17"/>
      <c r="D5" s="44"/>
      <c r="E5" s="44"/>
      <c r="F5" s="44"/>
      <c r="G5" s="44"/>
      <c r="H5" s="18"/>
      <c r="I5" s="44"/>
      <c r="J5" s="44"/>
      <c r="K5" s="70"/>
    </row>
    <row r="6" spans="2:11" ht="14.4" customHeight="1">
      <c r="B6" s="16"/>
      <c r="C6" s="17"/>
      <c r="D6" s="44"/>
      <c r="E6" s="44"/>
      <c r="F6" s="44"/>
      <c r="G6" s="44"/>
      <c r="H6" s="18"/>
      <c r="I6" s="44"/>
      <c r="J6" s="44"/>
      <c r="K6" s="70"/>
    </row>
    <row r="7" spans="2:11" ht="14.4" customHeight="1">
      <c r="B7" s="16"/>
      <c r="C7" s="17"/>
      <c r="D7" s="44"/>
      <c r="E7" s="44"/>
      <c r="F7" s="44"/>
      <c r="G7" s="44"/>
      <c r="H7" s="18"/>
      <c r="I7" s="44"/>
      <c r="J7" s="44"/>
      <c r="K7" s="70"/>
    </row>
    <row r="8" spans="2:11" ht="14.4" customHeight="1">
      <c r="B8" s="19"/>
      <c r="C8" s="20"/>
      <c r="D8" s="21"/>
      <c r="E8" s="21"/>
      <c r="F8" s="21"/>
      <c r="G8" s="21"/>
      <c r="H8" s="22"/>
      <c r="I8" s="21"/>
      <c r="J8" s="21"/>
      <c r="K8" s="71"/>
    </row>
    <row r="9" spans="2:11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 ht="28.8">
      <c r="B10" s="43" t="s">
        <v>111</v>
      </c>
      <c r="C10" s="28">
        <v>0.75</v>
      </c>
      <c r="D10" s="30" t="s">
        <v>3</v>
      </c>
      <c r="E10" s="42" t="s">
        <v>17</v>
      </c>
      <c r="F10" s="42" t="s">
        <v>7</v>
      </c>
      <c r="G10" s="2" t="s">
        <v>52</v>
      </c>
      <c r="H10" s="42">
        <v>1</v>
      </c>
      <c r="I10" s="42">
        <v>1</v>
      </c>
      <c r="J10" s="5">
        <v>1</v>
      </c>
      <c r="K10" s="4" t="s">
        <v>92</v>
      </c>
    </row>
    <row r="11" spans="2:11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algorithmName="SHA-512" hashValue="SjWeQRL9T1LxX442x6AzX+AO8c83f/z8fgPrCeOCj22bhgoGSCIJWlsZUO1L5OpEEc0+c0/8LAUb/cebvv30ig==" saltValue="shJpJyF/qySHrcvyIcC/3A==" spinCount="100000" sheet="1" objects="1" scenarios="1" selectLockedCells="1"/>
  <mergeCells count="2">
    <mergeCell ref="B3:K3"/>
    <mergeCell ref="K4:K8"/>
  </mergeCells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4">
      <formula>IF(COUNTA($C$10:$C$11)&lt;&gt;COUNTIF($J$10:$J$11,1),1,0)</formula>
    </cfRule>
    <cfRule type="expression" dxfId="15" priority="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G10:G11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E10:E11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2E94-E305-4ABB-8FA7-43727A3EE10A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18" sqref="B18"/>
    </sheetView>
  </sheetViews>
  <sheetFormatPr defaultColWidth="0" defaultRowHeight="0" customHeight="1" zeroHeight="1"/>
  <cols>
    <col min="1" max="2" width="8.88671875" style="56" customWidth="1"/>
    <col min="3" max="3" width="13.109375" style="56" customWidth="1"/>
    <col min="4" max="4" width="13.44140625" style="56" customWidth="1"/>
    <col min="5" max="6" width="8.886718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546875" style="56" customWidth="1"/>
    <col min="12" max="17" width="8.88671875" style="56" customWidth="1"/>
    <col min="18" max="16384" width="8.88671875" style="56" hidden="1"/>
  </cols>
  <sheetData>
    <row r="1" spans="1:17" ht="14.4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4.4">
      <c r="A2" s="72" t="s">
        <v>108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4.4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4.4">
      <c r="A4" s="57"/>
      <c r="B4" s="58" t="s">
        <v>109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4.4">
      <c r="A5" s="57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4.4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4.4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4.4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4.4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4.4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4.4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4.4">
      <c r="A12" s="57"/>
      <c r="B12" s="58" t="s">
        <v>110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4.4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4.4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4.4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4.4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4.4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4.4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4.4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4.4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4.4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4.4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4.4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4.4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4.4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4.4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4.4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4.4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4.4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4.4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4.4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4.4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4.4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4.4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F7797-9063-4092-AFE9-C8200621A356}">
  <sheetPr codeName="Sheet2">
    <tabColor rgb="FF00B050"/>
  </sheetPr>
  <dimension ref="A1:AV52"/>
  <sheetViews>
    <sheetView showGridLines="0" topLeftCell="A16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60" customWidth="1"/>
    <col min="19" max="48" width="0" style="60" hidden="1" customWidth="1"/>
    <col min="49" max="16384" width="8.88671875" style="60" hidden="1"/>
  </cols>
  <sheetData>
    <row r="1" spans="1:18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4"/>
      <c r="J1" s="55"/>
      <c r="K1" s="55"/>
      <c r="L1" s="55"/>
      <c r="M1" s="55"/>
      <c r="N1" s="55"/>
      <c r="O1" s="55"/>
      <c r="P1" s="55"/>
      <c r="Q1" s="55"/>
      <c r="R1" s="55" t="str">
        <f>'[2]Revision History'!$J$4</f>
        <v>Scott Research Group (jkscottresearchgroup.com)</v>
      </c>
    </row>
    <row r="2" spans="1:18">
      <c r="A2" s="61" t="s">
        <v>107</v>
      </c>
      <c r="B2" s="62"/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4"/>
    </row>
    <row r="3" spans="1:18">
      <c r="A3" s="57"/>
      <c r="B3" s="58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6"/>
    </row>
    <row r="4" spans="1:18">
      <c r="A4" s="57"/>
      <c r="B4" s="58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>
      <c r="A5" s="57"/>
      <c r="B5" s="58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6"/>
    </row>
    <row r="6" spans="1:18">
      <c r="A6" s="57"/>
      <c r="B6" s="58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6"/>
    </row>
    <row r="7" spans="1:18">
      <c r="A7" s="57"/>
      <c r="B7" s="58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>
      <c r="A8" s="57"/>
      <c r="B8" s="58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18">
      <c r="A9" s="57"/>
      <c r="B9" s="58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6"/>
    </row>
    <row r="10" spans="1:18">
      <c r="A10" s="57"/>
      <c r="B10" s="58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</row>
    <row r="11" spans="1:18">
      <c r="A11" s="57"/>
      <c r="B11" s="58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6"/>
    </row>
    <row r="12" spans="1:18">
      <c r="A12" s="57"/>
      <c r="B12" s="58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6"/>
    </row>
    <row r="13" spans="1:18">
      <c r="A13" s="57"/>
      <c r="B13" s="58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6"/>
    </row>
    <row r="14" spans="1:18">
      <c r="A14" s="57"/>
      <c r="B14" s="58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6"/>
    </row>
    <row r="15" spans="1:18">
      <c r="A15" s="57"/>
      <c r="B15" s="58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</row>
    <row r="16" spans="1:18">
      <c r="A16" s="57"/>
      <c r="B16" s="58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6"/>
    </row>
    <row r="17" spans="1:18">
      <c r="A17" s="57"/>
      <c r="B17" s="58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6"/>
    </row>
    <row r="18" spans="1:18">
      <c r="A18" s="57"/>
      <c r="B18" s="58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6"/>
    </row>
    <row r="19" spans="1:18">
      <c r="A19" s="57"/>
      <c r="B19" s="58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6"/>
    </row>
    <row r="20" spans="1:18">
      <c r="A20" s="57"/>
      <c r="B20" s="58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</row>
    <row r="21" spans="1:18">
      <c r="A21" s="57"/>
      <c r="B21" s="58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6"/>
    </row>
    <row r="22" spans="1:18">
      <c r="A22" s="57"/>
      <c r="B22" s="58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6"/>
    </row>
    <row r="23" spans="1:18">
      <c r="A23" s="57"/>
      <c r="B23" s="58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6"/>
    </row>
    <row r="24" spans="1:18">
      <c r="A24" s="57"/>
      <c r="B24" s="58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6"/>
    </row>
    <row r="25" spans="1:18">
      <c r="A25" s="57"/>
      <c r="B25" s="58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6"/>
    </row>
    <row r="26" spans="1:18">
      <c r="A26" s="57"/>
      <c r="B26" s="58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6"/>
    </row>
    <row r="27" spans="1:18">
      <c r="A27" s="57"/>
      <c r="B27" s="58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6"/>
    </row>
    <row r="28" spans="1:18">
      <c r="A28" s="57"/>
      <c r="B28" s="58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6"/>
    </row>
    <row r="29" spans="1:18">
      <c r="A29" s="57"/>
      <c r="B29" s="58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6"/>
    </row>
    <row r="30" spans="1:18">
      <c r="A30" s="57"/>
      <c r="B30" s="58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6"/>
    </row>
    <row r="31" spans="1:18">
      <c r="A31" s="57"/>
      <c r="B31" s="58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6"/>
    </row>
    <row r="32" spans="1:18">
      <c r="A32" s="57"/>
      <c r="B32" s="58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spans="1:18">
      <c r="A33" s="57"/>
      <c r="B33" s="58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6"/>
    </row>
    <row r="34" spans="1:18">
      <c r="A34" s="57"/>
      <c r="B34" s="58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6"/>
    </row>
    <row r="35" spans="1:18">
      <c r="A35" s="57"/>
      <c r="B35" s="58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  <row r="36" spans="1:18">
      <c r="A36" s="57"/>
      <c r="B36" s="58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6"/>
    </row>
    <row r="37" spans="1:18">
      <c r="A37" s="57"/>
      <c r="B37" s="58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6"/>
    </row>
    <row r="38" spans="1:18">
      <c r="A38" s="57"/>
      <c r="B38" s="58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6"/>
    </row>
    <row r="39" spans="1:18">
      <c r="A39" s="57"/>
      <c r="B39" s="58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18">
      <c r="A40" s="57"/>
      <c r="B40" s="58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</row>
    <row r="41" spans="1:18">
      <c r="A41" s="57"/>
      <c r="B41" s="58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6"/>
    </row>
    <row r="42" spans="1:18">
      <c r="A42" s="57"/>
      <c r="B42" s="58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6"/>
    </row>
    <row r="43" spans="1:18">
      <c r="A43" s="57"/>
      <c r="B43" s="58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6"/>
    </row>
    <row r="44" spans="1:18">
      <c r="A44" s="57"/>
      <c r="B44" s="58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6"/>
    </row>
    <row r="45" spans="1:18">
      <c r="A45" s="57"/>
      <c r="B45" s="58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6"/>
    </row>
    <row r="46" spans="1:18">
      <c r="A46" s="57"/>
      <c r="B46" s="58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6"/>
    </row>
    <row r="47" spans="1:18">
      <c r="A47" s="57"/>
      <c r="B47" s="58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/>
    </row>
    <row r="48" spans="1:18">
      <c r="A48" s="57"/>
      <c r="B48" s="58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6"/>
    </row>
    <row r="49" spans="1:18">
      <c r="A49" s="57"/>
      <c r="B49" s="58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/>
    </row>
    <row r="50" spans="1:18">
      <c r="A50" s="57"/>
      <c r="B50" s="58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6"/>
    </row>
    <row r="51" spans="1:18">
      <c r="A51" s="57"/>
      <c r="B51" s="58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6"/>
    </row>
    <row r="52" spans="1:18">
      <c r="A52" s="57"/>
      <c r="B52" s="58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6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defaultRowHeight="14.4"/>
  <sheetData>
    <row r="1" spans="1:2">
      <c r="A1" t="s">
        <v>111</v>
      </c>
      <c r="B1" t="s">
        <v>75</v>
      </c>
    </row>
    <row r="2" spans="1:2">
      <c r="A2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defaultRowHeight="14.4"/>
  <sheetData>
    <row r="1" spans="1:2">
      <c r="A1" t="s">
        <v>111</v>
      </c>
      <c r="B1" t="s">
        <v>75</v>
      </c>
    </row>
    <row r="2" spans="1: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Reference</vt:lpstr>
      <vt:lpstr>Thermodynamic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2022-08-13T20:31:18Z</dcterms:modified>
</cp:coreProperties>
</file>