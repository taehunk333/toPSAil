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3_unit_properties\"/>
    </mc:Choice>
  </mc:AlternateContent>
  <xr:revisionPtr revIDLastSave="0" documentId="13_ncr:1_{66E61106-5DC6-4FFB-8BFB-EEF52DC6825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41" r:id="rId3"/>
    <sheet name="Thermodynamic Properties" sheetId="40" r:id="rId4"/>
    <sheet name="Help" sheetId="37" r:id="rId5"/>
    <sheet name="PFD" sheetId="38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'Stream Properties'!$B$9:$K$9</definedName>
    <definedName name="_xlnm._FilterDatabase" localSheetId="3" hidden="1">'Thermodynamic Properties'!$B$9:$K$9</definedName>
    <definedName name="_xlnm.Print_Area" localSheetId="0">'Revision History'!$C$3:$K$51</definedName>
    <definedName name="_xlnm.Print_Area" localSheetId="2">'Stream Properties'!$B$2:$K$11</definedName>
    <definedName name="_xlnm.Print_Area" localSheetId="3">'Thermodynamic Properties'!$B$2:$K$11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41" l="1"/>
  <c r="K2" i="41"/>
  <c r="B2" i="41"/>
  <c r="K4" i="40"/>
  <c r="K2" i="40"/>
  <c r="B2" i="40"/>
  <c r="R1" i="38"/>
  <c r="A1" i="38"/>
  <c r="Q1" i="37"/>
  <c r="A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tc={C0DEFBE8-8ED0-4BF5-A334-20F7D1A57B81}</author>
    <author>tc={C5B28B52-623A-41C1-BB31-15DB505AE2D4}</author>
    <author>tc={506B7C63-8A96-4A2B-A0E8-7720A194B546}</author>
  </authors>
  <commentList>
    <comment ref="H9" authorId="0" shapeId="0" xr:uid="{C0DEFBE8-8ED0-4BF5-A334-20F7D1A57B8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C5B28B52-623A-41C1-BB31-15DB505AE2D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506B7C63-8A96-4A2B-A0E8-7720A194B5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H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<sst xmlns="http://schemas.openxmlformats.org/spreadsheetml/2006/main" count="165" uniqueCount="115">
  <si>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</si>
  <si>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</si>
  <si>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</si>
  <si>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</si>
  <si>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</si>
  <si>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</si>
  <si>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</si>
  <si>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</si>
  <si>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</si>
  <si>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</si>
  <si>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</si>
  <si>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</si>
  <si>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</si>
  <si>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</si>
  <si>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</si>
  <si>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</si>
  <si>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</si>
  <si>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</si>
  <si>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</si>
  <si>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</si>
  <si>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</si>
  <si>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</si>
  <si>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</si>
  <si>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</si>
  <si>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</si>
  <si>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</si>
  <si>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</si>
  <si>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</si>
  <si>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</si>
  <si>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</si>
  <si>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</si>
  <si>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</si>
  <si>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</si>
  <si>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</si>
  <si>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</si>
  <si>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</si>
  <si>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</si>
  <si>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</si>
  <si>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</si>
  <si>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</si>
  <si>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</si>
  <si>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</si>
  <si>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</si>
  <si>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</si>
  <si>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</si>
  <si>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</si>
  <si>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</si>
  <si>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</si>
  <si>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</si>
  <si>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</si>
  <si>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</si>
  <si>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</si>
  <si>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</si>
  <si>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</si>
  <si>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</si>
  <si>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</si>
  <si>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</si>
  <si>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</si>
  <si>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</si>
  <si>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</si>
  <si>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</si>
  <si>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</si>
  <si>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</si>
  <si>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</si>
  <si>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</si>
  <si>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</si>
  <si>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</si>
  <si>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</si>
  <si>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</si>
  <si>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</si>
  <si>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</si>
  <si>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</si>
  <si>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</si>
  <si>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</si>
  <si>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</si>
  <si>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</si>
  <si>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</si>
  <si>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</si>
  <si>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</si>
  <si>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</si>
  <si>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</si>
  <si>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</si>
  <si>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</si>
  <si>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</si>
  <si>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</si>
  <si>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</si>
  <si>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</si>
  <si>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</si>
  <si>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</si>
  <si>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</si>
  <si>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</si>
  <si>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</si>
  <si>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</si>
  <si>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</si>
  <si>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</si>
  <si>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</si>
  <si>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</si>
  <si>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</si>
  <si>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</si>
  <si>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</si>
  <si>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</si>
  <si>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</si>
  <si>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</si>
  <si>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</si>
  <si>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</si>
  <si>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</si>
  <si>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</si>
  <si>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</si>
  <si>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Pressure Changers Information</t>
  </si>
  <si>
    <t>Vacuum Pump</t>
  </si>
  <si>
    <t>Compressor</t>
  </si>
  <si>
    <t>isEntEffPump</t>
  </si>
  <si>
    <t>presDoSt</t>
  </si>
  <si>
    <t>bar</t>
  </si>
  <si>
    <t>The downstream pressure for low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</si>
</sst>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84FDD75-F6E1-4335-8D10-4D78FEF976DB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5A87FCA-1682-4770-9B5D-98B7CA2E23BE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24DB49-2752-4E74-BEAC-70C603C1D5A6}" name="Table1104232" displayName="Table1104232" ref="B9:K11" totalsRowShown="0" headerRowDxfId="24" dataDxfId="23" headerRowBorderDxfId="21" tableBorderDxfId="22" totalsRowBorderDxfId="20">
  <autoFilter ref="B9:K11" xr:uid="{B089C5C3-2CCE-4800-96CA-2131BB6E3E4F}"/>
  <tableColumns count="10">
    <tableColumn id="1" xr3:uid="{1539F991-E448-4E12-B390-5070FDE548C3}" name="Variable" dataDxfId="19"/>
    <tableColumn id="4" xr3:uid="{9BAE4F2E-649A-4F43-ADC2-A67A26A58DC2}" name="Value" dataDxfId="18"/>
    <tableColumn id="5" xr3:uid="{696F4CC2-E36E-48C1-8F75-1BB8A1653B9E}" name="Unit" dataDxfId="17"/>
    <tableColumn id="6" xr3:uid="{F9B6CAAE-0E66-4886-9B0B-3FDCD7EC69BF}" name="Comparisons" dataDxfId="16"/>
    <tableColumn id="7" xr3:uid="{62706CC5-68FF-45FE-965D-D03207775B72}" name="Variable Type" dataDxfId="15"/>
    <tableColumn id="8" xr3:uid="{FF345154-6D60-4F18-A2AB-6EE169FD426E}" name="Dependency" dataDxfId="14"/>
    <tableColumn id="12" xr3:uid="{05C46285-DBB2-4B2D-8AE7-1FF882D1C57B}" name="Test 1" dataDxfId="13"/>
    <tableColumn id="10" xr3:uid="{518EDB74-91DD-4A19-922E-2DA7AEA94448}" name="Test 2" dataDxfId="12"/>
    <tableColumn id="2" xr3:uid="{E650F432-BE0A-4769-8ED8-65F893F8006C}" name="Test 3" dataDxfId="11"/>
    <tableColumn id="9" xr3:uid="{ACEE385F-8B47-49DC-9FD0-482584DD2E6A}" name="Description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B9:K11" totalsRowShown="0" headerRowDxfId="39" dataDxfId="37" headerRowBorderDxfId="38" tableBorderDxfId="36" totalsRowBorderDxfId="35">
  <autoFilter ref="B9:K11" xr:uid="{B089C5C3-2CCE-4800-96CA-2131BB6E3E4F}"/>
  <tableColumns count="10">
    <tableColumn id="1" xr3:uid="{A0950A90-6EBF-4AAE-82DC-77D2C5597D01}" name="Variable" dataDxfId="34"/>
    <tableColumn id="4" xr3:uid="{2355D9FB-E58B-4C44-B7EA-B0DCB5885EA2}" name="Value" dataDxfId="33"/>
    <tableColumn id="5" xr3:uid="{210665E1-9807-44CE-A675-AA4CAA5BEC8B}" name="Unit" dataDxfId="32"/>
    <tableColumn id="6" xr3:uid="{FA8E07BD-E881-43A5-9BC8-FE8750ECD0C0}" name="Comparisons" dataDxfId="31"/>
    <tableColumn id="7" xr3:uid="{7BFE2033-DFAC-4E9E-8732-5A93D1B6237F}" name="Variable Type" dataDxfId="30"/>
    <tableColumn id="8" xr3:uid="{B8E78B10-6057-43CA-A14C-4152818A790C}" name="Dependency" dataDxfId="29"/>
    <tableColumn id="12" xr3:uid="{76DFDF29-EA8F-4E63-A1CA-087129889F4A}" name="Test 1" dataDxfId="28"/>
    <tableColumn id="10" xr3:uid="{47E57267-D8DE-4407-ADE6-CE085EED1577}" name="Test 2" dataDxfId="27"/>
    <tableColumn id="2" xr3:uid="{DEFE9C7D-4523-4B50-9FD3-17852989B233}" name="Test 3" dataDxfId="26"/>
    <tableColumn id="9" xr3:uid="{ACA3664C-CE49-4158-9F29-7E5A3DB9D28A}" name="Description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C0DEFBE8-8ED0-4BF5-A334-20F7D1A57B81}">
    <text>place 1 if we want to keep the row when re-initializing. Otherwise, leave it as a blank.</text>
  </threadedComment>
  <threadedComment ref="I9" dT="2020-11-26T18:35:03.27" personId="{7F98AE94-13FB-49E1-9262-339C11E0EDB4}" id="{C5B28B52-623A-41C1-BB31-15DB505AE2D4}">
    <text>supply a value greater than 1 if you want to duplicate the row</text>
  </threadedComment>
  <threadedComment ref="J9" dT="2020-11-28T01:53:47.29" personId="{7F98AE94-13FB-49E1-9262-339C11E0EDB4}" id="{506B7C63-8A96-4A2B-A0E8-7720A194B546}">
    <text>1 means we need to have the variable specified; 0 means we need not have the variable specified</text>
  </threadedComment>
  <threadedComment ref="J9" dT="2020-11-28T01:56:42.32" personId="{7F98AE94-13FB-49E1-9262-339C11E0EDB4}" id="{CA32C38E-AAE4-4B59-8030-0493B42197C2}" parentId="{506B7C63-8A96-4A2B-A0E8-7720A194B546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3D841CC4-BAC8-49CA-94C8-1681D2A28E77}">
    <text>place 1 if we want to keep the row when re-initializing. Otherwise, leave it as a blank.</text>
  </threadedComment>
  <threadedComment ref="I9" dT="2020-11-26T18:35:03.27" personId="{7F98AE94-13FB-49E1-9262-339C11E0EDB4}" id="{190EFEDD-2DC1-491C-8B1C-21EA83B058D9}">
    <text>supply a value greater than 1 if you want to duplicate the row</text>
  </threadedComment>
  <threadedComment ref="J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J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14" sqref="E14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886718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886718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9" t="s">
        <v>106</v>
      </c>
      <c r="E4" s="50"/>
      <c r="F4" s="51"/>
      <c r="G4" s="52"/>
      <c r="H4" s="52"/>
      <c r="I4" s="52"/>
      <c r="J4" s="34" t="s">
        <v>82</v>
      </c>
    </row>
    <row r="5" spans="4:10" ht="36">
      <c r="D5" s="67" t="s">
        <v>36</v>
      </c>
      <c r="E5" s="67"/>
      <c r="F5" s="67"/>
      <c r="G5" s="67"/>
      <c r="H5" s="67"/>
      <c r="I5" s="67"/>
      <c r="J5" s="67"/>
    </row>
    <row r="6" spans="4:10" ht="18">
      <c r="D6" s="45" t="s">
        <v>30</v>
      </c>
      <c r="E6" s="45" t="s">
        <v>104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36">
      <c r="D7" s="35">
        <v>1</v>
      </c>
      <c r="E7" s="46" t="s">
        <v>105</v>
      </c>
      <c r="F7" s="47">
        <v>44720</v>
      </c>
      <c r="G7" s="48" t="s">
        <v>37</v>
      </c>
      <c r="H7" s="35"/>
      <c r="I7" s="35"/>
      <c r="J7" s="36"/>
    </row>
    <row r="8" spans="4:10" ht="18">
      <c r="D8" s="35">
        <v>2</v>
      </c>
      <c r="E8" s="36"/>
      <c r="F8" s="37"/>
      <c r="G8" s="35"/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F25DA-2E6A-49BB-A7B0-4F5E94D32C50}">
  <sheetPr codeName="Sheet19">
    <tabColor rgb="FF00B050"/>
  </sheetPr>
  <dimension ref="A1:K11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2" sqref="A12:XFD1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2:11">
      <c r="B2" s="39" t="str">
        <f>'Revision History'!$D$4</f>
        <v>REV. NO.1 (6/8/2022)</v>
      </c>
      <c r="C2" s="40"/>
      <c r="D2" s="40"/>
      <c r="E2" s="40"/>
      <c r="F2" s="40"/>
      <c r="G2" s="40"/>
      <c r="H2" s="40"/>
      <c r="I2" s="40"/>
      <c r="J2" s="40"/>
      <c r="K2" s="41" t="str">
        <f>'Revision History'!$J$4</f>
        <v>Scott Research Group (jkscottresearchgroup.com)</v>
      </c>
    </row>
    <row r="3" spans="2:11" ht="18">
      <c r="B3" s="68" t="s">
        <v>29</v>
      </c>
      <c r="C3" s="68"/>
      <c r="D3" s="68"/>
      <c r="E3" s="68"/>
      <c r="F3" s="68"/>
      <c r="G3" s="68"/>
      <c r="H3" s="68"/>
      <c r="I3" s="68"/>
      <c r="J3" s="68"/>
      <c r="K3" s="68"/>
    </row>
    <row r="4" spans="2:11" ht="14.4" customHeight="1">
      <c r="B4" s="12"/>
      <c r="C4" s="13"/>
      <c r="D4" s="14"/>
      <c r="E4" s="15"/>
      <c r="F4" s="15"/>
      <c r="G4" s="15"/>
      <c r="H4" s="15"/>
      <c r="I4" s="15"/>
      <c r="J4" s="15"/>
      <c r="K4" s="69" t="str">
        <f>IF(COUNTIF(Table1104232[Test 3],1)=COUNTA(Table1104232[Value]),"Ready","Not Ready")</f>
        <v>Ready</v>
      </c>
    </row>
    <row r="5" spans="2:11" ht="14.4" customHeight="1">
      <c r="B5" s="16"/>
      <c r="C5" s="17"/>
      <c r="D5" s="44"/>
      <c r="E5" s="44"/>
      <c r="F5" s="44"/>
      <c r="G5" s="44"/>
      <c r="H5" s="18"/>
      <c r="I5" s="44"/>
      <c r="J5" s="44"/>
      <c r="K5" s="70"/>
    </row>
    <row r="6" spans="2:11" ht="14.4" customHeight="1">
      <c r="B6" s="16"/>
      <c r="C6" s="17"/>
      <c r="D6" s="44"/>
      <c r="E6" s="44"/>
      <c r="F6" s="44"/>
      <c r="G6" s="44"/>
      <c r="H6" s="18"/>
      <c r="I6" s="44"/>
      <c r="J6" s="44"/>
      <c r="K6" s="70"/>
    </row>
    <row r="7" spans="2:11" ht="14.4" customHeight="1">
      <c r="B7" s="16"/>
      <c r="C7" s="17"/>
      <c r="D7" s="44"/>
      <c r="E7" s="44"/>
      <c r="F7" s="44"/>
      <c r="G7" s="44"/>
      <c r="H7" s="18"/>
      <c r="I7" s="44"/>
      <c r="J7" s="44"/>
      <c r="K7" s="70"/>
    </row>
    <row r="8" spans="2:11" ht="14.4" customHeight="1">
      <c r="B8" s="19"/>
      <c r="C8" s="20"/>
      <c r="D8" s="21"/>
      <c r="E8" s="21"/>
      <c r="F8" s="21"/>
      <c r="G8" s="21"/>
      <c r="H8" s="22"/>
      <c r="I8" s="21"/>
      <c r="J8" s="21"/>
      <c r="K8" s="71"/>
    </row>
    <row r="9" spans="2:11">
      <c r="B9" s="24" t="s">
        <v>0</v>
      </c>
      <c r="C9" s="25" t="s">
        <v>1</v>
      </c>
      <c r="D9" s="25" t="s">
        <v>2</v>
      </c>
      <c r="E9" s="25" t="s">
        <v>14</v>
      </c>
      <c r="F9" s="25" t="s">
        <v>62</v>
      </c>
      <c r="G9" s="26" t="s">
        <v>38</v>
      </c>
      <c r="H9" s="26" t="s">
        <v>63</v>
      </c>
      <c r="I9" s="25" t="s">
        <v>64</v>
      </c>
      <c r="J9" s="27" t="s">
        <v>71</v>
      </c>
      <c r="K9" s="27" t="s">
        <v>12</v>
      </c>
    </row>
    <row r="10" spans="2:11">
      <c r="B10" s="43" t="s">
        <v>112</v>
      </c>
      <c r="C10" s="28">
        <v>0.42884623300000002</v>
      </c>
      <c r="D10" s="30" t="s">
        <v>113</v>
      </c>
      <c r="E10" s="42" t="s">
        <v>17</v>
      </c>
      <c r="F10" s="42" t="s">
        <v>7</v>
      </c>
      <c r="G10" s="2" t="s">
        <v>39</v>
      </c>
      <c r="H10" s="42">
        <v>1</v>
      </c>
      <c r="I10" s="42">
        <v>1</v>
      </c>
      <c r="J10" s="5">
        <v>1</v>
      </c>
      <c r="K10" s="4" t="s">
        <v>114</v>
      </c>
    </row>
    <row r="11" spans="2:11">
      <c r="B11" s="7" t="s">
        <v>75</v>
      </c>
      <c r="C11" s="29"/>
      <c r="D11" s="8"/>
      <c r="E11" s="9"/>
      <c r="F11" s="9"/>
      <c r="G11" s="8"/>
      <c r="H11" s="9">
        <v>1</v>
      </c>
      <c r="I11" s="9">
        <v>1</v>
      </c>
      <c r="J11" s="10">
        <v>0</v>
      </c>
      <c r="K11" s="11" t="s">
        <v>76</v>
      </c>
    </row>
  </sheetData>
  <sheetProtection algorithmName="SHA-512" hashValue="23R8qB4OCS3GtpCmeYwHPZopk4THKF9FUnhYS9DCrqRbHG3i9lSsDvAj+xAueqbdKOsRbEsEQo/FFRHCfuKY8w==" saltValue="aHXDT9dl/g8SHxYyLHEJVA==" spinCount="100000" sheet="1" objects="1" scenarios="1" selectLockedCells="1"/>
  <mergeCells count="2">
    <mergeCell ref="B3:K3"/>
    <mergeCell ref="K4:K8"/>
  </mergeCells>
  <conditionalFormatting sqref="C10:C11">
    <cfRule type="expression" dxfId="9" priority="1">
      <formula>IF(AND($C10&lt;&gt;"",$J10=0),1,0)</formula>
    </cfRule>
    <cfRule type="expression" dxfId="8" priority="2">
      <formula>IF($C10&lt;&gt;"",1,0)</formula>
    </cfRule>
    <cfRule type="expression" dxfId="7" priority="3">
      <formula>$J10=0</formula>
    </cfRule>
  </conditionalFormatting>
  <conditionalFormatting sqref="K4">
    <cfRule type="expression" dxfId="1" priority="12">
      <formula>IF(COUNTA($C$10:$C$11)&lt;&gt;COUNTIF($J$10:$J$11,1),1,0)</formula>
    </cfRule>
    <cfRule type="expression" dxfId="0" priority="13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5AF7088-F723-450D-BB04-1A8725D1D1EC}">
          <x14:formula1>
            <xm:f>Reference!$A$2:$A$8</xm:f>
          </x14:formula1>
          <xm:sqref>F10:F11</xm:sqref>
        </x14:dataValidation>
        <x14:dataValidation type="list" allowBlank="1" showInputMessage="1" showErrorMessage="1" xr:uid="{2FFB9964-A22E-4B6C-8FA4-9608939CFB98}">
          <x14:formula1>
            <xm:f>Reference!$B$2:$B$18</xm:f>
          </x14:formula1>
          <xm:sqref>E10:E11</xm:sqref>
        </x14:dataValidation>
        <x14:dataValidation type="list" allowBlank="1" showInputMessage="1" showErrorMessage="1" xr:uid="{D4082089-0481-4713-8026-97EF14EEC22B}">
          <x14:formula1>
            <xm:f>Reference!$C$2:$C$23</xm:f>
          </x14:formula1>
          <xm:sqref>G10:G11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2:11">
      <c r="B2" s="39" t="str">
        <f>'Revision History'!$D$4</f>
        <v>REV. NO.1 (6/8/2022)</v>
      </c>
      <c r="C2" s="40"/>
      <c r="D2" s="40"/>
      <c r="E2" s="40"/>
      <c r="F2" s="40"/>
      <c r="G2" s="40"/>
      <c r="H2" s="40"/>
      <c r="I2" s="40"/>
      <c r="J2" s="40"/>
      <c r="K2" s="41" t="str">
        <f>'Revision History'!$J$4</f>
        <v>Scott Research Group (jkscottresearchgroup.com)</v>
      </c>
    </row>
    <row r="3" spans="2:11" ht="18">
      <c r="B3" s="68" t="s">
        <v>29</v>
      </c>
      <c r="C3" s="68"/>
      <c r="D3" s="68"/>
      <c r="E3" s="68"/>
      <c r="F3" s="68"/>
      <c r="G3" s="68"/>
      <c r="H3" s="68"/>
      <c r="I3" s="68"/>
      <c r="J3" s="68"/>
      <c r="K3" s="68"/>
    </row>
    <row r="4" spans="2:11" ht="14.4" customHeight="1">
      <c r="B4" s="12"/>
      <c r="C4" s="13"/>
      <c r="D4" s="14"/>
      <c r="E4" s="15"/>
      <c r="F4" s="15"/>
      <c r="G4" s="15"/>
      <c r="H4" s="15"/>
      <c r="I4" s="15"/>
      <c r="J4" s="15"/>
      <c r="K4" s="69" t="str">
        <f>IF(COUNTIF(Table110423[Test 3],1)=COUNTA(Table110423[Value]),"Ready","Not Ready")</f>
        <v>Ready</v>
      </c>
    </row>
    <row r="5" spans="2:11" ht="14.4" customHeight="1">
      <c r="B5" s="16"/>
      <c r="C5" s="17"/>
      <c r="D5" s="44"/>
      <c r="E5" s="44"/>
      <c r="F5" s="44"/>
      <c r="G5" s="44"/>
      <c r="H5" s="18"/>
      <c r="I5" s="44"/>
      <c r="J5" s="44"/>
      <c r="K5" s="70"/>
    </row>
    <row r="6" spans="2:11" ht="14.4" customHeight="1">
      <c r="B6" s="16"/>
      <c r="C6" s="17"/>
      <c r="D6" s="44"/>
      <c r="E6" s="44"/>
      <c r="F6" s="44"/>
      <c r="G6" s="44"/>
      <c r="H6" s="18"/>
      <c r="I6" s="44"/>
      <c r="J6" s="44"/>
      <c r="K6" s="70"/>
    </row>
    <row r="7" spans="2:11" ht="14.4" customHeight="1">
      <c r="B7" s="16"/>
      <c r="C7" s="17"/>
      <c r="D7" s="44"/>
      <c r="E7" s="44"/>
      <c r="F7" s="44"/>
      <c r="G7" s="44"/>
      <c r="H7" s="18"/>
      <c r="I7" s="44"/>
      <c r="J7" s="44"/>
      <c r="K7" s="70"/>
    </row>
    <row r="8" spans="2:11" ht="14.4" customHeight="1">
      <c r="B8" s="19"/>
      <c r="C8" s="20"/>
      <c r="D8" s="21"/>
      <c r="E8" s="21"/>
      <c r="F8" s="21"/>
      <c r="G8" s="21"/>
      <c r="H8" s="22"/>
      <c r="I8" s="21"/>
      <c r="J8" s="21"/>
      <c r="K8" s="71"/>
    </row>
    <row r="9" spans="2:11">
      <c r="B9" s="24" t="s">
        <v>0</v>
      </c>
      <c r="C9" s="25" t="s">
        <v>1</v>
      </c>
      <c r="D9" s="25" t="s">
        <v>2</v>
      </c>
      <c r="E9" s="25" t="s">
        <v>14</v>
      </c>
      <c r="F9" s="25" t="s">
        <v>62</v>
      </c>
      <c r="G9" s="26" t="s">
        <v>38</v>
      </c>
      <c r="H9" s="26" t="s">
        <v>63</v>
      </c>
      <c r="I9" s="25" t="s">
        <v>64</v>
      </c>
      <c r="J9" s="27" t="s">
        <v>71</v>
      </c>
      <c r="K9" s="27" t="s">
        <v>12</v>
      </c>
    </row>
    <row r="10" spans="2:11" ht="28.8">
      <c r="B10" s="43" t="s">
        <v>111</v>
      </c>
      <c r="C10" s="28">
        <v>0.75</v>
      </c>
      <c r="D10" s="30" t="s">
        <v>3</v>
      </c>
      <c r="E10" s="42" t="s">
        <v>17</v>
      </c>
      <c r="F10" s="42" t="s">
        <v>7</v>
      </c>
      <c r="G10" s="2" t="s">
        <v>52</v>
      </c>
      <c r="H10" s="42">
        <v>1</v>
      </c>
      <c r="I10" s="42">
        <v>1</v>
      </c>
      <c r="J10" s="5">
        <v>1</v>
      </c>
      <c r="K10" s="4" t="s">
        <v>92</v>
      </c>
    </row>
    <row r="11" spans="2:11">
      <c r="B11" s="7" t="s">
        <v>75</v>
      </c>
      <c r="C11" s="29"/>
      <c r="D11" s="8"/>
      <c r="E11" s="9"/>
      <c r="F11" s="9"/>
      <c r="G11" s="8"/>
      <c r="H11" s="9">
        <v>1</v>
      </c>
      <c r="I11" s="9">
        <v>1</v>
      </c>
      <c r="J11" s="10">
        <v>0</v>
      </c>
      <c r="K11" s="11" t="s">
        <v>76</v>
      </c>
    </row>
  </sheetData>
  <sheetProtection selectLockedCells="1"/>
  <mergeCells count="2">
    <mergeCell ref="B3:K3"/>
    <mergeCell ref="K4:K8"/>
  </mergeCells>
  <conditionalFormatting sqref="C10:C11">
    <cfRule type="expression" dxfId="6" priority="1">
      <formula>IF(AND($C10&lt;&gt;"",$J10=0),1,0)</formula>
    </cfRule>
    <cfRule type="expression" dxfId="5" priority="2">
      <formula>IF($C10&lt;&gt;"",1,0)</formula>
    </cfRule>
    <cfRule type="expression" dxfId="4" priority="3">
      <formula>$J10=0</formula>
    </cfRule>
  </conditionalFormatting>
  <conditionalFormatting sqref="K4">
    <cfRule type="expression" dxfId="3" priority="4">
      <formula>IF(COUNTA($C$10:$C$11)&lt;&gt;COUNTIF($J$10:$J$11,1),1,0)</formula>
    </cfRule>
    <cfRule type="expression" dxfId="2" priority="5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G10:G11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E10:E11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2E94-E305-4ABB-8FA7-43727A3EE10A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18" sqref="B18"/>
    </sheetView>
  </sheetViews>
  <sheetFormatPr defaultColWidth="0" defaultRowHeight="0" customHeight="1" zeroHeight="1"/>
  <cols>
    <col min="1" max="2" width="8.88671875" style="56" customWidth="1"/>
    <col min="3" max="3" width="13.109375" style="56" customWidth="1"/>
    <col min="4" max="4" width="13.44140625" style="56" customWidth="1"/>
    <col min="5" max="6" width="8.886718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546875" style="56" customWidth="1"/>
    <col min="12" max="17" width="8.88671875" style="56" customWidth="1"/>
    <col min="18" max="16384" width="8.88671875" style="56" hidden="1"/>
  </cols>
  <sheetData>
    <row r="1" spans="1:17" ht="14.4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tr">
        <f>'[2]Revision History'!$J$4</f>
        <v>Scott Research Group (jkscottresearchgroup.com)</v>
      </c>
    </row>
    <row r="2" spans="1:17" ht="14.4">
      <c r="A2" s="72" t="s">
        <v>108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</row>
    <row r="3" spans="1:17" ht="14.4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</row>
    <row r="4" spans="1:17" ht="14.4">
      <c r="A4" s="57"/>
      <c r="B4" s="58" t="s">
        <v>109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</row>
    <row r="5" spans="1:17" ht="14.4">
      <c r="A5" s="57"/>
      <c r="B5" s="59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</row>
    <row r="6" spans="1:17" ht="14.4">
      <c r="A6" s="57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</row>
    <row r="7" spans="1:17" ht="14.4">
      <c r="A7" s="57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</row>
    <row r="8" spans="1:17" ht="14.4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</row>
    <row r="9" spans="1:17" ht="14.4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</row>
    <row r="10" spans="1:17" ht="14.4">
      <c r="A10" s="57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</row>
    <row r="11" spans="1:17" ht="14.4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</row>
    <row r="12" spans="1:17" ht="14.4">
      <c r="A12" s="57"/>
      <c r="B12" s="58" t="s">
        <v>110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</row>
    <row r="13" spans="1:17" ht="14.4">
      <c r="A13" s="57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</row>
    <row r="14" spans="1:17" ht="14.4">
      <c r="A14" s="5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</row>
    <row r="15" spans="1:17" ht="14.4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</row>
    <row r="16" spans="1:17" ht="14.4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</row>
    <row r="17" spans="1:17" ht="14.4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</row>
    <row r="18" spans="1:17" ht="14.4">
      <c r="A18" s="5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</row>
    <row r="19" spans="1:17" ht="14.4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</row>
    <row r="20" spans="1:17" ht="14.4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</row>
    <row r="21" spans="1:17" ht="14.4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</row>
    <row r="22" spans="1:17" ht="14.4">
      <c r="A22" s="57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</row>
    <row r="23" spans="1:17" ht="14.4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</row>
    <row r="24" spans="1:17" ht="14.4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</row>
    <row r="25" spans="1:17" ht="14.4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</row>
    <row r="26" spans="1:17" ht="14.4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</row>
    <row r="27" spans="1:17" ht="14.4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</row>
    <row r="28" spans="1:17" ht="14.4">
      <c r="A28" s="57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</row>
    <row r="29" spans="1:17" ht="14.4">
      <c r="A29" s="57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</row>
    <row r="30" spans="1:17" ht="14.4">
      <c r="A30" s="57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</row>
    <row r="31" spans="1:17" ht="14.4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</row>
    <row r="32" spans="1:17" ht="14.4">
      <c r="A32" s="57"/>
      <c r="B32" s="59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</row>
    <row r="33" spans="1:17" ht="14.4">
      <c r="A33" s="57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</row>
    <row r="34" spans="1:17" ht="14.4">
      <c r="A34" s="57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F7797-9063-4092-AFE9-C8200621A356}">
  <sheetPr codeName="Sheet2">
    <tabColor rgb="FF00B050"/>
  </sheetPr>
  <dimension ref="A1:AV52"/>
  <sheetViews>
    <sheetView showGridLines="0" topLeftCell="A16" zoomScale="85" zoomScaleNormal="85" zoomScaleSheetLayoutView="55" workbookViewId="0">
      <selection activeCell="D4" sqref="D4:J4"/>
    </sheetView>
  </sheetViews>
  <sheetFormatPr defaultColWidth="0" defaultRowHeight="14.4" customHeight="1" zeroHeight="1"/>
  <cols>
    <col min="1" max="18" width="8.88671875" style="60" customWidth="1"/>
    <col min="19" max="48" width="0" style="60" hidden="1" customWidth="1"/>
    <col min="49" max="16384" width="8.88671875" style="60" hidden="1"/>
  </cols>
  <sheetData>
    <row r="1" spans="1:18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4"/>
      <c r="J1" s="55"/>
      <c r="K1" s="55"/>
      <c r="L1" s="55"/>
      <c r="M1" s="55"/>
      <c r="N1" s="55"/>
      <c r="O1" s="55"/>
      <c r="P1" s="55"/>
      <c r="Q1" s="55"/>
      <c r="R1" s="55" t="str">
        <f>'[2]Revision History'!$J$4</f>
        <v>Scott Research Group (jkscottresearchgroup.com)</v>
      </c>
    </row>
    <row r="2" spans="1:18">
      <c r="A2" s="61" t="s">
        <v>107</v>
      </c>
      <c r="B2" s="62"/>
      <c r="C2" s="62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4"/>
    </row>
    <row r="3" spans="1:18">
      <c r="A3" s="57"/>
      <c r="B3" s="58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6"/>
    </row>
    <row r="4" spans="1:18">
      <c r="A4" s="57"/>
      <c r="B4" s="58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6"/>
    </row>
    <row r="5" spans="1:18">
      <c r="A5" s="57"/>
      <c r="B5" s="58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6"/>
    </row>
    <row r="6" spans="1:18">
      <c r="A6" s="57"/>
      <c r="B6" s="58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6"/>
    </row>
    <row r="7" spans="1:18">
      <c r="A7" s="57"/>
      <c r="B7" s="58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6"/>
    </row>
    <row r="8" spans="1:18">
      <c r="A8" s="57"/>
      <c r="B8" s="58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6"/>
    </row>
    <row r="9" spans="1:18">
      <c r="A9" s="57"/>
      <c r="B9" s="58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6"/>
    </row>
    <row r="10" spans="1:18">
      <c r="A10" s="57"/>
      <c r="B10" s="58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6"/>
    </row>
    <row r="11" spans="1:18">
      <c r="A11" s="57"/>
      <c r="B11" s="58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6"/>
    </row>
    <row r="12" spans="1:18">
      <c r="A12" s="57"/>
      <c r="B12" s="58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6"/>
    </row>
    <row r="13" spans="1:18">
      <c r="A13" s="57"/>
      <c r="B13" s="58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6"/>
    </row>
    <row r="14" spans="1:18">
      <c r="A14" s="57"/>
      <c r="B14" s="58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6"/>
    </row>
    <row r="15" spans="1:18">
      <c r="A15" s="57"/>
      <c r="B15" s="58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6"/>
    </row>
    <row r="16" spans="1:18">
      <c r="A16" s="57"/>
      <c r="B16" s="58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6"/>
    </row>
    <row r="17" spans="1:18">
      <c r="A17" s="57"/>
      <c r="B17" s="58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6"/>
    </row>
    <row r="18" spans="1:18">
      <c r="A18" s="57"/>
      <c r="B18" s="58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6"/>
    </row>
    <row r="19" spans="1:18">
      <c r="A19" s="57"/>
      <c r="B19" s="58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6"/>
    </row>
    <row r="20" spans="1:18">
      <c r="A20" s="57"/>
      <c r="B20" s="58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6"/>
    </row>
    <row r="21" spans="1:18">
      <c r="A21" s="57"/>
      <c r="B21" s="58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6"/>
    </row>
    <row r="22" spans="1:18">
      <c r="A22" s="57"/>
      <c r="B22" s="58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6"/>
    </row>
    <row r="23" spans="1:18">
      <c r="A23" s="57"/>
      <c r="B23" s="58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6"/>
    </row>
    <row r="24" spans="1:18">
      <c r="A24" s="57"/>
      <c r="B24" s="58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6"/>
    </row>
    <row r="25" spans="1:18">
      <c r="A25" s="57"/>
      <c r="B25" s="58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6"/>
    </row>
    <row r="26" spans="1:18">
      <c r="A26" s="57"/>
      <c r="B26" s="58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6"/>
    </row>
    <row r="27" spans="1:18">
      <c r="A27" s="57"/>
      <c r="B27" s="58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6"/>
    </row>
    <row r="28" spans="1:18">
      <c r="A28" s="57"/>
      <c r="B28" s="58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6"/>
    </row>
    <row r="29" spans="1:18">
      <c r="A29" s="57"/>
      <c r="B29" s="58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6"/>
    </row>
    <row r="30" spans="1:18">
      <c r="A30" s="57"/>
      <c r="B30" s="58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6"/>
    </row>
    <row r="31" spans="1:18">
      <c r="A31" s="57"/>
      <c r="B31" s="58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6"/>
    </row>
    <row r="32" spans="1:18">
      <c r="A32" s="57"/>
      <c r="B32" s="58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6"/>
    </row>
    <row r="33" spans="1:18">
      <c r="A33" s="57"/>
      <c r="B33" s="58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6"/>
    </row>
    <row r="34" spans="1:18">
      <c r="A34" s="57"/>
      <c r="B34" s="58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6"/>
    </row>
    <row r="35" spans="1:18">
      <c r="A35" s="57"/>
      <c r="B35" s="58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  <row r="36" spans="1:18">
      <c r="A36" s="57"/>
      <c r="B36" s="58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6"/>
    </row>
    <row r="37" spans="1:18">
      <c r="A37" s="57"/>
      <c r="B37" s="58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6"/>
    </row>
    <row r="38" spans="1:18">
      <c r="A38" s="57"/>
      <c r="B38" s="58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6"/>
    </row>
    <row r="39" spans="1:18">
      <c r="A39" s="57"/>
      <c r="B39" s="58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6"/>
    </row>
    <row r="40" spans="1:18">
      <c r="A40" s="57"/>
      <c r="B40" s="58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6"/>
    </row>
    <row r="41" spans="1:18">
      <c r="A41" s="57"/>
      <c r="B41" s="58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6"/>
    </row>
    <row r="42" spans="1:18">
      <c r="A42" s="57"/>
      <c r="B42" s="58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6"/>
    </row>
    <row r="43" spans="1:18">
      <c r="A43" s="57"/>
      <c r="B43" s="58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6"/>
    </row>
    <row r="44" spans="1:18">
      <c r="A44" s="57"/>
      <c r="B44" s="58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6"/>
    </row>
    <row r="45" spans="1:18">
      <c r="A45" s="57"/>
      <c r="B45" s="58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6"/>
    </row>
    <row r="46" spans="1:18">
      <c r="A46" s="57"/>
      <c r="B46" s="58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6"/>
    </row>
    <row r="47" spans="1:18">
      <c r="A47" s="57"/>
      <c r="B47" s="58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6"/>
    </row>
    <row r="48" spans="1:18">
      <c r="A48" s="57"/>
      <c r="B48" s="58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6"/>
    </row>
    <row r="49" spans="1:18">
      <c r="A49" s="57"/>
      <c r="B49" s="58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6"/>
    </row>
    <row r="50" spans="1:18">
      <c r="A50" s="57"/>
      <c r="B50" s="58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6"/>
    </row>
    <row r="51" spans="1:18">
      <c r="A51" s="57"/>
      <c r="B51" s="58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6"/>
    </row>
    <row r="52" spans="1:18">
      <c r="A52" s="57"/>
      <c r="B52" s="58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6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D2"/>
  <sheetViews>
    <sheetView topLeftCell="CF1" workbookViewId="0">
      <selection activeCell="CM2" sqref="CM2"/>
    </sheetView>
  </sheetViews>
  <sheetFormatPr defaultRowHeight="14.4"/>
  <sheetData>
    <row r="1" spans="1:4">
      <c r="A1" t="s">
        <v>112</v>
      </c>
      <c r="B1" t="s">
        <v>75</v>
      </c>
      <c r="C1" t="s">
        <v>111</v>
      </c>
      <c r="D1" t="s">
        <v>75</v>
      </c>
    </row>
    <row r="2" spans="1:4">
      <c r="A2">
        <v>0.42884623300000002</v>
      </c>
      <c r="C2">
        <v>0.75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D2"/>
  <sheetViews>
    <sheetView topLeftCell="CC1" workbookViewId="0">
      <selection activeCell="CR2" sqref="CR2"/>
    </sheetView>
  </sheetViews>
  <sheetFormatPr defaultRowHeight="14.4"/>
  <sheetData>
    <row r="1" spans="1:4">
      <c r="A1" t="s">
        <v>112</v>
      </c>
      <c r="B1" t="s">
        <v>75</v>
      </c>
      <c r="C1" t="s">
        <v>111</v>
      </c>
      <c r="D1" t="s">
        <v>75</v>
      </c>
    </row>
    <row r="2" spans="1:4">
      <c r="A2">
        <v>1</v>
      </c>
      <c r="B2">
        <v>0</v>
      </c>
      <c r="C2">
        <v>1</v>
      </c>
      <c r="D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Revision History</vt:lpstr>
      <vt:lpstr>Reference</vt:lpstr>
      <vt:lpstr>Stream Properties</vt:lpstr>
      <vt:lpstr>Thermodynamic Properties</vt:lpstr>
      <vt:lpstr>Help</vt:lpstr>
      <vt:lpstr>PFD</vt:lpstr>
      <vt:lpstr>maintenance check list</vt:lpstr>
      <vt:lpstr>Data(Transposed)</vt:lpstr>
      <vt:lpstr>Data(Test)</vt:lpstr>
      <vt:lpstr>'Revision History'!Print_Area</vt:lpstr>
      <vt:lpstr>'Stream Properties'!Print_Area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2022-06-09T22:09:31Z</dcterms:modified>
</cp:coreProperties>
</file>