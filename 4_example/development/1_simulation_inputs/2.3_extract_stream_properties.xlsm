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27275623-9517-9A42-89BA-04ABBBEF7C98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Help" sheetId="41" r:id="rId4"/>
    <sheet name="maintenance check list" sheetId="28" state="hidden" r:id="rId5"/>
    <sheet name="Data(Transposed)" sheetId="3" state="hidden" r:id="rId6"/>
    <sheet name="Data(Test)" sheetId="9" state="hidden" r:id="rId7"/>
  </sheets>
  <functionGroups builtInGroupCount="19"/>
  <externalReferences>
    <externalReference r:id="rId8"/>
    <externalReference r:id="rId9"/>
    <externalReference r:id="rId10"/>
  </externalReferences>
  <definedNames>
    <definedName name="_xlnm._FilterDatabase" localSheetId="2" hidden="1">'Stream Properties'!$B$9:$K$9</definedName>
    <definedName name="_xlnm.Print_Area" localSheetId="0">'Revision History'!$C$3:$K$51</definedName>
    <definedName name="_xlnm.Print_Area" localSheetId="2">'Stream Properties'!$B$2:$K$12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39" l="1"/>
  <c r="I10" i="39"/>
  <c r="Q1" i="41"/>
  <c r="A1" i="41"/>
  <c r="K4" i="39"/>
  <c r="K2" i="39"/>
  <c r="B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H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<sst xmlns="http://schemas.openxmlformats.org/spreadsheetml/2006/main" count="154" uniqueCount="117">
  <si>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</si>
  <si>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</si>
  <si>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</si>
  <si>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</si>
  <si>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</si>
  <si>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</si>
  <si>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</si>
  <si>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</si>
  <si>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</si>
  <si>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</si>
  <si>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</si>
  <si>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</si>
  <si>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</si>
  <si>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</si>
  <si>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</si>
  <si>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</si>
  <si>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</si>
  <si>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</si>
  <si>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</si>
  <si>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</si>
  <si>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</si>
  <si>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</si>
  <si>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</si>
  <si>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</si>
  <si>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</si>
  <si>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</si>
  <si>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</si>
  <si>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</si>
  <si>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</si>
  <si>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</si>
  <si>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</si>
  <si>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</si>
  <si>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</si>
  <si>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</si>
  <si>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</si>
  <si>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</si>
  <si>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</si>
  <si>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</si>
  <si>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</si>
  <si>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</si>
  <si>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</si>
  <si>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</si>
  <si>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</si>
  <si>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</si>
  <si>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</si>
  <si>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</si>
  <si>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</si>
  <si>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</si>
  <si>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</si>
  <si>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</si>
  <si>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</si>
  <si>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</si>
  <si>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</si>
  <si>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</si>
  <si>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</si>
  <si>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</si>
  <si>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</si>
  <si>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</si>
  <si>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</si>
  <si>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</si>
  <si>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</si>
  <si>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</si>
  <si>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</si>
  <si>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</si>
  <si>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</si>
  <si>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</si>
  <si>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</si>
  <si>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</si>
  <si>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</si>
  <si>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</si>
  <si>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</si>
  <si>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</si>
  <si>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</si>
  <si>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</si>
  <si>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</si>
  <si>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</si>
  <si>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</si>
  <si>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</si>
  <si>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</si>
  <si>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</si>
  <si>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</si>
  <si>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</si>
  <si>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</si>
  <si>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</si>
  <si>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</si>
  <si>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</si>
  <si>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</si>
  <si>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</si>
  <si>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</si>
  <si>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</si>
  <si>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</si>
  <si>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</si>
  <si>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</si>
  <si>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</si>
  <si>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</si>
  <si>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</si>
  <si>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yExC1</t>
  </si>
  <si>
    <t>yExC2</t>
  </si>
  <si>
    <t>The extract product mole fraction of ith component at the extract product pressure; the first component is the light key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</si>
  <si>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</si>
  <si>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</si>
  <si>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</si>
  <si>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</si>
  <si>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</si>
  <si>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</si>
  <si>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</si>
  <si>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</si>
  <si>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</si>
  <si>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</si>
  <si>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</si>
  <si>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</si>
  <si>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</si>
  <si>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</si>
  <si>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Adsorbate Information</t>
  </si>
  <si>
    <t>Physical Property Reference Sources</t>
  </si>
  <si>
    <t>Assumptions</t>
  </si>
  <si>
    <t>1. Make sure that the light key is defined as the first adsorbate species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</si>
</sst>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PFD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C10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B9:K12" totalsRowShown="0" headerRowDxfId="14" dataDxfId="12" headerRowBorderDxfId="13" tableBorderDxfId="11" totalsRowBorderDxfId="10">
  <autoFilter ref="B9:K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1A026445-FB9B-4762-B965-16991A5C1815}">
    <text>place 1 if we want to keep the row when re-initializing. Otherwise, leave it as a blank.</text>
  </threadedComment>
  <threadedComment ref="I9" dT="2020-11-26T18:35:03.27" personId="{7F98AE94-13FB-49E1-9262-339C11E0EDB4}" id="{D80DBB20-50CB-4F00-9538-DAD0AE44E42D}">
    <text>supply a value greater than 1 if you want to duplicate the row</text>
  </threadedComment>
  <threadedComment ref="J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J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D4" sqref="D4:J4"/>
    </sheetView>
  </sheetViews>
  <sheetFormatPr baseColWidth="10" defaultColWidth="0" defaultRowHeight="15" zeroHeight="1" x14ac:dyDescent="0.2"/>
  <cols>
    <col min="1" max="2" width="3.33203125" style="32" hidden="1" customWidth="1"/>
    <col min="3" max="3" width="2.5" style="32" customWidth="1"/>
    <col min="4" max="4" width="13.83203125" style="32" customWidth="1"/>
    <col min="5" max="5" width="51.33203125" style="33" bestFit="1" customWidth="1"/>
    <col min="6" max="6" width="15.83203125" style="34" bestFit="1" customWidth="1"/>
    <col min="7" max="9" width="13.33203125" style="32" customWidth="1"/>
    <col min="10" max="10" width="48.83203125" style="32" customWidth="1"/>
    <col min="11" max="11" width="2.5" style="32" customWidth="1"/>
    <col min="12" max="12" width="0" style="32" hidden="1" customWidth="1"/>
    <col min="13" max="16384" width="9" style="32" hidden="1"/>
  </cols>
  <sheetData>
    <row r="3" spans="4:10" x14ac:dyDescent="0.2"/>
    <row r="4" spans="4:10" ht="19" x14ac:dyDescent="0.25">
      <c r="D4" s="51" t="s">
        <v>112</v>
      </c>
      <c r="E4" s="52"/>
      <c r="F4" s="53"/>
      <c r="G4" s="54"/>
      <c r="H4" s="54"/>
      <c r="I4" s="54"/>
      <c r="J4" s="35" t="s">
        <v>82</v>
      </c>
    </row>
    <row r="5" spans="4:10" ht="40" x14ac:dyDescent="0.2">
      <c r="D5" s="61" t="s">
        <v>36</v>
      </c>
      <c r="E5" s="61"/>
      <c r="F5" s="61"/>
      <c r="G5" s="61"/>
      <c r="H5" s="61"/>
      <c r="I5" s="61"/>
      <c r="J5" s="61"/>
    </row>
    <row r="6" spans="4:10" ht="20" x14ac:dyDescent="0.2">
      <c r="D6" s="45" t="s">
        <v>30</v>
      </c>
      <c r="E6" s="45" t="s">
        <v>110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36">
        <v>1</v>
      </c>
      <c r="E7" s="48" t="s">
        <v>111</v>
      </c>
      <c r="F7" s="49">
        <v>44720</v>
      </c>
      <c r="G7" s="50" t="s">
        <v>37</v>
      </c>
      <c r="H7" s="36"/>
      <c r="I7" s="36"/>
      <c r="J7" s="37"/>
    </row>
    <row r="8" spans="4:10" ht="19" x14ac:dyDescent="0.2">
      <c r="D8" s="36">
        <v>2</v>
      </c>
      <c r="E8" s="37"/>
      <c r="F8" s="38"/>
      <c r="G8" s="36"/>
      <c r="H8" s="36"/>
      <c r="I8" s="36"/>
      <c r="J8" s="37"/>
    </row>
    <row r="9" spans="4:10" ht="19" x14ac:dyDescent="0.2">
      <c r="D9" s="36">
        <v>3</v>
      </c>
      <c r="E9" s="37"/>
      <c r="F9" s="38"/>
      <c r="G9" s="36"/>
      <c r="H9" s="36"/>
      <c r="I9" s="36"/>
      <c r="J9" s="37"/>
    </row>
    <row r="10" spans="4:10" ht="19" x14ac:dyDescent="0.2">
      <c r="D10" s="36">
        <v>4</v>
      </c>
      <c r="E10" s="37"/>
      <c r="F10" s="38"/>
      <c r="G10" s="36"/>
      <c r="H10" s="36"/>
      <c r="I10" s="36"/>
      <c r="J10" s="37"/>
    </row>
    <row r="11" spans="4:10" ht="19" x14ac:dyDescent="0.2">
      <c r="D11" s="36">
        <v>5</v>
      </c>
      <c r="E11" s="37"/>
      <c r="F11" s="38"/>
      <c r="G11" s="36"/>
      <c r="H11" s="36"/>
      <c r="I11" s="36"/>
      <c r="J11" s="37"/>
    </row>
    <row r="12" spans="4:10" ht="19" x14ac:dyDescent="0.2">
      <c r="D12" s="36">
        <v>6</v>
      </c>
      <c r="E12" s="37"/>
      <c r="F12" s="38"/>
      <c r="G12" s="36"/>
      <c r="H12" s="36"/>
      <c r="I12" s="36"/>
      <c r="J12" s="37"/>
    </row>
    <row r="13" spans="4:10" ht="19" x14ac:dyDescent="0.2">
      <c r="D13" s="36">
        <v>7</v>
      </c>
      <c r="E13" s="37"/>
      <c r="F13" s="38"/>
      <c r="G13" s="36"/>
      <c r="H13" s="36"/>
      <c r="I13" s="36"/>
      <c r="J13" s="37"/>
    </row>
    <row r="14" spans="4:10" ht="19" x14ac:dyDescent="0.2">
      <c r="D14" s="36">
        <v>8</v>
      </c>
      <c r="E14" s="37"/>
      <c r="F14" s="38"/>
      <c r="G14" s="36"/>
      <c r="H14" s="36"/>
      <c r="I14" s="36"/>
      <c r="J14" s="37"/>
    </row>
    <row r="15" spans="4:10" ht="19" x14ac:dyDescent="0.2">
      <c r="D15" s="36">
        <v>9</v>
      </c>
      <c r="E15" s="37"/>
      <c r="F15" s="38"/>
      <c r="G15" s="36"/>
      <c r="H15" s="36"/>
      <c r="I15" s="36"/>
      <c r="J15" s="37"/>
    </row>
    <row r="16" spans="4:10" ht="19" x14ac:dyDescent="0.2">
      <c r="D16" s="36">
        <v>10</v>
      </c>
      <c r="E16" s="37"/>
      <c r="F16" s="38"/>
      <c r="G16" s="36"/>
      <c r="H16" s="36"/>
      <c r="I16" s="36"/>
      <c r="J16" s="39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94</v>
      </c>
      <c r="S1" t="s">
        <v>95</v>
      </c>
      <c r="T1" t="s">
        <v>101</v>
      </c>
      <c r="U1" t="s">
        <v>102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103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104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105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106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107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108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109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99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100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I10" sqref="I10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84" width="8.83203125" style="3" hidden="1"/>
  </cols>
  <sheetData>
    <row r="1" spans="2:11" ht="15" hidden="1" x14ac:dyDescent="0.2">
      <c r="B1" s="25"/>
      <c r="C1" s="25"/>
      <c r="D1" s="25"/>
      <c r="E1" s="25"/>
      <c r="F1" s="25"/>
      <c r="G1" s="25"/>
      <c r="H1" s="25"/>
      <c r="I1" s="25"/>
      <c r="J1" s="25"/>
      <c r="K1" s="25"/>
    </row>
    <row r="2" spans="2:11" ht="15" x14ac:dyDescent="0.2">
      <c r="B2" s="40" t="str">
        <f>'Revision History'!$D$4</f>
        <v>REV. NO.1 (6/8/2022)</v>
      </c>
      <c r="C2" s="41"/>
      <c r="D2" s="41"/>
      <c r="E2" s="41"/>
      <c r="F2" s="41"/>
      <c r="G2" s="41"/>
      <c r="H2" s="41"/>
      <c r="I2" s="41"/>
      <c r="J2" s="41"/>
      <c r="K2" s="42" t="str">
        <f>'Revision History'!$J$4</f>
        <v>Scott Research Group (jkscottresearchgroup.com)</v>
      </c>
    </row>
    <row r="3" spans="2:11" ht="19" x14ac:dyDescent="0.2">
      <c r="B3" s="62" t="s">
        <v>29</v>
      </c>
      <c r="C3" s="62"/>
      <c r="D3" s="62"/>
      <c r="E3" s="62"/>
      <c r="F3" s="62"/>
      <c r="G3" s="62"/>
      <c r="H3" s="62"/>
      <c r="I3" s="62"/>
      <c r="J3" s="62"/>
      <c r="K3" s="62"/>
    </row>
    <row r="4" spans="2:11" ht="14.5" customHeight="1" x14ac:dyDescent="0.2">
      <c r="B4" s="13"/>
      <c r="C4" s="14"/>
      <c r="D4" s="15"/>
      <c r="E4" s="16"/>
      <c r="F4" s="16"/>
      <c r="G4" s="16"/>
      <c r="H4" s="16"/>
      <c r="I4" s="16"/>
      <c r="J4" s="16"/>
      <c r="K4" s="63" t="str">
        <f>IF(COUNTIF(Table11082[Test 3],1)=COUNTA(Table11082[Value]),"Ready","Not Ready")</f>
        <v>Ready</v>
      </c>
    </row>
    <row r="5" spans="2:11" ht="14.5" customHeight="1" x14ac:dyDescent="0.2">
      <c r="B5" s="17"/>
      <c r="C5" s="18"/>
      <c r="D5" s="47"/>
      <c r="E5" s="47"/>
      <c r="F5" s="47"/>
      <c r="G5" s="47"/>
      <c r="H5" s="19"/>
      <c r="I5" s="47"/>
      <c r="J5" s="47"/>
      <c r="K5" s="64"/>
    </row>
    <row r="6" spans="2:11" ht="14.5" customHeight="1" x14ac:dyDescent="0.2">
      <c r="B6" s="17"/>
      <c r="C6" s="18"/>
      <c r="D6" s="47"/>
      <c r="E6" s="47"/>
      <c r="F6" s="47"/>
      <c r="G6" s="47"/>
      <c r="H6" s="19"/>
      <c r="I6" s="47"/>
      <c r="J6" s="47"/>
      <c r="K6" s="64"/>
    </row>
    <row r="7" spans="2:11" ht="14.5" customHeight="1" x14ac:dyDescent="0.2">
      <c r="B7" s="17"/>
      <c r="C7" s="18"/>
      <c r="D7" s="47"/>
      <c r="E7" s="47"/>
      <c r="F7" s="47"/>
      <c r="G7" s="47"/>
      <c r="H7" s="19"/>
      <c r="I7" s="47"/>
      <c r="J7" s="47"/>
      <c r="K7" s="64"/>
    </row>
    <row r="8" spans="2:11" ht="14.5" customHeight="1" x14ac:dyDescent="0.2">
      <c r="B8" s="20"/>
      <c r="C8" s="21"/>
      <c r="D8" s="22"/>
      <c r="E8" s="22"/>
      <c r="F8" s="22"/>
      <c r="G8" s="22"/>
      <c r="H8" s="23"/>
      <c r="I8" s="22"/>
      <c r="J8" s="22"/>
      <c r="K8" s="65"/>
    </row>
    <row r="9" spans="2:11" ht="16" x14ac:dyDescent="0.2">
      <c r="B9" s="26" t="s">
        <v>0</v>
      </c>
      <c r="C9" s="27" t="s">
        <v>1</v>
      </c>
      <c r="D9" s="27" t="s">
        <v>2</v>
      </c>
      <c r="E9" s="27" t="s">
        <v>14</v>
      </c>
      <c r="F9" s="27" t="s">
        <v>62</v>
      </c>
      <c r="G9" s="28" t="s">
        <v>38</v>
      </c>
      <c r="H9" s="28" t="s">
        <v>63</v>
      </c>
      <c r="I9" s="27" t="s">
        <v>64</v>
      </c>
      <c r="J9" s="29" t="s">
        <v>71</v>
      </c>
      <c r="K9" s="29" t="s">
        <v>12</v>
      </c>
    </row>
    <row r="10" spans="2:11" ht="48" x14ac:dyDescent="0.2">
      <c r="B10" s="4" t="s">
        <v>96</v>
      </c>
      <c r="C10" s="30">
        <v>0.2</v>
      </c>
      <c r="D10" s="2" t="s">
        <v>3</v>
      </c>
      <c r="E10" s="46" t="s">
        <v>22</v>
      </c>
      <c r="F10" s="46" t="s">
        <v>7</v>
      </c>
      <c r="G10" s="2" t="s">
        <v>39</v>
      </c>
      <c r="H10" s="46">
        <v>1</v>
      </c>
      <c r="I10" s="46">
        <f>[1]Initialization!$C$10</f>
        <v>2</v>
      </c>
      <c r="J10" s="6">
        <v>1</v>
      </c>
      <c r="K10" s="5" t="s">
        <v>98</v>
      </c>
    </row>
    <row r="11" spans="2:11" ht="48" x14ac:dyDescent="0.2">
      <c r="B11" s="4" t="s">
        <v>97</v>
      </c>
      <c r="C11" s="30">
        <v>0.8</v>
      </c>
      <c r="D11" s="2" t="s">
        <v>3</v>
      </c>
      <c r="E11" s="46" t="s">
        <v>22</v>
      </c>
      <c r="F11" s="46" t="s">
        <v>7</v>
      </c>
      <c r="G11" s="2" t="s">
        <v>39</v>
      </c>
      <c r="H11" s="46"/>
      <c r="I11" s="46">
        <f>[1]Initialization!$C$10</f>
        <v>2</v>
      </c>
      <c r="J11" s="6">
        <v>1</v>
      </c>
      <c r="K11" s="5" t="s">
        <v>98</v>
      </c>
    </row>
    <row r="12" spans="2:11" ht="16" x14ac:dyDescent="0.2">
      <c r="B12" s="8" t="s">
        <v>75</v>
      </c>
      <c r="C12" s="31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76</v>
      </c>
    </row>
  </sheetData>
  <sheetProtection selectLockedCells="1"/>
  <mergeCells count="2">
    <mergeCell ref="B3:K3"/>
    <mergeCell ref="K4:K8"/>
  </mergeCells>
  <conditionalFormatting sqref="C10:C12">
    <cfRule type="expression" dxfId="19" priority="7">
      <formula>IF(AND($C10&lt;&gt;"",$J10=0),1,0)</formula>
    </cfRule>
    <cfRule type="expression" dxfId="18" priority="8">
      <formula>IF($C10&lt;&gt;"",1,0)</formula>
    </cfRule>
    <cfRule type="expression" dxfId="17" priority="9">
      <formula>$J10=0</formula>
    </cfRule>
  </conditionalFormatting>
  <conditionalFormatting sqref="K4">
    <cfRule type="expression" dxfId="16" priority="93">
      <formula>IF(COUNTA($C$10:$C$12)&lt;&gt;COUNTIF($J$10:$J$12,1),1,0)</formula>
    </cfRule>
    <cfRule type="expression" dxfId="15" priority="94">
      <formula>IF(COUNTA($C$10:$C$12)=COUNTIF($J$10:$J$12,1),1,0)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177800</xdr:colOff>
                    <xdr:row>4</xdr:row>
                    <xdr:rowOff>76200</xdr:rowOff>
                  </from>
                  <to>
                    <xdr:col>2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1016000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139700</xdr:colOff>
                    <xdr:row>4</xdr:row>
                    <xdr:rowOff>76200</xdr:rowOff>
                  </from>
                  <to>
                    <xdr:col>5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F10:F12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E10:E12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G10:G12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2" sqref="C12"/>
    </sheetView>
  </sheetViews>
  <sheetFormatPr baseColWidth="10" defaultColWidth="0" defaultRowHeight="0" customHeight="1" zeroHeight="1" x14ac:dyDescent="0.2"/>
  <cols>
    <col min="1" max="2" width="8.83203125" style="58" customWidth="1"/>
    <col min="3" max="3" width="13.1640625" style="58" customWidth="1"/>
    <col min="4" max="4" width="13.5" style="58" customWidth="1"/>
    <col min="5" max="6" width="8.83203125" style="58" customWidth="1"/>
    <col min="7" max="7" width="14.83203125" style="58" customWidth="1"/>
    <col min="8" max="8" width="11.6640625" style="58" customWidth="1"/>
    <col min="9" max="9" width="10.33203125" style="58" customWidth="1"/>
    <col min="10" max="10" width="5.6640625" style="58" customWidth="1"/>
    <col min="11" max="11" width="10.5" style="58" customWidth="1"/>
    <col min="12" max="17" width="8.83203125" style="58" customWidth="1"/>
    <col min="18" max="16384" width="8.83203125" style="58" hidden="1"/>
  </cols>
  <sheetData>
    <row r="1" spans="1:17" ht="15" x14ac:dyDescent="0.2">
      <c r="A1" s="55" t="str">
        <f>'[2]Revision History'!D4</f>
        <v>REV. NO.1 (6/8/2022)</v>
      </c>
      <c r="B1" s="56"/>
      <c r="C1" s="56"/>
      <c r="D1" s="56"/>
      <c r="E1" s="56"/>
      <c r="F1" s="56"/>
      <c r="G1" s="56"/>
      <c r="H1" s="56"/>
      <c r="I1" s="57"/>
      <c r="J1" s="57"/>
      <c r="K1" s="57"/>
      <c r="L1" s="57"/>
      <c r="M1" s="57"/>
      <c r="N1" s="57"/>
      <c r="O1" s="57"/>
      <c r="P1" s="57"/>
      <c r="Q1" s="57" t="str">
        <f>'[3]Revision History'!$J$4</f>
        <v>Scott Research Group (jkscottresearchgroup.com)</v>
      </c>
    </row>
    <row r="2" spans="1:17" ht="15" x14ac:dyDescent="0.2">
      <c r="A2" s="66" t="s">
        <v>113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</row>
    <row r="3" spans="1:17" ht="15" x14ac:dyDescent="0.2">
      <c r="A3" s="24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</row>
    <row r="4" spans="1:17" ht="15" x14ac:dyDescent="0.2">
      <c r="A4" s="24"/>
      <c r="B4" s="59" t="s">
        <v>114</v>
      </c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</row>
    <row r="5" spans="1:17" ht="15" x14ac:dyDescent="0.2">
      <c r="A5" s="24"/>
      <c r="B5" s="59"/>
      <c r="C5" s="59" t="s">
        <v>90</v>
      </c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</row>
    <row r="6" spans="1:17" ht="15" x14ac:dyDescent="0.2">
      <c r="A6" s="24"/>
      <c r="B6" s="59"/>
      <c r="C6" s="59"/>
      <c r="D6" s="44" t="s">
        <v>91</v>
      </c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</row>
    <row r="7" spans="1:17" ht="15" x14ac:dyDescent="0.2">
      <c r="A7" s="24"/>
      <c r="B7" s="59"/>
      <c r="C7" s="59" t="s">
        <v>92</v>
      </c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</row>
    <row r="8" spans="1:17" ht="15" x14ac:dyDescent="0.2">
      <c r="A8" s="24"/>
      <c r="B8" s="59"/>
      <c r="C8" s="59"/>
      <c r="D8" s="43" t="s">
        <v>93</v>
      </c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</row>
    <row r="9" spans="1:17" ht="15" x14ac:dyDescent="0.2">
      <c r="A9" s="24"/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</row>
    <row r="10" spans="1:17" ht="15" x14ac:dyDescent="0.2">
      <c r="A10" s="24"/>
      <c r="B10" s="59" t="s">
        <v>115</v>
      </c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</row>
    <row r="11" spans="1:17" ht="15" x14ac:dyDescent="0.2">
      <c r="A11" s="24"/>
      <c r="B11" s="59"/>
      <c r="C11" s="59" t="s">
        <v>116</v>
      </c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</row>
    <row r="12" spans="1:17" ht="15" x14ac:dyDescent="0.2">
      <c r="A12" s="24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</row>
    <row r="13" spans="1:17" ht="15" x14ac:dyDescent="0.2">
      <c r="A13" s="24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</row>
    <row r="14" spans="1:17" ht="15" x14ac:dyDescent="0.2">
      <c r="A14" s="24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</row>
    <row r="15" spans="1:17" ht="15" x14ac:dyDescent="0.2">
      <c r="A15" s="24"/>
      <c r="B15" s="59"/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</row>
    <row r="16" spans="1:17" ht="15" x14ac:dyDescent="0.2">
      <c r="A16" s="24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</row>
    <row r="17" spans="1:17" ht="15" x14ac:dyDescent="0.2">
      <c r="A17" s="24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</row>
    <row r="18" spans="1:17" ht="15" x14ac:dyDescent="0.2">
      <c r="A18" s="24"/>
      <c r="B18" s="5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 ht="15" x14ac:dyDescent="0.2">
      <c r="A19" s="24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 ht="15" x14ac:dyDescent="0.2">
      <c r="A20" s="24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 ht="15" x14ac:dyDescent="0.2">
      <c r="A21" s="24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 ht="15" x14ac:dyDescent="0.2">
      <c r="A22" s="24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 ht="15" x14ac:dyDescent="0.2">
      <c r="A23" s="24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 ht="15" x14ac:dyDescent="0.2">
      <c r="A24" s="24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 ht="15" x14ac:dyDescent="0.2">
      <c r="A25" s="24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 ht="15" x14ac:dyDescent="0.2">
      <c r="A26" s="24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 ht="15" x14ac:dyDescent="0.2">
      <c r="A27" s="24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 ht="15" x14ac:dyDescent="0.2">
      <c r="A28" s="24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 ht="15" x14ac:dyDescent="0.2">
      <c r="A29" s="24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 ht="15" x14ac:dyDescent="0.2">
      <c r="A30" s="24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ht="15" x14ac:dyDescent="0.2">
      <c r="A31" s="24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</row>
    <row r="32" spans="1:17" ht="15" x14ac:dyDescent="0.2">
      <c r="A32" s="24"/>
      <c r="B32" s="60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</row>
    <row r="33" spans="1:17" ht="15" x14ac:dyDescent="0.2">
      <c r="A33" s="24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</row>
    <row r="34" spans="1:17" ht="15" x14ac:dyDescent="0.2">
      <c r="A34" s="24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96</v>
      </c>
      <c r="B1" t="s">
        <v>97</v>
      </c>
      <c r="C1" t="s">
        <v>75</v>
      </c>
    </row>
    <row r="2" spans="1:3" x14ac:dyDescent="0.2">
      <c r="A2">
        <v>0.2</v>
      </c>
      <c r="B2">
        <v>0.8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96</v>
      </c>
      <c r="B1" t="s">
        <v>97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Revision History</vt:lpstr>
      <vt:lpstr>Reference</vt:lpstr>
      <vt:lpstr>Stream Properties</vt:lpstr>
      <vt:lpstr>Help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2022-08-28T01:11:27Z</dcterms:modified>
</cp:coreProperties>
</file>