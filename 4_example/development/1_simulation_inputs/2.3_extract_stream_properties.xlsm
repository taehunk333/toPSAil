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773FF4D5-D512-4DE1-92FD-037042A9036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PFD" sheetId="42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2" hidden="1">'Stream Properties'!$B$9:$K$9</definedName>
    <definedName name="_xlnm.Print_Area" localSheetId="0">'Revision History'!$C$3:$K$51</definedName>
    <definedName name="_xlnm.Print_Area" localSheetId="2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R1" i="42"/>
  <c r="A1" i="42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<sst xmlns="http://schemas.openxmlformats.org/spreadsheetml/2006/main" count="155" uniqueCount="118">
  <si>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</si>
  <si>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</si>
  <si>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</si>
  <si>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</si>
  <si>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</si>
  <si>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</si>
  <si>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</si>
  <si>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</si>
  <si>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</si>
  <si>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</si>
  <si>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</si>
  <si>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</si>
  <si>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</si>
  <si>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</si>
  <si>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</si>
  <si>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</si>
  <si>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</si>
  <si>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</si>
  <si>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</si>
  <si>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</si>
  <si>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</si>
  <si>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</si>
  <si>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</si>
  <si>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</si>
  <si>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</si>
  <si>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</si>
  <si>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</si>
  <si>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</si>
  <si>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</si>
  <si>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</si>
  <si>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</si>
  <si>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</si>
  <si>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</si>
  <si>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</si>
  <si>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</si>
  <si>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</si>
  <si>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</si>
  <si>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</si>
  <si>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</si>
  <si>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</si>
  <si>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</si>
  <si>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</si>
  <si>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</si>
  <si>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</si>
  <si>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</si>
  <si>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</si>
  <si>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</si>
  <si>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</si>
  <si>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</si>
  <si>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</si>
  <si>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</si>
  <si>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</si>
  <si>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</si>
  <si>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</si>
  <si>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</si>
  <si>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</si>
  <si>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</si>
  <si>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</si>
  <si>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</si>
  <si>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</si>
  <si>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</si>
  <si>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</si>
  <si>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</si>
  <si>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</si>
  <si>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</si>
  <si>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</si>
  <si>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</si>
  <si>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</si>
  <si>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</si>
  <si>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</si>
  <si>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</si>
  <si>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</si>
  <si>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</si>
  <si>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</si>
  <si>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</si>
  <si>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</si>
  <si>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</si>
  <si>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</si>
  <si>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</si>
  <si>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</si>
  <si>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</si>
  <si>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</si>
  <si>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</si>
  <si>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</si>
  <si>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</si>
  <si>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</si>
  <si>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</si>
  <si>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</si>
  <si>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</si>
  <si>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</si>
  <si>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</si>
  <si>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</si>
  <si>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</si>
  <si>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</si>
  <si>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</si>
  <si>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</si>
  <si>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yExC1</t>
  </si>
  <si>
    <t>yExC2</t>
  </si>
  <si>
    <t>The extract product mole fraction of ith component at the extract product pressure; the first component is the light key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</si>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</sst>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14" dataDxfId="12" headerRowBorderDxfId="13" tableBorderDxfId="11" totalsRowBorderDxfId="10">
  <autoFilter ref="B9:K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8" hidden="1" customWidth="1"/>
    <col min="3" max="3" width="2.44140625" style="38" customWidth="1"/>
    <col min="4" max="4" width="13.88671875" style="38" customWidth="1"/>
    <col min="5" max="5" width="51.33203125" style="39" bestFit="1" customWidth="1"/>
    <col min="6" max="6" width="15.77734375" style="40" bestFit="1" customWidth="1"/>
    <col min="7" max="9" width="13.33203125" style="38" customWidth="1"/>
    <col min="10" max="10" width="48.88671875" style="38" customWidth="1"/>
    <col min="11" max="11" width="2.44140625" style="38" customWidth="1"/>
    <col min="12" max="12" width="0" style="38" hidden="1" customWidth="1"/>
    <col min="13" max="16384" width="9" style="38" hidden="1"/>
  </cols>
  <sheetData>
    <row r="3" spans="4:10"/>
    <row r="4" spans="4:10" ht="18">
      <c r="D4" s="57" t="s">
        <v>112</v>
      </c>
      <c r="E4" s="58"/>
      <c r="F4" s="59"/>
      <c r="G4" s="60"/>
      <c r="H4" s="60"/>
      <c r="I4" s="60"/>
      <c r="J4" s="41" t="s">
        <v>82</v>
      </c>
    </row>
    <row r="5" spans="4:10" ht="36">
      <c r="D5" s="68" t="s">
        <v>36</v>
      </c>
      <c r="E5" s="68"/>
      <c r="F5" s="68"/>
      <c r="G5" s="68"/>
      <c r="H5" s="68"/>
      <c r="I5" s="68"/>
      <c r="J5" s="68"/>
    </row>
    <row r="6" spans="4:10" ht="18">
      <c r="D6" s="51" t="s">
        <v>30</v>
      </c>
      <c r="E6" s="51" t="s">
        <v>110</v>
      </c>
      <c r="F6" s="51" t="s">
        <v>31</v>
      </c>
      <c r="G6" s="51" t="s">
        <v>32</v>
      </c>
      <c r="H6" s="51" t="s">
        <v>33</v>
      </c>
      <c r="I6" s="51" t="s">
        <v>34</v>
      </c>
      <c r="J6" s="51" t="s">
        <v>35</v>
      </c>
    </row>
    <row r="7" spans="4:10" ht="36">
      <c r="D7" s="42">
        <v>1</v>
      </c>
      <c r="E7" s="54" t="s">
        <v>111</v>
      </c>
      <c r="F7" s="55">
        <v>44720</v>
      </c>
      <c r="G7" s="56" t="s">
        <v>37</v>
      </c>
      <c r="H7" s="42"/>
      <c r="I7" s="42"/>
      <c r="J7" s="43"/>
    </row>
    <row r="8" spans="4:10" ht="18">
      <c r="D8" s="42">
        <v>2</v>
      </c>
      <c r="E8" s="43"/>
      <c r="F8" s="44"/>
      <c r="G8" s="42"/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94</v>
      </c>
      <c r="S1" t="s">
        <v>95</v>
      </c>
      <c r="T1" t="s">
        <v>101</v>
      </c>
      <c r="U1" t="s">
        <v>102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103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104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105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106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107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108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109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99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100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0" sqref="I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IF(COUNTIF(Table11082[Test 3],1)=COUNTA(Table11082[Value]),"Ready","Not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71</v>
      </c>
      <c r="K9" s="35" t="s">
        <v>12</v>
      </c>
    </row>
    <row r="10" spans="2:11" ht="43.2">
      <c r="B10" s="4" t="s">
        <v>96</v>
      </c>
      <c r="C10" s="36">
        <v>0.2</v>
      </c>
      <c r="D10" s="2" t="s">
        <v>3</v>
      </c>
      <c r="E10" s="52" t="s">
        <v>22</v>
      </c>
      <c r="F10" s="52" t="s">
        <v>7</v>
      </c>
      <c r="G10" s="2" t="s">
        <v>39</v>
      </c>
      <c r="H10" s="52">
        <v>1</v>
      </c>
      <c r="I10" s="52">
        <f>[1]Initialization!$C$10</f>
        <v>2</v>
      </c>
      <c r="J10" s="6">
        <v>1</v>
      </c>
      <c r="K10" s="5" t="s">
        <v>98</v>
      </c>
    </row>
    <row r="11" spans="2:11" ht="43.2">
      <c r="B11" s="4" t="s">
        <v>97</v>
      </c>
      <c r="C11" s="36">
        <v>0.8</v>
      </c>
      <c r="D11" s="2" t="s">
        <v>3</v>
      </c>
      <c r="E11" s="52" t="s">
        <v>22</v>
      </c>
      <c r="F11" s="52" t="s">
        <v>7</v>
      </c>
      <c r="G11" s="2" t="s">
        <v>39</v>
      </c>
      <c r="H11" s="52"/>
      <c r="I11" s="52">
        <f>[1]Initialization!$C$10</f>
        <v>2</v>
      </c>
      <c r="J11" s="6">
        <v>1</v>
      </c>
      <c r="K11" s="5" t="s">
        <v>98</v>
      </c>
    </row>
    <row r="12" spans="2:11">
      <c r="B12" s="8" t="s">
        <v>75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76</v>
      </c>
    </row>
  </sheetData>
  <sheetProtection selectLockedCells="1"/>
  <mergeCells count="2">
    <mergeCell ref="B3:K3"/>
    <mergeCell ref="K4:K8"/>
  </mergeCells>
  <conditionalFormatting sqref="C10:C12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93">
      <formula>IF(COUNTA($C$10:$C$12)&lt;&gt;COUNTIF($J$10:$J$12,1),1,0)</formula>
    </cfRule>
    <cfRule type="expression" dxfId="15" priority="9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4" customWidth="1"/>
    <col min="3" max="3" width="13.109375" style="64" customWidth="1"/>
    <col min="4" max="4" width="13.44140625" style="64" customWidth="1"/>
    <col min="5" max="6" width="8.88671875" style="64" customWidth="1"/>
    <col min="7" max="7" width="14.77734375" style="64" customWidth="1"/>
    <col min="8" max="8" width="11.6640625" style="64" customWidth="1"/>
    <col min="9" max="9" width="10.33203125" style="64" customWidth="1"/>
    <col min="10" max="10" width="5.6640625" style="64" customWidth="1"/>
    <col min="11" max="11" width="10.5546875" style="64" customWidth="1"/>
    <col min="12" max="17" width="8.88671875" style="64" customWidth="1"/>
    <col min="18" max="16384" width="8.88671875" style="64" hidden="1"/>
  </cols>
  <sheetData>
    <row r="1" spans="1:17" ht="14.4">
      <c r="A1" s="61" t="str">
        <f>'[2]Revision History'!D4</f>
        <v>REV. NO.1 (6/8/2022)</v>
      </c>
      <c r="B1" s="62"/>
      <c r="C1" s="62"/>
      <c r="D1" s="62"/>
      <c r="E1" s="62"/>
      <c r="F1" s="62"/>
      <c r="G1" s="62"/>
      <c r="H1" s="62"/>
      <c r="I1" s="63"/>
      <c r="J1" s="63"/>
      <c r="K1" s="63"/>
      <c r="L1" s="63"/>
      <c r="M1" s="63"/>
      <c r="N1" s="63"/>
      <c r="O1" s="63"/>
      <c r="P1" s="63"/>
      <c r="Q1" s="63" t="str">
        <f>'[3]Revision History'!$J$4</f>
        <v>Scott Research Group (jkscottresearchgroup.com)</v>
      </c>
    </row>
    <row r="2" spans="1:17" ht="14.4">
      <c r="A2" s="73" t="s">
        <v>114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4.4">
      <c r="A3" s="3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</row>
    <row r="4" spans="1:17" ht="14.4">
      <c r="A4" s="30"/>
      <c r="B4" s="65" t="s">
        <v>115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</row>
    <row r="5" spans="1:17" ht="14.4">
      <c r="A5" s="30"/>
      <c r="B5" s="65"/>
      <c r="C5" s="65" t="s">
        <v>90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17" ht="14.4">
      <c r="A6" s="30"/>
      <c r="B6" s="65"/>
      <c r="C6" s="65"/>
      <c r="D6" s="50" t="s">
        <v>91</v>
      </c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</row>
    <row r="7" spans="1:17" ht="14.4">
      <c r="A7" s="30"/>
      <c r="B7" s="65"/>
      <c r="C7" s="65" t="s">
        <v>92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</row>
    <row r="8" spans="1:17" ht="14.4">
      <c r="A8" s="30"/>
      <c r="B8" s="65"/>
      <c r="C8" s="65"/>
      <c r="D8" s="49" t="s">
        <v>93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7" ht="14.4">
      <c r="A9" s="30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</row>
    <row r="10" spans="1:17" ht="14.4">
      <c r="A10" s="30"/>
      <c r="B10" s="65" t="s">
        <v>116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1:17" ht="14.4">
      <c r="A11" s="30"/>
      <c r="B11" s="65"/>
      <c r="C11" s="65" t="s">
        <v>117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17" ht="14.4">
      <c r="A12" s="30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</row>
    <row r="13" spans="1:17" ht="14.4">
      <c r="A13" s="30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</row>
    <row r="14" spans="1:17" ht="14.4">
      <c r="A14" s="30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</row>
    <row r="15" spans="1:17" ht="14.4">
      <c r="A15" s="30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</row>
    <row r="16" spans="1:17" ht="14.4">
      <c r="A16" s="30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</row>
    <row r="17" spans="1:17" ht="14.4">
      <c r="A17" s="30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</row>
    <row r="18" spans="1:17" ht="14.4">
      <c r="A18" s="30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ht="14.4">
      <c r="A19" s="30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</row>
    <row r="20" spans="1:17" ht="14.4">
      <c r="A20" s="30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</row>
    <row r="21" spans="1:17" ht="14.4">
      <c r="A21" s="30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</row>
    <row r="22" spans="1:17" ht="14.4">
      <c r="A22" s="30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</row>
    <row r="23" spans="1:17" ht="14.4">
      <c r="A23" s="30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</row>
    <row r="24" spans="1:17" ht="14.4">
      <c r="A24" s="30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</row>
    <row r="25" spans="1:17" ht="14.4">
      <c r="A25" s="30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ht="14.4">
      <c r="A26" s="30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</row>
    <row r="27" spans="1:17" ht="14.4">
      <c r="A27" s="30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</row>
    <row r="28" spans="1:17" ht="14.4">
      <c r="A28" s="30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</row>
    <row r="29" spans="1:17" ht="14.4">
      <c r="A29" s="30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</row>
    <row r="30" spans="1:17" ht="14.4">
      <c r="A30" s="30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</row>
    <row r="31" spans="1:17" ht="14.4">
      <c r="A31" s="30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</row>
    <row r="32" spans="1:17" ht="14.4">
      <c r="A32" s="30"/>
      <c r="B32" s="66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</row>
    <row r="33" spans="1:17" ht="14.4">
      <c r="A33" s="30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</row>
    <row r="34" spans="1:17" ht="14.4">
      <c r="A34" s="30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1" t="str">
        <f>'[2]Revision History'!D4</f>
        <v>REV. NO.1 (6/8/2022)</v>
      </c>
      <c r="B1" s="62"/>
      <c r="C1" s="62"/>
      <c r="D1" s="62"/>
      <c r="E1" s="62"/>
      <c r="F1" s="62"/>
      <c r="G1" s="62"/>
      <c r="H1" s="62"/>
      <c r="I1" s="62"/>
      <c r="J1" s="63"/>
      <c r="K1" s="63"/>
      <c r="L1" s="63"/>
      <c r="M1" s="63"/>
      <c r="N1" s="63"/>
      <c r="O1" s="63"/>
      <c r="P1" s="63"/>
      <c r="Q1" s="63"/>
      <c r="R1" s="63" t="str">
        <f>'[3]Revision History'!$J$4</f>
        <v>Scott Research Group (jkscottresearchgroup.com)</v>
      </c>
    </row>
    <row r="2" spans="1:18">
      <c r="A2" s="28" t="s">
        <v>113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5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27"/>
    </row>
    <row r="4" spans="1:18">
      <c r="A4" s="30"/>
      <c r="B4" s="65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27"/>
    </row>
    <row r="5" spans="1:18">
      <c r="A5" s="30"/>
      <c r="B5" s="6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27"/>
    </row>
    <row r="6" spans="1:18">
      <c r="A6" s="30"/>
      <c r="B6" s="65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7"/>
    </row>
    <row r="7" spans="1:18">
      <c r="A7" s="30"/>
      <c r="B7" s="65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27"/>
    </row>
    <row r="8" spans="1:18">
      <c r="A8" s="30"/>
      <c r="B8" s="65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27"/>
    </row>
    <row r="9" spans="1:18">
      <c r="A9" s="30"/>
      <c r="B9" s="65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27"/>
    </row>
    <row r="10" spans="1:18">
      <c r="A10" s="30"/>
      <c r="B10" s="65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27"/>
    </row>
    <row r="11" spans="1:18">
      <c r="A11" s="30"/>
      <c r="B11" s="65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27"/>
    </row>
    <row r="12" spans="1:18">
      <c r="A12" s="30"/>
      <c r="B12" s="65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27"/>
    </row>
    <row r="13" spans="1:18">
      <c r="A13" s="30"/>
      <c r="B13" s="65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27"/>
    </row>
    <row r="14" spans="1:18">
      <c r="A14" s="30"/>
      <c r="B14" s="65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27"/>
    </row>
    <row r="15" spans="1:18">
      <c r="A15" s="30"/>
      <c r="B15" s="65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27"/>
    </row>
    <row r="16" spans="1:18">
      <c r="A16" s="30"/>
      <c r="B16" s="65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27"/>
    </row>
    <row r="17" spans="1:18">
      <c r="A17" s="30"/>
      <c r="B17" s="65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27"/>
    </row>
    <row r="18" spans="1:18">
      <c r="A18" s="30"/>
      <c r="B18" s="65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27"/>
    </row>
    <row r="19" spans="1:18">
      <c r="A19" s="30"/>
      <c r="B19" s="65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27"/>
    </row>
    <row r="20" spans="1:18">
      <c r="A20" s="30"/>
      <c r="B20" s="65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27"/>
    </row>
    <row r="21" spans="1:18">
      <c r="A21" s="30"/>
      <c r="B21" s="65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27"/>
    </row>
    <row r="22" spans="1:18">
      <c r="A22" s="30"/>
      <c r="B22" s="65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27"/>
    </row>
    <row r="23" spans="1:18">
      <c r="A23" s="30"/>
      <c r="B23" s="65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27"/>
    </row>
    <row r="24" spans="1:18">
      <c r="A24" s="30"/>
      <c r="B24" s="65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27"/>
    </row>
    <row r="25" spans="1:18">
      <c r="A25" s="30"/>
      <c r="B25" s="65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27"/>
    </row>
    <row r="26" spans="1:18">
      <c r="A26" s="30"/>
      <c r="B26" s="65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27"/>
    </row>
    <row r="27" spans="1:18">
      <c r="A27" s="30"/>
      <c r="B27" s="65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27"/>
    </row>
    <row r="28" spans="1:18">
      <c r="A28" s="30"/>
      <c r="B28" s="65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27"/>
    </row>
    <row r="29" spans="1:18">
      <c r="A29" s="30"/>
      <c r="B29" s="65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27"/>
    </row>
    <row r="30" spans="1:18">
      <c r="A30" s="30"/>
      <c r="B30" s="65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27"/>
    </row>
    <row r="31" spans="1:18">
      <c r="A31" s="30"/>
      <c r="B31" s="65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27"/>
    </row>
    <row r="32" spans="1:18">
      <c r="A32" s="30"/>
      <c r="B32" s="65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27"/>
    </row>
    <row r="33" spans="1:18">
      <c r="A33" s="30"/>
      <c r="B33" s="65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27"/>
    </row>
    <row r="34" spans="1:18">
      <c r="A34" s="30"/>
      <c r="B34" s="65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27"/>
    </row>
    <row r="35" spans="1:18">
      <c r="A35" s="30"/>
      <c r="B35" s="65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27"/>
    </row>
    <row r="36" spans="1:18">
      <c r="A36" s="30"/>
      <c r="B36" s="65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27"/>
    </row>
    <row r="37" spans="1:18">
      <c r="A37" s="30"/>
      <c r="B37" s="65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27"/>
    </row>
    <row r="38" spans="1:18">
      <c r="A38" s="30"/>
      <c r="B38" s="65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27"/>
    </row>
    <row r="39" spans="1:18">
      <c r="A39" s="30"/>
      <c r="B39" s="65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27"/>
    </row>
    <row r="40" spans="1:18">
      <c r="A40" s="30"/>
      <c r="B40" s="65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27"/>
    </row>
    <row r="41" spans="1:18">
      <c r="A41" s="30"/>
      <c r="B41" s="65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27"/>
    </row>
    <row r="42" spans="1:18">
      <c r="A42" s="30"/>
      <c r="B42" s="65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27"/>
    </row>
    <row r="43" spans="1:18">
      <c r="A43" s="30"/>
      <c r="B43" s="65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27"/>
    </row>
    <row r="44" spans="1:18">
      <c r="A44" s="30"/>
      <c r="B44" s="65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27"/>
    </row>
    <row r="45" spans="1:18">
      <c r="A45" s="30"/>
      <c r="B45" s="65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27"/>
    </row>
    <row r="46" spans="1:18">
      <c r="A46" s="30"/>
      <c r="B46" s="65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27"/>
    </row>
    <row r="47" spans="1:18">
      <c r="A47" s="30"/>
      <c r="B47" s="65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27"/>
    </row>
    <row r="48" spans="1:18">
      <c r="A48" s="30"/>
      <c r="B48" s="65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27"/>
    </row>
    <row r="49" spans="1:18">
      <c r="A49" s="30"/>
      <c r="B49" s="65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27"/>
    </row>
    <row r="50" spans="1:18">
      <c r="A50" s="30"/>
      <c r="B50" s="65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27"/>
    </row>
    <row r="51" spans="1:18">
      <c r="A51" s="30"/>
      <c r="B51" s="65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27"/>
    </row>
    <row r="52" spans="1:18">
      <c r="A52" s="30"/>
      <c r="B52" s="65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RowHeight="14.4"/>
  <sheetData>
    <row r="1" spans="1:3">
      <c r="A1" t="s">
        <v>96</v>
      </c>
      <c r="B1" t="s">
        <v>97</v>
      </c>
      <c r="C1" t="s">
        <v>75</v>
      </c>
    </row>
    <row r="2" spans="1:3">
      <c r="A2">
        <v>0.2</v>
      </c>
      <c r="B2">
        <v>0.8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RowHeight="14.4"/>
  <sheetData>
    <row r="1" spans="1:3">
      <c r="A1" t="s">
        <v>96</v>
      </c>
      <c r="B1" t="s">
        <v>97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Stream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2022-07-21T14:13:52Z</dcterms:modified>
</cp:coreProperties>
</file>