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49A8BC47-4899-3943-9306-59F40E72A04C}" xr6:coauthVersionLast="47" xr6:coauthVersionMax="47" xr10:uidLastSave="{00000000-0000-0000-0000-000000000000}"/>
  <bookViews>
    <workbookView xWindow="0" yWindow="0" windowWidth="28800" windowHeight="18000" tabRatio="818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Properties'!$A$9:$J$9</definedName>
    <definedName name="_xlnm.Print_Area" localSheetId="0">'Revision History'!$C$3:$K$51</definedName>
    <definedName name="_xlnm.Print_Area" localSheetId="2">'Stream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39" l="1"/>
  <c r="H10" i="39"/>
  <c r="J4" i="39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<sst xmlns="http://schemas.openxmlformats.org/spreadsheetml/2006/main" count="148" uniqueCount="110">
  <si>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</si>
  <si>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</si>
  <si>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</si>
  <si>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</si>
  <si>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</si>
  <si>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</si>
  <si>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</si>
  <si>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</si>
  <si>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</si>
  <si>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</si>
  <si>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</si>
  <si>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</si>
  <si>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</si>
  <si>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</si>
  <si>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</si>
  <si>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</si>
  <si>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</si>
  <si>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</si>
  <si>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</si>
  <si>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</si>
  <si>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</si>
  <si>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</si>
  <si>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</si>
  <si>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</si>
  <si>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</si>
  <si>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</si>
  <si>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</si>
  <si>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</si>
  <si>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</si>
  <si>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</si>
  <si>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</si>
  <si>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</si>
  <si>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</si>
  <si>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</si>
  <si>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</si>
  <si>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</si>
  <si>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</si>
  <si>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</si>
  <si>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</si>
  <si>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</si>
  <si>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</si>
  <si>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</si>
  <si>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</si>
  <si>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</si>
  <si>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</si>
  <si>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</si>
  <si>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</si>
  <si>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</si>
  <si>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</si>
  <si>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</si>
  <si>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</si>
  <si>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</si>
  <si>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</si>
  <si>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</si>
  <si>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</si>
  <si>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</si>
  <si>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</si>
  <si>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</si>
  <si>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</si>
  <si>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</si>
  <si>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</si>
  <si>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</si>
  <si>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</si>
  <si>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</si>
  <si>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</si>
  <si>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</si>
  <si>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</si>
  <si>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</si>
  <si>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</si>
  <si>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</si>
  <si>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</si>
  <si>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</si>
  <si>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</si>
  <si>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</si>
  <si>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</si>
  <si>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</si>
  <si>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</si>
  <si>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</si>
  <si>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</si>
  <si>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</si>
  <si>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</si>
  <si>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</si>
  <si>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</si>
  <si>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</si>
  <si>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</si>
  <si>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</si>
  <si>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</si>
  <si>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</si>
  <si>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</si>
  <si>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</si>
  <si>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</si>
  <si>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</si>
  <si>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yExC1</t>
  </si>
  <si>
    <t>yExC2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</si>
  <si>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</si>
  <si>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</si>
  <si>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</si>
  <si>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</si>
  <si>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</si>
  <si>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</si>
  <si>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</si>
  <si>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</si>
  <si>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</si>
  <si>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</si>
  <si>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</si>
  <si>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</si>
  <si>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</si>
  <si>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The desired extract product mole fraction of ith component at the extract product pressure; the first component is the light key</t>
  </si>
  <si>
    <t>Initial development of the "2.3_extract_stream_properties.xlsm"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</si>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</sst>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8001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  <sheetName val="PFD"/>
    </sheetNames>
    <sheetDataSet>
      <sheetData sheetId="0"/>
      <sheetData sheetId="1"/>
      <sheetData sheetId="2">
        <row r="10">
          <cell r="C10">
            <v>2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4" t="s">
        <v>109</v>
      </c>
      <c r="E4" s="45"/>
      <c r="F4" s="46"/>
      <c r="G4" s="47"/>
      <c r="H4" s="47"/>
      <c r="I4" s="47"/>
      <c r="J4" s="34" t="s">
        <v>82</v>
      </c>
    </row>
    <row r="5" spans="4:10" ht="40" x14ac:dyDescent="0.2">
      <c r="D5" s="48" t="s">
        <v>36</v>
      </c>
      <c r="E5" s="48"/>
      <c r="F5" s="48"/>
      <c r="G5" s="48"/>
      <c r="H5" s="48"/>
      <c r="I5" s="48"/>
      <c r="J5" s="48"/>
    </row>
    <row r="6" spans="4:10" ht="20" x14ac:dyDescent="0.2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60" x14ac:dyDescent="0.2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9" x14ac:dyDescent="0.2">
      <c r="D9" s="35">
        <v>3</v>
      </c>
      <c r="E9" s="36"/>
      <c r="F9" s="37"/>
      <c r="G9" s="35"/>
      <c r="H9" s="35"/>
      <c r="I9" s="35"/>
      <c r="J9" s="36"/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95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2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9" x14ac:dyDescent="0.2">
      <c r="A3" s="49" t="s">
        <v>29</v>
      </c>
      <c r="B3" s="49"/>
      <c r="C3" s="49"/>
      <c r="D3" s="49"/>
      <c r="E3" s="49"/>
      <c r="F3" s="49"/>
      <c r="G3" s="49"/>
      <c r="H3" s="49"/>
      <c r="I3" s="49"/>
      <c r="J3" s="4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0" t="str">
        <f>IF(COUNTIF(Table11082[Test 3],1)=COUNTA(Table11082[Value]),"Ready","Not Ready")</f>
        <v>Ready</v>
      </c>
    </row>
    <row r="5" spans="1:10" ht="14.5" customHeight="1" x14ac:dyDescent="0.2">
      <c r="A5" s="17"/>
      <c r="B5" s="18"/>
      <c r="C5" s="43"/>
      <c r="D5" s="43"/>
      <c r="E5" s="43"/>
      <c r="F5" s="43"/>
      <c r="G5" s="19"/>
      <c r="H5" s="43"/>
      <c r="I5" s="43"/>
      <c r="J5" s="51"/>
    </row>
    <row r="6" spans="1:10" ht="14.5" customHeight="1" x14ac:dyDescent="0.2">
      <c r="A6" s="17"/>
      <c r="B6" s="18"/>
      <c r="C6" s="43"/>
      <c r="D6" s="43"/>
      <c r="E6" s="43"/>
      <c r="F6" s="43"/>
      <c r="G6" s="19"/>
      <c r="H6" s="43"/>
      <c r="I6" s="43"/>
      <c r="J6" s="51"/>
    </row>
    <row r="7" spans="1:10" ht="14.5" customHeight="1" x14ac:dyDescent="0.2">
      <c r="A7" s="17"/>
      <c r="B7" s="18"/>
      <c r="C7" s="43"/>
      <c r="D7" s="43"/>
      <c r="E7" s="43"/>
      <c r="F7" s="43"/>
      <c r="G7" s="19"/>
      <c r="H7" s="43"/>
      <c r="I7" s="43"/>
      <c r="J7" s="5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2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8" x14ac:dyDescent="0.2">
      <c r="A10" s="4" t="s">
        <v>92</v>
      </c>
      <c r="B10" s="29">
        <v>0.2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1">
        <f>[1]Initialization!$C$10</f>
        <v>2</v>
      </c>
      <c r="I10" s="6">
        <v>1</v>
      </c>
      <c r="J10" s="5" t="s">
        <v>107</v>
      </c>
    </row>
    <row r="11" spans="1:10" ht="48" x14ac:dyDescent="0.2">
      <c r="A11" s="4" t="s">
        <v>93</v>
      </c>
      <c r="B11" s="29">
        <v>0.8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1">
        <f>[1]Initialization!$C$10</f>
        <v>2</v>
      </c>
      <c r="I11" s="6">
        <v>1</v>
      </c>
      <c r="J11" s="5" t="s">
        <v>107</v>
      </c>
    </row>
    <row r="12" spans="1:10" ht="16" x14ac:dyDescent="0.2">
      <c r="A12" s="8" t="s">
        <v>75</v>
      </c>
      <c r="B12" s="30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IcwgDD5ufIQXw4naY4ZxNU1VGxvAb8cmERE6ga6qKfDLYiZfTEAikJNTCplVRyNwqRPo+cgw5Hbn0mg6oXBUTQ==" saltValue="bR+Dh49BCkrxCIqzIuZHfg==" spinCount="100000" sheet="1" objects="1" scenarios="1" selectLockedCells="1"/>
  <mergeCells count="2">
    <mergeCell ref="A3:J3"/>
    <mergeCell ref="J4:J8"/>
  </mergeCells>
  <conditionalFormatting sqref="B10:B12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93">
      <formula>IF(COUNTA($B$10:$B$12)&lt;&gt;COUNTIF($I$10:$I$12,1),1,0)</formula>
    </cfRule>
    <cfRule type="expression" dxfId="15" priority="94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E10:E12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D10:D12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3" x14ac:dyDescent="0.2">
      <c r="A1" t="s">
        <v>92</v>
      </c>
      <c r="B1" t="s">
        <v>93</v>
      </c>
      <c r="C1" t="s">
        <v>75</v>
      </c>
    </row>
    <row r="2" spans="1:3" x14ac:dyDescent="0.2">
      <c r="A2">
        <v>0.2</v>
      </c>
      <c r="B2">
        <v>0.8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3" x14ac:dyDescent="0.2">
      <c r="A1" t="s">
        <v>92</v>
      </c>
      <c r="B1" t="s">
        <v>93</v>
      </c>
      <c r="C1" t="s">
        <v>75</v>
      </c>
    </row>
    <row r="2" spans="1:3" x14ac:dyDescent="0.2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2022-09-14T00:46:49Z</dcterms:modified>
</cp:coreProperties>
</file>