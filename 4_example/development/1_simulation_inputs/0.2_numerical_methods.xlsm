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B89DCBE9-5478-4040-9027-E524824DB356}" xr6:coauthVersionLast="47" xr6:coauthVersionMax="47" xr10:uidLastSave="{00000000-0000-0000-0000-000000000000}"/>
  <bookViews>
    <workbookView xWindow="0" yWindow="0" windowWidth="28800" windowHeight="18000" tabRatio="818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1" hidden="1">Discretization!$A$9:$J$12</definedName>
    <definedName name="_xlnm._FilterDatabase" localSheetId="2" hidden="1">'Numerical Integration'!$A$9:$J$11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Integration'!$A$2:$J$11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Q1" i="40" l="1"/>
  <c r="A1" i="40"/>
  <c r="J4" i="39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<sst xmlns="http://schemas.openxmlformats.org/spreadsheetml/2006/main" count="198" uniqueCount="115">
  <si>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</si>
  <si>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</si>
  <si>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</si>
  <si>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</si>
  <si>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</si>
  <si>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</si>
  <si>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</si>
  <si>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</si>
  <si>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</si>
  <si>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</si>
  <si>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</si>
  <si>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</si>
  <si>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</si>
  <si>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</si>
  <si>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</si>
  <si>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</si>
  <si>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</si>
  <si>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</si>
  <si>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</si>
  <si>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</si>
  <si>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</si>
  <si>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</si>
  <si>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</si>
  <si>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</si>
  <si>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</si>
  <si>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</si>
  <si>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</si>
  <si>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</si>
  <si>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</si>
  <si>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</si>
  <si>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</si>
  <si>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</si>
  <si>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</si>
  <si>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</si>
  <si>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</si>
  <si>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</si>
  <si>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</si>
  <si>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</si>
  <si>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</si>
  <si>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</si>
  <si>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</si>
  <si>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</si>
  <si>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</si>
  <si>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</si>
  <si>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</si>
  <si>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</si>
  <si>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</si>
  <si>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</si>
  <si>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</si>
  <si>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</si>
  <si>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</si>
  <si>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</si>
  <si>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</si>
  <si>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</si>
  <si>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</si>
  <si>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</si>
  <si>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</si>
  <si>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</si>
  <si>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</si>
  <si>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</si>
  <si>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</si>
  <si>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</si>
  <si>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</si>
  <si>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</si>
  <si>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</si>
  <si>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</si>
  <si>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</si>
  <si>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</si>
  <si>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</si>
  <si>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</si>
  <si>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</si>
  <si>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</si>
  <si>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</si>
  <si>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</si>
  <si>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</si>
  <si>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</si>
  <si>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</si>
  <si>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</si>
  <si>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</si>
  <si>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</si>
  <si>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</si>
  <si>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</si>
  <si>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</si>
  <si>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</si>
  <si>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</si>
  <si>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</si>
  <si>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</si>
  <si>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</si>
  <si>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</si>
  <si>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</si>
  <si>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</si>
  <si>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</si>
  <si>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</si>
  <si>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</si>
  <si>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</si>
  <si>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</si>
  <si>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</si>
  <si>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</si>
  <si>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</si>
  <si>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</si>
  <si>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</si>
  <si>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</si>
  <si>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</si>
  <si>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</si>
  <si>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</si>
  <si>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</si>
  <si>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</si>
  <si>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</si>
  <si>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</si>
  <si>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</si>
  <si>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number of well-mixed volumes (CSTRs) to be used to represent an adsorption column. Recommended value is less than equal to 200 CSTRs for a system with a sharp mass transfer zone. (reducing the number of CSTRs introduces an artificial numerical diffusion and increasing the number of CSTRs increases the computation time)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</si>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</sst>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3_unit_properties/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1" totalsRowShown="0" headerRowDxfId="34" dataDxfId="32" headerRowBorderDxfId="33" tableBorderDxfId="31" totalsRowBorderDxfId="30">
  <autoFilter ref="A9:J11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8" hidden="1" customWidth="1"/>
    <col min="3" max="3" width="2.5" style="28" customWidth="1"/>
    <col min="4" max="4" width="13.83203125" style="28" customWidth="1"/>
    <col min="5" max="5" width="51.33203125" style="29" bestFit="1" customWidth="1"/>
    <col min="6" max="6" width="15.83203125" style="30" bestFit="1" customWidth="1"/>
    <col min="7" max="9" width="13.33203125" style="28" customWidth="1"/>
    <col min="10" max="10" width="48.83203125" style="28" customWidth="1"/>
    <col min="11" max="11" width="2.5" style="28" customWidth="1"/>
    <col min="12" max="12" width="0" style="28" hidden="1" customWidth="1"/>
    <col min="13" max="16384" width="9" style="28" hidden="1"/>
  </cols>
  <sheetData>
    <row r="3" spans="4:10" x14ac:dyDescent="0.2"/>
    <row r="4" spans="4:10" ht="19" x14ac:dyDescent="0.25">
      <c r="D4" s="38" t="s">
        <v>114</v>
      </c>
      <c r="E4" s="39"/>
      <c r="F4" s="40"/>
      <c r="G4" s="41"/>
      <c r="H4" s="41"/>
      <c r="I4" s="41"/>
      <c r="J4" s="31" t="s">
        <v>82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40" x14ac:dyDescent="0.2">
      <c r="D7" s="32">
        <v>1</v>
      </c>
      <c r="E7" s="33" t="s">
        <v>113</v>
      </c>
      <c r="F7" s="34">
        <v>44720</v>
      </c>
      <c r="G7" s="32" t="s">
        <v>37</v>
      </c>
      <c r="H7" s="32"/>
      <c r="I7" s="32"/>
      <c r="J7" s="33"/>
    </row>
    <row r="8" spans="4:10" ht="40" x14ac:dyDescent="0.2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9" x14ac:dyDescent="0.2">
      <c r="D9" s="32">
        <v>3</v>
      </c>
      <c r="E9" s="33"/>
      <c r="F9" s="34"/>
      <c r="G9" s="32"/>
      <c r="H9" s="32"/>
      <c r="I9" s="32"/>
      <c r="J9" s="33"/>
    </row>
    <row r="10" spans="4:10" ht="19" x14ac:dyDescent="0.2">
      <c r="D10" s="32">
        <v>4</v>
      </c>
      <c r="E10" s="33"/>
      <c r="F10" s="34"/>
      <c r="G10" s="32"/>
      <c r="H10" s="32"/>
      <c r="I10" s="32"/>
      <c r="J10" s="33"/>
    </row>
    <row r="11" spans="4:10" ht="19" x14ac:dyDescent="0.2">
      <c r="D11" s="32">
        <v>5</v>
      </c>
      <c r="E11" s="33"/>
      <c r="F11" s="34"/>
      <c r="G11" s="32"/>
      <c r="H11" s="32"/>
      <c r="I11" s="32"/>
      <c r="J11" s="33"/>
    </row>
    <row r="12" spans="4:10" ht="19" x14ac:dyDescent="0.2">
      <c r="D12" s="32">
        <v>6</v>
      </c>
      <c r="E12" s="33"/>
      <c r="F12" s="34"/>
      <c r="G12" s="32"/>
      <c r="H12" s="32"/>
      <c r="I12" s="32"/>
      <c r="J12" s="33"/>
    </row>
    <row r="13" spans="4:10" ht="19" x14ac:dyDescent="0.2">
      <c r="D13" s="32">
        <v>7</v>
      </c>
      <c r="E13" s="33"/>
      <c r="F13" s="34"/>
      <c r="G13" s="32"/>
      <c r="H13" s="32"/>
      <c r="I13" s="32"/>
      <c r="J13" s="33"/>
    </row>
    <row r="14" spans="4:10" ht="19" x14ac:dyDescent="0.2">
      <c r="D14" s="32">
        <v>8</v>
      </c>
      <c r="E14" s="33"/>
      <c r="F14" s="34"/>
      <c r="G14" s="32"/>
      <c r="H14" s="32"/>
      <c r="I14" s="32"/>
      <c r="J14" s="33"/>
    </row>
    <row r="15" spans="4:10" ht="19" x14ac:dyDescent="0.2">
      <c r="D15" s="32">
        <v>9</v>
      </c>
      <c r="E15" s="33"/>
      <c r="F15" s="34"/>
      <c r="G15" s="32"/>
      <c r="H15" s="32"/>
      <c r="I15" s="32"/>
      <c r="J15" s="33"/>
    </row>
    <row r="16" spans="4:10" ht="19" x14ac:dyDescent="0.2">
      <c r="D16" s="32">
        <v>10</v>
      </c>
      <c r="E16" s="33"/>
      <c r="F16" s="34"/>
      <c r="G16" s="32"/>
      <c r="H16" s="32"/>
      <c r="I16" s="32"/>
      <c r="J16" s="3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2" x14ac:dyDescent="0.2">
      <c r="A10" s="4" t="s">
        <v>4</v>
      </c>
      <c r="B10" s="27">
        <v>200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32" x14ac:dyDescent="0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6" x14ac:dyDescent="0.2">
      <c r="A12" s="8" t="s">
        <v>75</v>
      </c>
      <c r="B12" s="2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1SNc7UHnYw7KfxFnCXe2oDBbK7cHyw2IymSMTOYKRf+yDLBPpEgYKPBmxDTBTz7NiS1fsQvR7/NYqmmspFIt0g==" saltValue="KHxHXr7zQQwQ/IJkFMHZ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49" t="str">
        <f>IF(COUNTIF(Table134[Test 3],1)=COUNTA(Table134[Value]),"Ready","Not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80" x14ac:dyDescent="0.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FBnX5HKfs7kk96ah9pUi+wECbHjp0Jr9dVvKTv/9Fc8jkagtsxeaD1LcvCY3a1NXD5NoXji+QrUmUlFObj8byQ==" saltValue="9JOWgp9CJawzRBQhCkmf0w==" spinCount="100000" sheet="1" objects="1" scenarios="1" selectLockedCells="1"/>
  <mergeCells count="2">
    <mergeCell ref="A3:J3"/>
    <mergeCell ref="J4:J8"/>
  </mergeCells>
  <conditionalFormatting sqref="B10:B1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IF(COUNTA($B$10:$B$11)&lt;&gt;COUNTIF($I$10:$I$11,1),1,0)</formula>
    </cfRule>
    <cfRule type="expression" dxfId="35" priority="193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F10:F11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D10:D11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E10:E11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6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6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6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6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48" x14ac:dyDescent="0.2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112</v>
      </c>
    </row>
    <row r="11" spans="1:10" ht="16" x14ac:dyDescent="0.2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SPvd4Id5vWNSCIcqzskIfhI8VZdxf4nrnctmuD1ptYeyRwrSfvPILgTG4GP5c4al6I+KtuyIAu+8/hK/G24Twg==" saltValue="kefdNRM1LCeECmXgfQ3ZE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baseColWidth="10" defaultColWidth="0" defaultRowHeight="0" customHeight="1" zeroHeight="1" x14ac:dyDescent="0.2"/>
  <cols>
    <col min="1" max="2" width="8.83203125" style="42" customWidth="1"/>
    <col min="3" max="3" width="13.1640625" style="42" customWidth="1"/>
    <col min="4" max="4" width="13.5" style="42" customWidth="1"/>
    <col min="5" max="6" width="8.83203125" style="42" customWidth="1"/>
    <col min="7" max="7" width="14.8320312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5" style="42" customWidth="1"/>
    <col min="12" max="17" width="8.83203125" style="42" customWidth="1"/>
    <col min="18" max="16384" width="8.83203125" style="42" hidden="1"/>
  </cols>
  <sheetData>
    <row r="1" spans="1:17" ht="15" x14ac:dyDescent="0.2">
      <c r="A1" s="20" t="str">
        <f>'[1]Revision History'!D4</f>
        <v>REV. NO.1 (6/8/2022)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tr">
        <f>'[2]Revision History'!$J$4</f>
        <v>Scott Research Group (jkscottresearchgroup.com)</v>
      </c>
    </row>
    <row r="2" spans="1:17" ht="15" x14ac:dyDescent="0.2">
      <c r="A2" s="52" t="s">
        <v>105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5" x14ac:dyDescent="0.2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5" x14ac:dyDescent="0.2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5" x14ac:dyDescent="0.2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5" x14ac:dyDescent="0.2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5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5" x14ac:dyDescent="0.2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5" x14ac:dyDescent="0.2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" x14ac:dyDescent="0.2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5" x14ac:dyDescent="0.2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5" x14ac:dyDescent="0.2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5" x14ac:dyDescent="0.2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" x14ac:dyDescent="0.2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" x14ac:dyDescent="0.2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" x14ac:dyDescent="0.2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" x14ac:dyDescent="0.2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" x14ac:dyDescent="0.2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" x14ac:dyDescent="0.2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" x14ac:dyDescent="0.2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5" x14ac:dyDescent="0.2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5" x14ac:dyDescent="0.2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5" x14ac:dyDescent="0.2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" x14ac:dyDescent="0.2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" x14ac:dyDescent="0.2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" x14ac:dyDescent="0.2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" x14ac:dyDescent="0.2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" x14ac:dyDescent="0.2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5" x14ac:dyDescent="0.2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5" x14ac:dyDescent="0.2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5" x14ac:dyDescent="0.2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5" x14ac:dyDescent="0.2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7" x14ac:dyDescent="0.2">
      <c r="A1" t="s">
        <v>4</v>
      </c>
      <c r="B1" t="s">
        <v>106</v>
      </c>
      <c r="C1" t="s">
        <v>75</v>
      </c>
      <c r="D1" t="s">
        <v>95</v>
      </c>
      <c r="E1" t="s">
        <v>75</v>
      </c>
      <c r="F1" t="s">
        <v>108</v>
      </c>
      <c r="G1" t="s">
        <v>75</v>
      </c>
    </row>
    <row r="2" spans="1:7" x14ac:dyDescent="0.2">
      <c r="A2">
        <v>200</v>
      </c>
      <c r="B2">
        <v>25</v>
      </c>
      <c r="D2" t="s">
        <v>99</v>
      </c>
      <c r="F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workbookViewId="0">
      <selection activeCell="CQ1" sqref="CQ1"/>
    </sheetView>
  </sheetViews>
  <sheetFormatPr baseColWidth="10" defaultColWidth="8.83203125" defaultRowHeight="15" x14ac:dyDescent="0.2"/>
  <sheetData>
    <row r="1" spans="1:7" x14ac:dyDescent="0.2">
      <c r="A1" t="s">
        <v>4</v>
      </c>
      <c r="B1" t="s">
        <v>106</v>
      </c>
      <c r="C1" t="s">
        <v>75</v>
      </c>
      <c r="D1" t="s">
        <v>95</v>
      </c>
      <c r="E1" t="s">
        <v>75</v>
      </c>
      <c r="F1" t="s">
        <v>108</v>
      </c>
      <c r="G1" t="s">
        <v>75</v>
      </c>
    </row>
    <row r="2" spans="1:7" x14ac:dyDescent="0.2">
      <c r="A2">
        <v>1</v>
      </c>
      <c r="B2">
        <v>1</v>
      </c>
      <c r="C2">
        <v>0</v>
      </c>
      <c r="D2">
        <v>1</v>
      </c>
      <c r="E2">
        <v>0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2022-09-14T00:49:03Z</dcterms:modified>
</cp:coreProperties>
</file>