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4369E1E5-031F-4CAA-A16E-D8E04D2093D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PFD" sheetId="42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4" l="1"/>
  <c r="J11" i="44"/>
  <c r="J10" i="44"/>
  <c r="K4" i="44" l="1"/>
  <c r="K2" i="44"/>
  <c r="B2" i="44"/>
  <c r="K2" i="3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H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<sst xmlns="http://schemas.openxmlformats.org/spreadsheetml/2006/main" count="284" uniqueCount="142">
  <si>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</si>
  <si>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</si>
  <si>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</si>
  <si>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</si>
  <si>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</si>
  <si>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</si>
  <si>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</si>
  <si>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</si>
  <si>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</si>
  <si>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</si>
  <si>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</si>
  <si>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</si>
  <si>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</si>
  <si>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</si>
  <si>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</si>
  <si>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</si>
  <si>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</si>
  <si>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</si>
  <si>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</si>
  <si>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</si>
  <si>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</si>
  <si>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</si>
  <si>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</si>
  <si>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</si>
  <si>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</si>
  <si>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</si>
  <si>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</si>
  <si>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</si>
  <si>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</si>
  <si>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</si>
  <si>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</si>
  <si>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</si>
  <si>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</si>
  <si>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</si>
  <si>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</si>
  <si>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</si>
  <si>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</si>
  <si>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</si>
  <si>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</si>
  <si>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</si>
  <si>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</si>
  <si>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</si>
  <si>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</si>
  <si>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</si>
  <si>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</si>
  <si>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</si>
  <si>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</si>
  <si>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</si>
  <si>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</si>
  <si>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</si>
  <si>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</si>
  <si>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</si>
  <si>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</si>
  <si>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</si>
  <si>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</si>
  <si>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</si>
  <si>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</si>
  <si>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</si>
  <si>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</si>
  <si>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</si>
  <si>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</si>
  <si>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</si>
  <si>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</si>
  <si>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</si>
  <si>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</si>
  <si>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</si>
  <si>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</si>
  <si>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</si>
  <si>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</si>
  <si>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</si>
  <si>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</si>
  <si>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</si>
  <si>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</si>
  <si>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</si>
  <si>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</si>
  <si>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</si>
  <si>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</si>
  <si>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</si>
  <si>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</si>
  <si>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</si>
  <si>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</si>
  <si>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</si>
  <si>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</si>
  <si>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</si>
  <si>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</si>
  <si>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</si>
  <si>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</si>
  <si>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</si>
  <si>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</si>
  <si>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</si>
  <si>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</si>
  <si>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</si>
  <si>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</si>
  <si>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</si>
  <si>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</si>
  <si>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</si>
  <si>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</si>
  <si>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</si>
  <si>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</si>
  <si>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</si>
  <si>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</si>
  <si>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</si>
  <si>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</si>
  <si>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</si>
  <si>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</si>
  <si>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</si>
  <si>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</si>
  <si>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</si>
  <si>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</si>
  <si>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</si>
  <si>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</si>
  <si>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</si>
  <si>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</si>
  <si>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</si>
  <si>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</si>
  <si>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</si>
  <si>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</si>
  <si>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</si>
  <si>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</si>
  <si>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</si>
  <si>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</si>
  <si>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</si>
  <si>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</si>
  <si>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</si>
  <si>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</si>
  <si>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</si>
  <si>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</si>
  <si>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</si>
  <si>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</si>
  <si>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</si>
  <si>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</si>
  <si>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1. There is a check valve after the raffinate tank.</t>
  </si>
  <si>
    <t>1.1  Only when the pressure inside the tank exceeds a threshold, the flow is allowed.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</si>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</sst>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1671"/>
          <a:ext cx="6111265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PFD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40666CE-EF2C-9944-9876-798DC985D3F5}">
    <text>place 1 if we want to keep the row when re-initializing. Otherwise, leave it as a blank.</text>
  </threadedComment>
  <threadedComment ref="I9" dT="2020-11-26T18:35:03.27" personId="{7F98AE94-13FB-49E1-9262-339C11E0EDB4}" id="{5159B78C-B001-9C4E-94CE-CB20C78B8A53}">
    <text>supply a value greater than 1 if you want to duplicate the row</text>
  </threadedComment>
  <threadedComment ref="J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J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106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defaultColWidth="0" defaultRowHeight="14.55" customHeight="1" zeroHeight="1"/>
  <cols>
    <col min="1" max="2" width="3.33203125" style="47" hidden="1" customWidth="1"/>
    <col min="3" max="3" width="2.44140625" style="47" customWidth="1"/>
    <col min="4" max="4" width="13.77734375" style="47" customWidth="1"/>
    <col min="5" max="5" width="51.33203125" style="48" bestFit="1" customWidth="1"/>
    <col min="6" max="6" width="15.77734375" style="49" bestFit="1" customWidth="1"/>
    <col min="7" max="9" width="13.33203125" style="47" customWidth="1"/>
    <col min="10" max="10" width="48.77734375" style="47" customWidth="1"/>
    <col min="11" max="11" width="2.44140625" style="47" customWidth="1"/>
    <col min="12" max="12" width="0" style="47" hidden="1" customWidth="1"/>
    <col min="13" max="16384" width="9" style="47" hidden="1"/>
  </cols>
  <sheetData>
    <row r="3" spans="4:10" ht="14.4"/>
    <row r="4" spans="4:10" ht="18">
      <c r="D4" s="50" t="s">
        <v>117</v>
      </c>
      <c r="E4" s="51"/>
      <c r="F4" s="52"/>
      <c r="G4" s="53"/>
      <c r="H4" s="53"/>
      <c r="I4" s="53"/>
      <c r="J4" s="36" t="s">
        <v>86</v>
      </c>
    </row>
    <row r="5" spans="4:10" ht="36">
      <c r="D5" s="74" t="s">
        <v>39</v>
      </c>
      <c r="E5" s="74"/>
      <c r="F5" s="74"/>
      <c r="G5" s="74"/>
      <c r="H5" s="74"/>
      <c r="I5" s="74"/>
      <c r="J5" s="74"/>
    </row>
    <row r="6" spans="4:10" ht="18">
      <c r="D6" s="54" t="s">
        <v>33</v>
      </c>
      <c r="E6" s="54" t="s">
        <v>116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36">
      <c r="D7" s="55">
        <v>1</v>
      </c>
      <c r="E7" s="56" t="s">
        <v>118</v>
      </c>
      <c r="F7" s="57">
        <v>44720</v>
      </c>
      <c r="G7" s="55" t="s">
        <v>40</v>
      </c>
      <c r="H7" s="55"/>
      <c r="I7" s="55"/>
      <c r="J7" s="56"/>
    </row>
    <row r="8" spans="4:10" ht="18">
      <c r="D8" s="55">
        <v>2</v>
      </c>
      <c r="E8" s="56"/>
      <c r="F8" s="57"/>
      <c r="G8" s="55"/>
      <c r="H8" s="55"/>
      <c r="I8" s="55"/>
      <c r="J8" s="56"/>
    </row>
    <row r="9" spans="4:10" ht="18">
      <c r="D9" s="55">
        <v>3</v>
      </c>
      <c r="E9" s="56"/>
      <c r="F9" s="57"/>
      <c r="G9" s="55"/>
      <c r="H9" s="55"/>
      <c r="I9" s="55"/>
      <c r="J9" s="56"/>
    </row>
    <row r="10" spans="4:10" ht="18">
      <c r="D10" s="55">
        <v>4</v>
      </c>
      <c r="E10" s="56"/>
      <c r="F10" s="57"/>
      <c r="G10" s="55"/>
      <c r="H10" s="55"/>
      <c r="I10" s="55"/>
      <c r="J10" s="56"/>
    </row>
    <row r="11" spans="4:10" ht="18">
      <c r="D11" s="55">
        <v>5</v>
      </c>
      <c r="E11" s="56"/>
      <c r="F11" s="57"/>
      <c r="G11" s="55"/>
      <c r="H11" s="55"/>
      <c r="I11" s="55"/>
      <c r="J11" s="56"/>
    </row>
    <row r="12" spans="4:10" ht="18">
      <c r="D12" s="55">
        <v>6</v>
      </c>
      <c r="E12" s="56"/>
      <c r="F12" s="57"/>
      <c r="G12" s="55"/>
      <c r="H12" s="55"/>
      <c r="I12" s="55"/>
      <c r="J12" s="56"/>
    </row>
    <row r="13" spans="4:10" ht="18">
      <c r="D13" s="55">
        <v>7</v>
      </c>
      <c r="E13" s="56"/>
      <c r="F13" s="57"/>
      <c r="G13" s="55"/>
      <c r="H13" s="55"/>
      <c r="I13" s="55"/>
      <c r="J13" s="56"/>
    </row>
    <row r="14" spans="4:10" ht="18">
      <c r="D14" s="55">
        <v>8</v>
      </c>
      <c r="E14" s="56"/>
      <c r="F14" s="57"/>
      <c r="G14" s="55"/>
      <c r="H14" s="55"/>
      <c r="I14" s="55"/>
      <c r="J14" s="56"/>
    </row>
    <row r="15" spans="4:10" ht="18">
      <c r="D15" s="55">
        <v>9</v>
      </c>
      <c r="E15" s="56"/>
      <c r="F15" s="57"/>
      <c r="G15" s="55"/>
      <c r="H15" s="55"/>
      <c r="I15" s="55"/>
      <c r="J15" s="56"/>
    </row>
    <row r="16" spans="4:10" ht="18">
      <c r="D16" s="55">
        <v>10</v>
      </c>
      <c r="E16" s="56"/>
      <c r="F16" s="57"/>
      <c r="G16" s="55"/>
      <c r="H16" s="55"/>
      <c r="I16" s="55"/>
      <c r="J16" s="58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1" sqref="C11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IF(COUNTIF(Table11024122[Test 3],1)=COUNTA(Table11024122[Value]),"Ready","Not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72">
      <c r="B10" s="40" t="s">
        <v>103</v>
      </c>
      <c r="C10" s="32">
        <v>4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105</v>
      </c>
    </row>
    <row r="11" spans="2:11" ht="14.4">
      <c r="B11" s="46" t="s">
        <v>122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133</v>
      </c>
    </row>
    <row r="12" spans="2:11" ht="14.4">
      <c r="B12" s="4" t="s">
        <v>123</v>
      </c>
      <c r="C12" s="32">
        <v>2.9313248941656633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134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nu5WAyTU+sbzFRmyv6D3CVVkABkOIj+P0Q02VGbS1uAHGIAM+SFLkgvo4j+cGrfdwukR0upzra6yd3hCWu32mA==" saltValue="IJ4AazSKV6o9DQGtT2becg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C11">
    <cfRule type="expression" dxfId="94" priority="4">
      <formula>IF(AND($C11&lt;&gt;"",$J11=0),1,0)</formula>
    </cfRule>
    <cfRule type="expression" dxfId="93" priority="5">
      <formula>IF($C11&lt;&gt;"",1,0)</formula>
    </cfRule>
    <cfRule type="expression" dxfId="92" priority="6">
      <formula>$J11=0</formula>
    </cfRule>
  </conditionalFormatting>
  <conditionalFormatting sqref="K4">
    <cfRule type="expression" dxfId="91" priority="2249">
      <formula>IF(COUNTA($C$10:$C$13)&lt;&gt;COUNTIF($J$10:$J$13,1),1,0)</formula>
    </cfRule>
    <cfRule type="expression" dxfId="90" priority="2250">
      <formula>IF(COUNTA($C$10:$C$13)=COUNTIF($J$10:$J$13,1),1,0)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IF(COUNTIF(Table11024123[Test 3],1)=COUNTA(Table11024123[Value]),"Ready","Not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4.4">
      <c r="B10" s="46" t="s">
        <v>124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4.4">
      <c r="B11" s="46" t="s">
        <v>125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4.4">
      <c r="B12" s="46" t="s">
        <v>126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F0uNVeKgOXjbOreiYtd+ugCfwJDLCnl3qO7bosJu1qS2AvwHmiTJOjGaZr2onp7Ml65s7CkoqUpkehzn0+e9bQ==" saltValue="gnmDwpmKsmBiIYyPWmIJaw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C10:C12">
    <cfRule type="expression" dxfId="68" priority="1">
      <formula>IF(AND($C10&lt;&gt;"",$J10=0),1,0)</formula>
    </cfRule>
    <cfRule type="expression" dxfId="67" priority="2">
      <formula>IF($C10&lt;&gt;"",1,0)</formula>
    </cfRule>
    <cfRule type="expression" dxfId="66" priority="3">
      <formula>$J10=0</formula>
    </cfRule>
  </conditionalFormatting>
  <conditionalFormatting sqref="K4">
    <cfRule type="expression" dxfId="65" priority="2251">
      <formula>IF(COUNTA($C$10:$C$13)&lt;&gt;COUNTIF($J$10:$J$13,1),1,0)</formula>
    </cfRule>
    <cfRule type="expression" dxfId="64" priority="2252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IF(COUNTIF(Table1102412[Test 3],1)=COUNTA(Table1102412[Value]),"Ready","Not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4" t="s">
        <v>127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28.8">
      <c r="B11" s="44" t="s">
        <v>128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28.8">
      <c r="B12" s="39" t="s">
        <v>129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28.8">
      <c r="B13" s="39" t="s">
        <v>130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4.4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S9l5vMoNfFsubyTmRI0NynRFt6xxtqk/XCEDLgMbtuOL8I8KUaI3HYRnOsjZwZR4WruLPfUFxpWglBzB87RACA==" saltValue="5Iyx98gq4baI/vMlFjO1Ng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C10:C11">
    <cfRule type="expression" dxfId="45" priority="1">
      <formula>IF(AND($C10&lt;&gt;"",$J10=0),1,0)</formula>
    </cfRule>
    <cfRule type="expression" dxfId="44" priority="2">
      <formula>IF($C10&lt;&gt;"",1,0)</formula>
    </cfRule>
    <cfRule type="expression" dxfId="43" priority="3">
      <formula>$J10=0</formula>
    </cfRule>
  </conditionalFormatting>
  <conditionalFormatting sqref="C12:C13">
    <cfRule type="expression" dxfId="42" priority="4">
      <formula>IF(AND($C12&lt;&gt;"",$J12=0),1,0)</formula>
    </cfRule>
    <cfRule type="expression" dxfId="41" priority="5">
      <formula>IF($C12&lt;&gt;"",1,0)</formula>
    </cfRule>
    <cfRule type="expression" dxfId="40" priority="6">
      <formula>$J12=0</formula>
    </cfRule>
  </conditionalFormatting>
  <conditionalFormatting sqref="K4">
    <cfRule type="expression" dxfId="39" priority="2253">
      <formula>IF(COUNTA($C$10:$C$14)&lt;&gt;COUNTIF($J$10:$J$14,1),1,0)</formula>
    </cfRule>
    <cfRule type="expression" dxfId="38" priority="2254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defaultColWidth="0" defaultRowHeight="14.55" customHeight="1" zeroHeight="1"/>
  <cols>
    <col min="1" max="1" width="3.77734375" style="3" hidden="1" customWidth="1"/>
    <col min="2" max="2" width="17" style="3" bestFit="1" customWidth="1"/>
    <col min="3" max="3" width="22.109375" style="34" customWidth="1"/>
    <col min="4" max="4" width="20" style="3" customWidth="1"/>
    <col min="5" max="5" width="24.1093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77734375" style="3" hidden="1"/>
  </cols>
  <sheetData>
    <row r="1" spans="2:11" ht="14.4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4.4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5" customHeight="1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IF(COUNTIF(Table11024124[Test 3],1)=COUNTA(Table11024124[Value]),"Ready","Not Ready")</f>
        <v>Ready</v>
      </c>
    </row>
    <row r="5" spans="2:11" ht="14.55" customHeight="1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5" customHeight="1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5" customHeight="1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5" customHeight="1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4.4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4.4">
      <c r="B10" s="46" t="s">
        <v>137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f>[3]Initialization!$C$15</f>
        <v>1</v>
      </c>
      <c r="K10" s="5" t="s">
        <v>138</v>
      </c>
    </row>
    <row r="11" spans="2:11" ht="14.4">
      <c r="B11" s="46" t="s">
        <v>136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f>[3]Initialization!$C$15</f>
        <v>1</v>
      </c>
      <c r="K11" s="5" t="s">
        <v>139</v>
      </c>
    </row>
    <row r="12" spans="2:11" ht="28.8">
      <c r="B12" s="46" t="s">
        <v>135</v>
      </c>
      <c r="C12" s="73">
        <v>5.0699999999999997E-6</v>
      </c>
      <c r="D12" s="35" t="s">
        <v>141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f>[3]Initialization!$C$15</f>
        <v>1</v>
      </c>
      <c r="K12" s="5" t="s">
        <v>140</v>
      </c>
    </row>
    <row r="13" spans="2:11" ht="14.4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/1OPCrglHXvAkcYXgyqTl8RS2RC337nFuXOLFkGK3gjo8z2Kocd9lQ1vBr7PSYAlZcZsSE0yyf0LOuFqcMuO4g==" saltValue="uz08A4IsH8LKvoick2++dw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8">
      <formula>IF(COUNTA($C$10:$C$13)&lt;&gt;COUNTIF($J$10:$J$13,1),1,0)</formula>
    </cfRule>
    <cfRule type="expression" dxfId="15" priority="2259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1013460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G10:G13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F10:F13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B4" sqref="B4:Q6"/>
    </sheetView>
  </sheetViews>
  <sheetFormatPr defaultColWidth="0" defaultRowHeight="0" customHeight="1" zeroHeight="1"/>
  <cols>
    <col min="1" max="2" width="8.77734375" style="62" customWidth="1"/>
    <col min="3" max="3" width="13.109375" style="62" customWidth="1"/>
    <col min="4" max="4" width="13.44140625" style="62" customWidth="1"/>
    <col min="5" max="6" width="8.77734375" style="62" customWidth="1"/>
    <col min="7" max="7" width="14.7773437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44140625" style="62" customWidth="1"/>
    <col min="12" max="17" width="8.77734375" style="62" customWidth="1"/>
    <col min="18" max="16384" width="8.77734375" style="62" hidden="1"/>
  </cols>
  <sheetData>
    <row r="1" spans="1:17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4.4">
      <c r="A2" s="81" t="s">
        <v>121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ht="14.4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4.4">
      <c r="A4" s="63"/>
      <c r="B4" s="64" t="s">
        <v>119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55" customHeight="1">
      <c r="A5" s="63"/>
      <c r="B5" s="65"/>
      <c r="C5" s="83" t="s">
        <v>131</v>
      </c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17" ht="14.4">
      <c r="A6" s="63"/>
      <c r="B6" s="64"/>
      <c r="C6" s="64"/>
      <c r="D6" s="64" t="s">
        <v>132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4.4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4.4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4.4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4.4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4.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4.4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4.4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4.4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4.4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4.4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4.4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4.4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4.4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4.4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4.4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4.4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4.4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4.4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4.4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4.4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4.4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4.4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4.4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4.4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4.4">
      <c r="A31" s="63"/>
      <c r="B31" s="65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4.4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4.4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defaultColWidth="0" defaultRowHeight="14.55" customHeight="1" zeroHeight="1"/>
  <cols>
    <col min="1" max="18" width="8.77734375" style="66" customWidth="1"/>
    <col min="19" max="48" width="0" style="66" hidden="1" customWidth="1"/>
    <col min="49" max="16384" width="8.77734375" style="66" hidden="1"/>
  </cols>
  <sheetData>
    <row r="1" spans="1:18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4.4">
      <c r="A2" s="67" t="s">
        <v>120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4.4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4.4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4.4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4.4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4.4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4.4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4.4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4.4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4.4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4.4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4.4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4.4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4.4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4.4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4.4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4.4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4.4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4.4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4.4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4.4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4.4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4.4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4.4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4.4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4.4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4.4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4.4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4.4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4.4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4.4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4.4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4.4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4.4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4.4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4.4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4.4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4.4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4.4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4.4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4.4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4.4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4.4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4.4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4.4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4.4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4.4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4.4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4.4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4.4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4.4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  <c r="N1" t="s">
        <v>137</v>
      </c>
      <c r="O1" t="s">
        <v>136</v>
      </c>
      <c r="P1" t="s">
        <v>135</v>
      </c>
      <c r="Q1" t="s">
        <v>79</v>
      </c>
    </row>
    <row r="2" spans="1:17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103</v>
      </c>
      <c r="B1" t="s">
        <v>122</v>
      </c>
      <c r="C1" t="s">
        <v>123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  <c r="N1" t="s">
        <v>137</v>
      </c>
      <c r="O1" t="s">
        <v>136</v>
      </c>
      <c r="P1" t="s">
        <v>135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PFD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2022-08-14T20:13:16Z</dcterms:modified>
</cp:coreProperties>
</file>