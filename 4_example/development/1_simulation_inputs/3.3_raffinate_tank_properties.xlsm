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3_unit_properties\"/>
    </mc:Choice>
  </mc:AlternateContent>
  <xr:revisionPtr revIDLastSave="0" documentId="13_ncr:1_{D94B1ABD-6F44-4FE2-9A2F-AFF797A8FC50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1" l="1"/>
  <c r="B2" i="31"/>
  <c r="K2" i="43"/>
  <c r="B2" i="43"/>
  <c r="K2" i="40"/>
  <c r="B2" i="40"/>
  <c r="K4" i="43" l="1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<sst xmlns="http://schemas.openxmlformats.org/spreadsheetml/2006/main" count="245" uniqueCount="135">
  <si>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</si>
  <si>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</si>
  <si>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</si>
  <si>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</si>
  <si>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</si>
  <si>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</si>
  <si>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</si>
  <si>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</si>
  <si>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</si>
  <si>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</si>
  <si>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</si>
  <si>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</si>
  <si>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</si>
  <si>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</si>
  <si>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</si>
  <si>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</si>
  <si>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</si>
  <si>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</si>
  <si>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</si>
  <si>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</si>
  <si>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</si>
  <si>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</si>
  <si>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</si>
  <si>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</si>
  <si>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</si>
  <si>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</si>
  <si>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</si>
  <si>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</si>
  <si>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</si>
  <si>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</si>
  <si>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</si>
  <si>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</si>
  <si>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</si>
  <si>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</si>
  <si>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</si>
  <si>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</si>
  <si>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</si>
  <si>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</si>
  <si>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</si>
  <si>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</si>
  <si>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</si>
  <si>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</si>
  <si>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</si>
  <si>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</si>
  <si>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</si>
  <si>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</si>
  <si>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</si>
  <si>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</si>
  <si>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</si>
  <si>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</si>
  <si>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</si>
  <si>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</si>
  <si>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</si>
  <si>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</si>
  <si>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</si>
  <si>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</si>
  <si>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</si>
  <si>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</si>
  <si>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</si>
  <si>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</si>
  <si>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</si>
  <si>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</si>
  <si>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</si>
  <si>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</si>
  <si>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</si>
  <si>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</si>
  <si>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</si>
  <si>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</si>
  <si>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</si>
  <si>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</si>
  <si>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</si>
  <si>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</si>
  <si>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</si>
  <si>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</si>
  <si>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</si>
  <si>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</si>
  <si>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</si>
  <si>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</si>
  <si>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</si>
  <si>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</si>
  <si>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</si>
  <si>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</si>
  <si>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</si>
  <si>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</si>
  <si>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</si>
  <si>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</si>
  <si>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</si>
  <si>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</si>
  <si>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</si>
  <si>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</si>
  <si>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</si>
  <si>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</si>
  <si>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</si>
  <si>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</si>
  <si>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</si>
  <si>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</si>
  <si>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</si>
  <si>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</si>
  <si>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</si>
  <si>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</si>
  <si>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</si>
  <si>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</si>
  <si>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</si>
  <si>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</si>
  <si>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</si>
  <si>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</si>
  <si>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</si>
  <si>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</si>
  <si>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</si>
  <si>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</si>
  <si>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</si>
  <si>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</si>
  <si>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</si>
  <si>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</si>
  <si>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</si>
  <si>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</si>
  <si>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</si>
  <si>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</si>
  <si>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</si>
  <si>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</si>
  <si>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</si>
  <si>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</si>
  <si>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</si>
  <si>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</si>
  <si>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</si>
  <si>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</si>
  <si>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</si>
  <si>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</si>
  <si>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</si>
  <si>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</si>
  <si>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</si>
  <si>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1. There is a check valve after the raffinate tank.</t>
  </si>
  <si>
    <t>1.1  Only when the pressure inside the tank exceeds a threshold, the flow is allowed.</t>
  </si>
  <si>
    <t>Raffinate tank initial temperature</t>
  </si>
  <si>
    <t>The initial pressure for the raffinate tank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</si>
</sst>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77" dataDxfId="75" headerRowBorderDxfId="76" tableBorderDxfId="74" totalsRowBorderDxfId="73">
  <autoFilter ref="B9:K13" xr:uid="{B089C5C3-2CCE-4800-96CA-2131BB6E3E4F}"/>
  <tableColumns count="10">
    <tableColumn id="1" xr3:uid="{3E4F27FA-9CCD-488C-9FFE-8189DF89B2B5}" name="Variable" dataDxfId="72"/>
    <tableColumn id="4" xr3:uid="{4D38B92D-B1E9-4DDE-B914-6A4E9DB63C9E}" name="Value" dataDxfId="71"/>
    <tableColumn id="5" xr3:uid="{DE2ACEA5-F459-4C5B-ADEC-6214F75935FA}" name="Unit" dataDxfId="70"/>
    <tableColumn id="6" xr3:uid="{BBE9846A-4956-4FAF-848B-0B1F56311296}" name="Comparisons" dataDxfId="69"/>
    <tableColumn id="7" xr3:uid="{7604F104-935C-4D6C-98BF-97589769DD42}" name="Variable Type" dataDxfId="68"/>
    <tableColumn id="8" xr3:uid="{7D3892CD-8765-4699-977F-B3AA8A9AB120}" name="Dependency" dataDxfId="67"/>
    <tableColumn id="12" xr3:uid="{161D2FD1-7A78-4D8E-8024-885B20FF313F}" name="Test 1" dataDxfId="66"/>
    <tableColumn id="10" xr3:uid="{1AA44E52-6629-487F-B43F-5CEC7D36BB2A}" name="Test 2" dataDxfId="65"/>
    <tableColumn id="2" xr3:uid="{6AF5B301-E925-40CD-B0FD-ED73E5B71C10}" name="Test 3" dataDxfId="64"/>
    <tableColumn id="9" xr3:uid="{29E572B6-C772-4761-B1A5-7C1BBC5A9A8E}" name="Description" dataDxfId="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62" dataDxfId="60" headerRowBorderDxfId="61" tableBorderDxfId="59" totalsRowBorderDxfId="58">
  <autoFilter ref="B9:K13" xr:uid="{B089C5C3-2CCE-4800-96CA-2131BB6E3E4F}"/>
  <tableColumns count="10">
    <tableColumn id="1" xr3:uid="{33A6A58D-364D-4A35-922C-DE212771E5A3}" name="Variable" dataDxfId="57"/>
    <tableColumn id="4" xr3:uid="{941C2A7D-BF3F-418E-B42D-DD80A4DE2A81}" name="Value" dataDxfId="56"/>
    <tableColumn id="5" xr3:uid="{C4E86D48-03E8-46FA-B8CA-6F5D6C6A2D12}" name="Unit" dataDxfId="55"/>
    <tableColumn id="6" xr3:uid="{665361F6-20BF-415D-BBF1-F45B832A29DE}" name="Comparisons" dataDxfId="54"/>
    <tableColumn id="7" xr3:uid="{F7A189BB-30E4-471C-9393-FF44966433C9}" name="Variable Type" dataDxfId="53"/>
    <tableColumn id="8" xr3:uid="{536CEEB4-5D6D-4FC9-B347-8D4F6CE10C67}" name="Dependency" dataDxfId="52"/>
    <tableColumn id="12" xr3:uid="{41F5DBE5-C5A3-4D63-A4BF-9774F11F14D3}" name="Test 1" dataDxfId="51"/>
    <tableColumn id="10" xr3:uid="{75ACAF5C-BDFE-45DE-AD7B-8EA0171A905D}" name="Test 2" dataDxfId="50"/>
    <tableColumn id="2" xr3:uid="{E0C16DCE-CCB9-4239-B5AF-7F90FE1422EF}" name="Test 3" dataDxfId="49"/>
    <tableColumn id="9" xr3:uid="{11A90378-9784-4E77-9A9A-BDE1BD80CAC4}" name="Description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47" dataDxfId="45" headerRowBorderDxfId="46" tableBorderDxfId="44" totalsRowBorderDxfId="43">
  <autoFilter ref="B9:K14" xr:uid="{B089C5C3-2CCE-4800-96CA-2131BB6E3E4F}"/>
  <tableColumns count="10">
    <tableColumn id="1" xr3:uid="{897C7A45-3F96-4FAD-9D88-64BEDA59EE04}" name="Variable" dataDxfId="42"/>
    <tableColumn id="4" xr3:uid="{AC44F3C7-74B4-4404-BA30-07059568F4CD}" name="Value" dataDxfId="41"/>
    <tableColumn id="5" xr3:uid="{6083DF57-24E4-4D4A-B84A-AB4CE9566C0A}" name="Unit" dataDxfId="40"/>
    <tableColumn id="6" xr3:uid="{7B5B4F38-11BC-48C2-B29A-22FAFA39A76A}" name="Comparisons" dataDxfId="39"/>
    <tableColumn id="7" xr3:uid="{687831A6-7122-45C8-9279-6A017FA30571}" name="Variable Type" dataDxfId="38"/>
    <tableColumn id="8" xr3:uid="{F0D98687-63CA-49F2-A0F5-F43443FEED82}" name="Dependency" dataDxfId="37"/>
    <tableColumn id="12" xr3:uid="{57EFF7D5-281B-4073-9550-73D369BA3603}" name="Test 1" dataDxfId="36"/>
    <tableColumn id="10" xr3:uid="{886EC4A5-54AE-4612-B5FF-8B6E7B32A853}" name="Test 2" dataDxfId="35"/>
    <tableColumn id="2" xr3:uid="{C5B5DD0C-C82D-4FD9-A165-974B4B54478C}" name="Test 3" dataDxfId="34"/>
    <tableColumn id="9" xr3:uid="{E8B12666-0292-4BAB-9166-E185CB24DBFE}" name="Description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106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defaultColWidth="0" defaultRowHeight="14.4" customHeight="1" zeroHeight="1"/>
  <cols>
    <col min="1" max="2" width="3.33203125" style="47" hidden="1" customWidth="1"/>
    <col min="3" max="3" width="2.44140625" style="47" customWidth="1"/>
    <col min="4" max="4" width="13.88671875" style="47" customWidth="1"/>
    <col min="5" max="5" width="51.33203125" style="48" bestFit="1" customWidth="1"/>
    <col min="6" max="6" width="15.77734375" style="49" bestFit="1" customWidth="1"/>
    <col min="7" max="9" width="13.33203125" style="47" customWidth="1"/>
    <col min="10" max="10" width="48.88671875" style="47" customWidth="1"/>
    <col min="11" max="11" width="2.44140625" style="47" customWidth="1"/>
    <col min="12" max="12" width="0" style="47" hidden="1" customWidth="1"/>
    <col min="13" max="16384" width="9" style="47" hidden="1"/>
  </cols>
  <sheetData>
    <row r="3" spans="4:10"/>
    <row r="4" spans="4:10" ht="18">
      <c r="D4" s="50" t="s">
        <v>117</v>
      </c>
      <c r="E4" s="51"/>
      <c r="F4" s="52"/>
      <c r="G4" s="53"/>
      <c r="H4" s="53"/>
      <c r="I4" s="53"/>
      <c r="J4" s="36" t="s">
        <v>86</v>
      </c>
    </row>
    <row r="5" spans="4:10" ht="36">
      <c r="D5" s="73" t="s">
        <v>39</v>
      </c>
      <c r="E5" s="73"/>
      <c r="F5" s="73"/>
      <c r="G5" s="73"/>
      <c r="H5" s="73"/>
      <c r="I5" s="73"/>
      <c r="J5" s="73"/>
    </row>
    <row r="6" spans="4:10" ht="18">
      <c r="D6" s="54" t="s">
        <v>33</v>
      </c>
      <c r="E6" s="54" t="s">
        <v>116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36">
      <c r="D7" s="55">
        <v>1</v>
      </c>
      <c r="E7" s="56" t="s">
        <v>118</v>
      </c>
      <c r="F7" s="57">
        <v>44720</v>
      </c>
      <c r="G7" s="55" t="s">
        <v>40</v>
      </c>
      <c r="H7" s="55"/>
      <c r="I7" s="55"/>
      <c r="J7" s="56"/>
    </row>
    <row r="8" spans="4:10" ht="18">
      <c r="D8" s="55">
        <v>2</v>
      </c>
      <c r="E8" s="56"/>
      <c r="F8" s="57"/>
      <c r="G8" s="55"/>
      <c r="H8" s="55"/>
      <c r="I8" s="55"/>
      <c r="J8" s="56"/>
    </row>
    <row r="9" spans="4:10" ht="18">
      <c r="D9" s="55">
        <v>3</v>
      </c>
      <c r="E9" s="56"/>
      <c r="F9" s="57"/>
      <c r="G9" s="55"/>
      <c r="H9" s="55"/>
      <c r="I9" s="55"/>
      <c r="J9" s="56"/>
    </row>
    <row r="10" spans="4:10" ht="18">
      <c r="D10" s="55">
        <v>4</v>
      </c>
      <c r="E10" s="56"/>
      <c r="F10" s="57"/>
      <c r="G10" s="55"/>
      <c r="H10" s="55"/>
      <c r="I10" s="55"/>
      <c r="J10" s="56"/>
    </row>
    <row r="11" spans="4:10" ht="18">
      <c r="D11" s="55">
        <v>5</v>
      </c>
      <c r="E11" s="56"/>
      <c r="F11" s="57"/>
      <c r="G11" s="55"/>
      <c r="H11" s="55"/>
      <c r="I11" s="55"/>
      <c r="J11" s="56"/>
    </row>
    <row r="12" spans="4:10" ht="18">
      <c r="D12" s="55">
        <v>6</v>
      </c>
      <c r="E12" s="56"/>
      <c r="F12" s="57"/>
      <c r="G12" s="55"/>
      <c r="H12" s="55"/>
      <c r="I12" s="55"/>
      <c r="J12" s="56"/>
    </row>
    <row r="13" spans="4:10" ht="18">
      <c r="D13" s="55">
        <v>7</v>
      </c>
      <c r="E13" s="56"/>
      <c r="F13" s="57"/>
      <c r="G13" s="55"/>
      <c r="H13" s="55"/>
      <c r="I13" s="55"/>
      <c r="J13" s="56"/>
    </row>
    <row r="14" spans="4:10" ht="18">
      <c r="D14" s="55">
        <v>8</v>
      </c>
      <c r="E14" s="56"/>
      <c r="F14" s="57"/>
      <c r="G14" s="55"/>
      <c r="H14" s="55"/>
      <c r="I14" s="55"/>
      <c r="J14" s="56"/>
    </row>
    <row r="15" spans="4:10" ht="18">
      <c r="D15" s="55">
        <v>9</v>
      </c>
      <c r="E15" s="56"/>
      <c r="F15" s="57"/>
      <c r="G15" s="55"/>
      <c r="H15" s="55"/>
      <c r="I15" s="55"/>
      <c r="J15" s="56"/>
    </row>
    <row r="16" spans="4:10" ht="18">
      <c r="D16" s="55">
        <v>10</v>
      </c>
      <c r="E16" s="56"/>
      <c r="F16" s="57"/>
      <c r="G16" s="55"/>
      <c r="H16" s="55"/>
      <c r="I16" s="55"/>
      <c r="J16" s="5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D10" sqref="D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IF(COUNTIF(Table11024122[Test 3],1)=COUNTA(Table11024122[Value]),"Ready","Not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72">
      <c r="B10" s="40" t="s">
        <v>103</v>
      </c>
      <c r="C10" s="32">
        <v>4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105</v>
      </c>
    </row>
    <row r="11" spans="2:11">
      <c r="B11" s="46" t="s">
        <v>122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133</v>
      </c>
    </row>
    <row r="12" spans="2:11">
      <c r="B12" s="4" t="s">
        <v>123</v>
      </c>
      <c r="C12" s="32">
        <v>2.9313248941656633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134</v>
      </c>
    </row>
    <row r="13" spans="2:11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3">
    <cfRule type="expression" dxfId="32" priority="43">
      <formula>IF(AND($C13&lt;&gt;"",$J13=0),1,0)</formula>
    </cfRule>
    <cfRule type="expression" dxfId="31" priority="44">
      <formula>IF($C13&lt;&gt;"",1,0)</formula>
    </cfRule>
    <cfRule type="expression" dxfId="30" priority="45">
      <formula>$J13=0</formula>
    </cfRule>
  </conditionalFormatting>
  <conditionalFormatting sqref="C10">
    <cfRule type="expression" dxfId="29" priority="34">
      <formula>IF(AND($C10&lt;&gt;"",$J10=0),1,0)</formula>
    </cfRule>
    <cfRule type="expression" dxfId="28" priority="35">
      <formula>IF($C10&lt;&gt;"",1,0)</formula>
    </cfRule>
    <cfRule type="expression" dxfId="27" priority="36">
      <formula>$J10=0</formula>
    </cfRule>
  </conditionalFormatting>
  <conditionalFormatting sqref="C11">
    <cfRule type="expression" dxfId="26" priority="4">
      <formula>IF(AND($C11&lt;&gt;"",$J11=0),1,0)</formula>
    </cfRule>
    <cfRule type="expression" dxfId="25" priority="5">
      <formula>IF($C11&lt;&gt;"",1,0)</formula>
    </cfRule>
    <cfRule type="expression" dxfId="24" priority="6">
      <formula>$J11=0</formula>
    </cfRule>
  </conditionalFormatting>
  <conditionalFormatting sqref="K4">
    <cfRule type="expression" dxfId="23" priority="2249">
      <formula>IF(COUNTA($C$10:$C$13)&lt;&gt;COUNTIF($J$10:$J$13,1),1,0)</formula>
    </cfRule>
    <cfRule type="expression" dxfId="22" priority="2250">
      <formula>IF(COUNTA($C$10:$C$13)=COUNTIF($J$10:$J$13,1),1,0)</formula>
    </cfRule>
  </conditionalFormatting>
  <conditionalFormatting sqref="C12">
    <cfRule type="expression" dxfId="21" priority="1">
      <formula>IF(AND($C12&lt;&gt;"",$J12=0),1,0)</formula>
    </cfRule>
    <cfRule type="expression" dxfId="20" priority="2">
      <formula>IF($C12&lt;&gt;"",1,0)</formula>
    </cfRule>
    <cfRule type="expression" dxfId="19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B2" sqref="B2:K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IF(COUNTIF(Table11024123[Test 3],1)=COUNTA(Table11024123[Value]),"Ready","Not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>
      <c r="B10" s="46" t="s">
        <v>124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>
      <c r="B11" s="46" t="s">
        <v>125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>
      <c r="B12" s="46" t="s">
        <v>126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3">
    <cfRule type="expression" dxfId="18" priority="31">
      <formula>IF(AND($C13&lt;&gt;"",$J13=0),1,0)</formula>
    </cfRule>
    <cfRule type="expression" dxfId="17" priority="32">
      <formula>IF($C13&lt;&gt;"",1,0)</formula>
    </cfRule>
    <cfRule type="expression" dxfId="16" priority="33">
      <formula>$J13=0</formula>
    </cfRule>
  </conditionalFormatting>
  <conditionalFormatting sqref="C10:C12">
    <cfRule type="expression" dxfId="15" priority="1">
      <formula>IF(AND($C10&lt;&gt;"",$J10=0),1,0)</formula>
    </cfRule>
    <cfRule type="expression" dxfId="14" priority="2">
      <formula>IF($C10&lt;&gt;"",1,0)</formula>
    </cfRule>
    <cfRule type="expression" dxfId="13" priority="3">
      <formula>$J10=0</formula>
    </cfRule>
  </conditionalFormatting>
  <conditionalFormatting sqref="K4">
    <cfRule type="expression" dxfId="12" priority="2251">
      <formula>IF(COUNTA($C$10:$C$13)&lt;&gt;COUNTIF($J$10:$J$13,1),1,0)</formula>
    </cfRule>
    <cfRule type="expression" dxfId="11" priority="2252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B2" sqref="B2:K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IF(COUNTIF(Table1102412[Test 3],1)=COUNTA(Table1102412[Value]),"Ready","Not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28.8">
      <c r="B10" s="44" t="s">
        <v>127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28.8">
      <c r="B11" s="44" t="s">
        <v>128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28.8">
      <c r="B12" s="39" t="s">
        <v>129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28.8">
      <c r="B13" s="39" t="s">
        <v>130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selectLockedCells="1"/>
  <mergeCells count="2">
    <mergeCell ref="B3:K3"/>
    <mergeCell ref="K4:K8"/>
  </mergeCells>
  <conditionalFormatting sqref="C14">
    <cfRule type="expression" dxfId="10" priority="94">
      <formula>IF(AND($C14&lt;&gt;"",$J14=0),1,0)</formula>
    </cfRule>
    <cfRule type="expression" dxfId="9" priority="95">
      <formula>IF($C14&lt;&gt;"",1,0)</formula>
    </cfRule>
    <cfRule type="expression" dxfId="8" priority="96">
      <formula>$J14=0</formula>
    </cfRule>
  </conditionalFormatting>
  <conditionalFormatting sqref="C10:C11">
    <cfRule type="expression" dxfId="7" priority="1">
      <formula>IF(AND($C10&lt;&gt;"",$J10=0),1,0)</formula>
    </cfRule>
    <cfRule type="expression" dxfId="6" priority="2">
      <formula>IF($C10&lt;&gt;"",1,0)</formula>
    </cfRule>
    <cfRule type="expression" dxfId="5" priority="3">
      <formula>$J10=0</formula>
    </cfRule>
  </conditionalFormatting>
  <conditionalFormatting sqref="C12:C13">
    <cfRule type="expression" dxfId="4" priority="4">
      <formula>IF(AND($C12&lt;&gt;"",$J12=0),1,0)</formula>
    </cfRule>
    <cfRule type="expression" dxfId="3" priority="5">
      <formula>IF($C12&lt;&gt;"",1,0)</formula>
    </cfRule>
    <cfRule type="expression" dxfId="2" priority="6">
      <formula>$J12=0</formula>
    </cfRule>
  </conditionalFormatting>
  <conditionalFormatting sqref="K4">
    <cfRule type="expression" dxfId="1" priority="2253">
      <formula>IF(COUNTA($C$10:$C$14)&lt;&gt;COUNTIF($J$10:$J$14,1),1,0)</formula>
    </cfRule>
    <cfRule type="expression" dxfId="0" priority="2254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B4" sqref="B4:Q6"/>
    </sheetView>
  </sheetViews>
  <sheetFormatPr defaultColWidth="0" defaultRowHeight="0" customHeight="1" zeroHeight="1"/>
  <cols>
    <col min="1" max="2" width="8.88671875" style="62" customWidth="1"/>
    <col min="3" max="3" width="13.109375" style="62" customWidth="1"/>
    <col min="4" max="4" width="13.44140625" style="62" customWidth="1"/>
    <col min="5" max="6" width="8.88671875" style="62" customWidth="1"/>
    <col min="7" max="7" width="14.7773437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546875" style="62" customWidth="1"/>
    <col min="12" max="17" width="8.88671875" style="62" customWidth="1"/>
    <col min="18" max="16384" width="8.88671875" style="62" hidden="1"/>
  </cols>
  <sheetData>
    <row r="1" spans="1:17" ht="14.4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4.4">
      <c r="A2" s="80" t="s">
        <v>121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</row>
    <row r="3" spans="1:17" ht="14.4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4.4">
      <c r="A4" s="63"/>
      <c r="B4" s="64" t="s">
        <v>119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4.4" customHeight="1">
      <c r="A5" s="63"/>
      <c r="B5" s="65"/>
      <c r="C5" s="82" t="s">
        <v>131</v>
      </c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</row>
    <row r="6" spans="1:17" ht="14.4">
      <c r="A6" s="63"/>
      <c r="B6" s="64"/>
      <c r="C6" s="64"/>
      <c r="D6" s="64" t="s">
        <v>132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4.4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4.4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4.4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4.4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4.4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4.4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4.4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4.4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4.4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4.4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4.4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4.4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4.4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4.4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4.4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4.4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4.4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4.4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4.4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4.4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4.4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4.4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4.4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4.4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4.4">
      <c r="A31" s="63"/>
      <c r="B31" s="65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4.4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4.4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0" hidden="1" customHeight="1"/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defaultColWidth="0" defaultRowHeight="14.4" customHeight="1" zeroHeight="1"/>
  <cols>
    <col min="1" max="18" width="8.88671875" style="66" customWidth="1"/>
    <col min="19" max="48" width="0" style="66" hidden="1" customWidth="1"/>
    <col min="49" max="16384" width="8.88671875" style="66" hidden="1"/>
  </cols>
  <sheetData>
    <row r="1" spans="1:18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>
      <c r="A2" s="67" t="s">
        <v>120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RowHeight="14.4"/>
  <sheetData>
    <row r="1" spans="1:13">
      <c r="A1" t="s">
        <v>103</v>
      </c>
      <c r="B1" t="s">
        <v>122</v>
      </c>
      <c r="C1" t="s">
        <v>123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RowHeight="14.4"/>
  <sheetData>
    <row r="1" spans="1:13">
      <c r="A1" t="s">
        <v>103</v>
      </c>
      <c r="B1" t="s">
        <v>122</v>
      </c>
      <c r="C1" t="s">
        <v>123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Help</vt:lpstr>
      <vt:lpstr>PFD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2022-06-09T14:25:59Z</dcterms:modified>
</cp:coreProperties>
</file>