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tables/table1.xml" ContentType="application/vnd.openxmlformats-officedocument.spreadsheetml.table+xml"/>
  <Override PartName="/xl/comments1.xml" ContentType="application/vnd.openxmlformats-officedocument.spreadsheetml.comments+xml"/>
  <Override PartName="/xl/threadedComments/threadedComment1.xml" ContentType="application/vnd.ms-excel.threadedcomments+xml"/>
  <Override PartName="/xl/drawings/drawing3.xml" ContentType="application/vnd.openxmlformats-officedocument.drawing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tables/table2.xml" ContentType="application/vnd.openxmlformats-officedocument.spreadsheetml.table+xml"/>
  <Override PartName="/xl/comments2.xml" ContentType="application/vnd.openxmlformats-officedocument.spreadsheetml.comments+xml"/>
  <Override PartName="/xl/threadedComments/threadedComment2.xml" ContentType="application/vnd.ms-excel.threadedcomments+xml"/>
  <Override PartName="/xl/drawings/drawing4.xml" ContentType="application/vnd.openxmlformats-officedocument.drawing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tables/table3.xml" ContentType="application/vnd.openxmlformats-officedocument.spreadsheetml.table+xml"/>
  <Override PartName="/xl/comments3.xml" ContentType="application/vnd.openxmlformats-officedocument.spreadsheetml.comments+xml"/>
  <Override PartName="/xl/threadedComments/threadedComment3.xml" ContentType="application/vnd.ms-excel.threadedcomments+xml"/>
  <Override PartName="/xl/drawings/drawing5.xml" ContentType="application/vnd.openxmlformats-officedocument.drawing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tables/table4.xml" ContentType="application/vnd.openxmlformats-officedocument.spreadsheetml.table+xml"/>
  <Override PartName="/xl/comments4.xml" ContentType="application/vnd.openxmlformats-officedocument.spreadsheetml.comments+xml"/>
  <Override PartName="/xl/threadedComments/threadedComment4.xml" ContentType="application/vnd.ms-excel.threadedcomments+xml"/>
  <Override PartName="/xl/persons/person.xml" ContentType="application/vnd.ms-excel.person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911" codeName="{A63ED3A1-9429-3D75-F2AA-CA7E51A8F3A1}"/>
  <workbookPr updateLinks="never"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/Users/taehunkim/Documents/GitHub/toPSAil/4_example/development/1_simulation_inputs/"/>
    </mc:Choice>
  </mc:AlternateContent>
  <xr:revisionPtr revIDLastSave="0" documentId="13_ncr:1_{35F78258-138F-684E-938C-C5514D61B5CD}" xr6:coauthVersionLast="47" xr6:coauthVersionMax="47" xr10:uidLastSave="{00000000-0000-0000-0000-000000000000}"/>
  <bookViews>
    <workbookView xWindow="0" yWindow="0" windowWidth="28800" windowHeight="18000" tabRatio="818" activeTab="1" xr2:uid="{CB583278-6AF7-49E7-A969-6064EAB4A9B4}"/>
  </bookViews>
  <sheets>
    <sheet name="Reference" sheetId="2" state="hidden" r:id="rId1"/>
    <sheet name="Revision History" sheetId="39" r:id="rId2"/>
    <sheet name="Initialization" sheetId="40" r:id="rId3"/>
    <sheet name="Geometry" sheetId="43" r:id="rId4"/>
    <sheet name="Physical Properties" sheetId="31" r:id="rId5"/>
    <sheet name="Control" sheetId="44" r:id="rId6"/>
    <sheet name="maintenance check list" sheetId="28" state="hidden" r:id="rId7"/>
    <sheet name="Data(Transposed)" sheetId="3" state="hidden" r:id="rId8"/>
    <sheet name="Data(Test)" sheetId="9" state="hidden" r:id="rId9"/>
  </sheets>
  <functionGroups builtInGroupCount="19"/>
  <externalReferences>
    <externalReference r:id="rId10"/>
  </externalReferences>
  <definedNames>
    <definedName name="_xlnm._FilterDatabase" localSheetId="5" hidden="1">Control!$A$9:$J$9</definedName>
    <definedName name="_xlnm._FilterDatabase" localSheetId="3" hidden="1">Geometry!$A$9:$J$9</definedName>
    <definedName name="_xlnm._FilterDatabase" localSheetId="2" hidden="1">Initialization!$A$9:$J$9</definedName>
    <definedName name="_xlnm._FilterDatabase" localSheetId="4" hidden="1">'Physical Properties'!$A$9:$J$9</definedName>
    <definedName name="_xlnm.Print_Area" localSheetId="5">Control!$A$2:$J$13</definedName>
    <definedName name="_xlnm.Print_Area" localSheetId="3">Geometry!$A$2:$J$13</definedName>
    <definedName name="_xlnm.Print_Area" localSheetId="2">Initialization!$A$2:$J$13</definedName>
    <definedName name="_xlnm.Print_Area" localSheetId="4">'Physical Properties'!$A$2:$J$14</definedName>
    <definedName name="_xlnm.Print_Area" localSheetId="1">'Revision History'!$C$3:$K$51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I12" i="44" l="1"/>
  <c r="I11" i="44"/>
  <c r="I10" i="44"/>
  <c r="J4" i="44" l="1"/>
  <c r="J2" i="44"/>
  <c r="A2" i="44"/>
  <c r="J2" i="31"/>
  <c r="A2" i="31"/>
  <c r="J2" i="43"/>
  <c r="A2" i="43"/>
  <c r="J2" i="40"/>
  <c r="A2" i="40"/>
  <c r="J4" i="43" l="1"/>
  <c r="J4" i="40" l="1"/>
  <c r="J4" i="3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tc={EC15F513-2B4D-44C7-9046-ED9392180BB4}</author>
    <author>tc={4D8BC438-D49B-455D-A372-081FDDFE29BE}</author>
    <author>tc={083035D6-F670-4C55-8177-0FF26052F9F2}</author>
  </authors>
  <commentList>
    <comment ref="G9" authorId="0" shapeId="0" xr:uid="{EC15F513-2B4D-44C7-9046-ED9392180BB4}">
      <text>
        <t>[Threaded comment]
Your version of Excel allows you to read this threaded comment; however, any edits to it will get removed if the file is opened in a newer version of Excel. Learn more: https://go.microsoft.com/fwlink/?linkid=870924
Comment:
    place 1 if we want to keep the row when re-initializing. Otherwise, leave it as a blank.</t>
      </text>
    </comment>
    <comment ref="H9" authorId="1" shapeId="0" xr:uid="{4D8BC438-D49B-455D-A372-081FDDFE29BE}">
      <text>
        <t>[Threaded comment]
Your version of Excel allows you to read this threaded comment; however, any edits to it will get removed if the file is opened in a newer version of Excel. Learn more: https://go.microsoft.com/fwlink/?linkid=870924
Comment:
    supply a value greater than 1 if you want to duplicate the row</t>
      </text>
    </comment>
    <comment ref="I9" authorId="2" shapeId="0" xr:uid="{083035D6-F670-4C55-8177-0FF26052F9F2}">
      <text>
        <t>[Threaded comment]
Your version of Excel allows you to read this threaded comment; however, any edits to it will get removed if the file is opened in a newer version of Excel. Learn more: https://go.microsoft.com/fwlink/?linkid=870924
Comment:
    1 means we need to have the variable specified; 0 means we need not have the variable specified
Reply:
    Orange highlighted cells contain if then statement to allow the MATLAB® to check for the right inputs</t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tc={5CF8456C-E29F-4B72-ABE5-1FAF09AB14DB}</author>
    <author>tc={76134A13-A10E-498C-BE0C-A35275B3AACE}</author>
    <author>tc={CA7E41C9-6F47-4585-8D78-E25D033F8587}</author>
  </authors>
  <commentList>
    <comment ref="G9" authorId="0" shapeId="0" xr:uid="{5CF8456C-E29F-4B72-ABE5-1FAF09AB14DB}">
      <text>
        <t>[Threaded comment]
Your version of Excel allows you to read this threaded comment; however, any edits to it will get removed if the file is opened in a newer version of Excel. Learn more: https://go.microsoft.com/fwlink/?linkid=870924
Comment:
    place 1 if we want to keep the row when re-initializing. Otherwise, leave it as a blank.</t>
      </text>
    </comment>
    <comment ref="H9" authorId="1" shapeId="0" xr:uid="{76134A13-A10E-498C-BE0C-A35275B3AACE}">
      <text>
        <t>[Threaded comment]
Your version of Excel allows you to read this threaded comment; however, any edits to it will get removed if the file is opened in a newer version of Excel. Learn more: https://go.microsoft.com/fwlink/?linkid=870924
Comment:
    supply a value greater than 1 if you want to duplicate the row</t>
      </text>
    </comment>
    <comment ref="I9" authorId="2" shapeId="0" xr:uid="{CA7E41C9-6F47-4585-8D78-E25D033F8587}">
      <text>
        <t>[Threaded comment]
Your version of Excel allows you to read this threaded comment; however, any edits to it will get removed if the file is opened in a newer version of Excel. Learn more: https://go.microsoft.com/fwlink/?linkid=870924
Comment:
    1 means we need to have the variable specified; 0 means we need not have the variable specified
Reply:
    Orange highlighted cells contain if then statement to allow the MATLAB® to check for the right inputs</t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tc={097155E7-95C7-4F81-9C85-C4A524BE8917}</author>
    <author>tc={00051905-C3DD-4457-AAD8-72BC66947855}</author>
    <author>tc={64A9060D-EF29-473C-8859-5A9FCCE88F46}</author>
  </authors>
  <commentList>
    <comment ref="G9" authorId="0" shapeId="0" xr:uid="{097155E7-95C7-4F81-9C85-C4A524BE8917}">
      <text>
        <t>[Threaded comment]
Your version of Excel allows you to read this threaded comment; however, any edits to it will get removed if the file is opened in a newer version of Excel. Learn more: https://go.microsoft.com/fwlink/?linkid=870924
Comment:
    place 1 if we want to keep the row when re-initializing. Otherwise, leave it as a blank.</t>
      </text>
    </comment>
    <comment ref="H9" authorId="1" shapeId="0" xr:uid="{00051905-C3DD-4457-AAD8-72BC66947855}">
      <text>
        <t>[Threaded comment]
Your version of Excel allows you to read this threaded comment; however, any edits to it will get removed if the file is opened in a newer version of Excel. Learn more: https://go.microsoft.com/fwlink/?linkid=870924
Comment:
    supply a value greater than 1 if you want to duplicate the row</t>
      </text>
    </comment>
    <comment ref="I9" authorId="2" shapeId="0" xr:uid="{64A9060D-EF29-473C-8859-5A9FCCE88F46}">
      <text>
        <t>[Threaded comment]
Your version of Excel allows you to read this threaded comment; however, any edits to it will get removed if the file is opened in a newer version of Excel. Learn more: https://go.microsoft.com/fwlink/?linkid=870924
Comment:
    1 means we need to have the variable specified; 0 means we need not have the variable specified
Reply:
    Orange highlighted cells contain if then statement to allow the MATLAB® to check for the right inputs</t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tc={140666CE-EF2C-9944-9876-798DC985D3F5}</author>
    <author>tc={5159B78C-B001-9C4E-94CE-CB20C78B8A53}</author>
    <author>tc={8A269DA9-18AE-CD40-B00D-60DD3F6D3339}</author>
  </authors>
  <commentList>
    <comment ref="G9" authorId="0" shapeId="0" xr:uid="{140666CE-EF2C-9944-9876-798DC985D3F5}">
      <text>
        <t>[Threaded comment]
Your version of Excel allows you to read this threaded comment; however, any edits to it will get removed if the file is opened in a newer version of Excel. Learn more: https://go.microsoft.com/fwlink/?linkid=870924
Comment:
    place 1 if we want to keep the row when re-initializing. Otherwise, leave it as a blank.</t>
      </text>
    </comment>
    <comment ref="H9" authorId="1" shapeId="0" xr:uid="{5159B78C-B001-9C4E-94CE-CB20C78B8A53}">
      <text>
        <t>[Threaded comment]
Your version of Excel allows you to read this threaded comment; however, any edits to it will get removed if the file is opened in a newer version of Excel. Learn more: https://go.microsoft.com/fwlink/?linkid=870924
Comment:
    supply a value greater than 1 if you want to duplicate the row</t>
      </text>
    </comment>
    <comment ref="I9" authorId="2" shapeId="0" xr:uid="{8A269DA9-18AE-CD40-B00D-60DD3F6D3339}">
      <text>
        <t>[Threaded comment]
Your version of Excel allows you to read this threaded comment; however, any edits to it will get removed if the file is opened in a newer version of Excel. Learn more: https://go.microsoft.com/fwlink/?linkid=870924
Comment:
    1 means we need to have the variable specified; 0 means we need not have the variable specified
Reply:
    Orange highlighted cells contain if then statement to allow the MATLAB® to check for the right inputs</t>
      </text>
    </comment>
  </commentList>
</comments>
</file>

<file path=xl/sharedStrings.xml><?xml version="1.0" encoding="utf-8"?>
<sst xmlns="http://schemas.openxmlformats.org/spreadsheetml/2006/main" count="281" uniqueCount="138">
  <si>
    <t>Variable</t>
  </si>
  <si>
    <t>Value</t>
  </si>
  <si>
    <t>Unit</t>
  </si>
  <si>
    <t>-</t>
  </si>
  <si>
    <t>nVols</t>
  </si>
  <si>
    <t>nComs</t>
  </si>
  <si>
    <t>boolean</t>
  </si>
  <si>
    <t>scalar</t>
  </si>
  <si>
    <t xml:space="preserve"> </t>
  </si>
  <si>
    <t>string</t>
  </si>
  <si>
    <t>vector</t>
  </si>
  <si>
    <t>other</t>
  </si>
  <si>
    <t>Description</t>
  </si>
  <si>
    <t>Data Type</t>
  </si>
  <si>
    <t>Comparisons</t>
  </si>
  <si>
    <t>natural constant</t>
  </si>
  <si>
    <t>column design</t>
  </si>
  <si>
    <t>system property</t>
  </si>
  <si>
    <t>n.a.</t>
  </si>
  <si>
    <t>others</t>
  </si>
  <si>
    <t>bar</t>
  </si>
  <si>
    <t>K</t>
  </si>
  <si>
    <t>kg/cc</t>
  </si>
  <si>
    <t>physical properties</t>
  </si>
  <si>
    <t>adsorbent properties</t>
  </si>
  <si>
    <t>adsorbate properties</t>
  </si>
  <si>
    <t>isotherm parameters</t>
  </si>
  <si>
    <t>numerical methods</t>
  </si>
  <si>
    <t>sorption rate</t>
  </si>
  <si>
    <t>feed stream</t>
  </si>
  <si>
    <t>cycle information</t>
  </si>
  <si>
    <t>voidFrac</t>
  </si>
  <si>
    <t>Specification of simulation parameters</t>
  </si>
  <si>
    <t>Rev. No.</t>
  </si>
  <si>
    <t>Rev. Date</t>
  </si>
  <si>
    <t>Draft</t>
    <phoneticPr fontId="0" type="noConversion"/>
  </si>
  <si>
    <t>Review</t>
    <phoneticPr fontId="0" type="noConversion"/>
  </si>
  <si>
    <t>Approval</t>
    <phoneticPr fontId="0" type="noConversion"/>
  </si>
  <si>
    <t>Notes</t>
    <phoneticPr fontId="0" type="noConversion"/>
  </si>
  <si>
    <t>Revision Management Tracking List</t>
  </si>
  <si>
    <t>TK</t>
  </si>
  <si>
    <t>Dependency</t>
  </si>
  <si>
    <t>no</t>
  </si>
  <si>
    <t>nSteps</t>
  </si>
  <si>
    <t>nCols</t>
  </si>
  <si>
    <t>bool2</t>
  </si>
  <si>
    <t>bool1</t>
  </si>
  <si>
    <t>bool3</t>
  </si>
  <si>
    <t>bool4</t>
  </si>
  <si>
    <t>bool5</t>
  </si>
  <si>
    <t>bool6</t>
  </si>
  <si>
    <t>bool7</t>
  </si>
  <si>
    <t>bool8</t>
  </si>
  <si>
    <t>bool9</t>
  </si>
  <si>
    <t>bool10</t>
  </si>
  <si>
    <t>bool11</t>
  </si>
  <si>
    <t>bool12</t>
  </si>
  <si>
    <t>bool13</t>
  </si>
  <si>
    <t>bool14</t>
  </si>
  <si>
    <t>bool15</t>
  </si>
  <si>
    <t>identifier</t>
  </si>
  <si>
    <t>HP</t>
  </si>
  <si>
    <t>DP</t>
  </si>
  <si>
    <t>LP</t>
  </si>
  <si>
    <t>RP</t>
  </si>
  <si>
    <t>Variable Type</t>
  </si>
  <si>
    <t>Test 1</t>
  </si>
  <si>
    <t>Test 2</t>
  </si>
  <si>
    <t>Step</t>
  </si>
  <si>
    <t>cm</t>
  </si>
  <si>
    <t>Isotherm</t>
  </si>
  <si>
    <t>Kinetics</t>
  </si>
  <si>
    <t>modSp3</t>
  </si>
  <si>
    <t>modSp4</t>
  </si>
  <si>
    <t>modSp5</t>
  </si>
  <si>
    <t>Test 3</t>
  </si>
  <si>
    <t>initCond</t>
  </si>
  <si>
    <t>EQ</t>
  </si>
  <si>
    <t>RT</t>
  </si>
  <si>
    <t>testVal</t>
  </si>
  <si>
    <t>Test Place holder</t>
  </si>
  <si>
    <t>boundCond</t>
  </si>
  <si>
    <t>event</t>
  </si>
  <si>
    <t>integer</t>
  </si>
  <si>
    <t>Cycle Types</t>
  </si>
  <si>
    <t>valve constant</t>
  </si>
  <si>
    <t>Scott Research Group (jkscottresearchgroup.com)</t>
  </si>
  <si>
    <t>[1] update list of strings in a macro for highlighting tabs to be yellow when data to MATLAB is cleared</t>
  </si>
  <si>
    <t>[2] for any newly created entries, specify values for the tests (Test 1, Test 2, and Test 3) or program a conditional statement so that based on the model specification from the user, we can ask which parameters to be supplied by the user.</t>
  </si>
  <si>
    <t>Maintenance check list (1/2/2021)</t>
  </si>
  <si>
    <t>flowDir</t>
  </si>
  <si>
    <t>product stream</t>
  </si>
  <si>
    <t>tank design</t>
  </si>
  <si>
    <r>
      <t>W/m</t>
    </r>
    <r>
      <rPr>
        <vertAlign val="superscript"/>
        <sz val="11"/>
        <color theme="1"/>
        <rFont val="Consolas"/>
        <family val="3"/>
      </rPr>
      <t>2</t>
    </r>
    <r>
      <rPr>
        <sz val="11"/>
        <color theme="1"/>
        <rFont val="Consolas"/>
        <family val="3"/>
      </rPr>
      <t>-K</t>
    </r>
  </si>
  <si>
    <t>the inner radius of a tank</t>
  </si>
  <si>
    <t>the outer radius of a tank</t>
  </si>
  <si>
    <t>the height of a tank</t>
  </si>
  <si>
    <t>a heat transfer coefficient from column to a column wall</t>
  </si>
  <si>
    <t>a heat transfer coefficient from a column wall to the ambient environment</t>
  </si>
  <si>
    <t>MassTransferResistance</t>
  </si>
  <si>
    <t>Boolean</t>
  </si>
  <si>
    <t>numTanks</t>
  </si>
  <si>
    <t>J/kg-K</t>
  </si>
  <si>
    <t>inConRaTa</t>
  </si>
  <si>
    <t>initCondFeTa</t>
  </si>
  <si>
    <t>1 = feed gas at a high pressure
2 = feed gas at a raffinate product pressure
3 = raffinate product gas at a high pressure
4 = raffinate product gas at a raffinate product pressure</t>
  </si>
  <si>
    <t>initCondRaTa</t>
  </si>
  <si>
    <t>numCols</t>
  </si>
  <si>
    <t>numIntSolv</t>
  </si>
  <si>
    <t>ode45</t>
  </si>
  <si>
    <t>ode23</t>
  </si>
  <si>
    <t>ode113</t>
  </si>
  <si>
    <t>ode15s</t>
  </si>
  <si>
    <t>ode23s</t>
  </si>
  <si>
    <t>ode23t</t>
  </si>
  <si>
    <t>ode23tb</t>
  </si>
  <si>
    <t>Purpose/Summary</t>
  </si>
  <si>
    <t>tempRaTa</t>
  </si>
  <si>
    <t>presRaTa</t>
  </si>
  <si>
    <t>radInRaTa</t>
  </si>
  <si>
    <t>radOutRaTa</t>
  </si>
  <si>
    <t>heightRaTa</t>
  </si>
  <si>
    <t>htTrCoInRaTa</t>
  </si>
  <si>
    <t>htTrCoOutRaTa</t>
  </si>
  <si>
    <t>waDensRaTa</t>
  </si>
  <si>
    <t>htCapRaTa</t>
  </si>
  <si>
    <t>Raffinate tank initial temperature</t>
  </si>
  <si>
    <t>The initial pressure for the raffinate tank</t>
  </si>
  <si>
    <t>valRaTaFull</t>
  </si>
  <si>
    <t>presRaTaFull</t>
  </si>
  <si>
    <t>presRaTaSet</t>
  </si>
  <si>
    <t>Raffinate tank set pressure value</t>
  </si>
  <si>
    <t>Raffinate tank fully open pressure value</t>
  </si>
  <si>
    <t>Fully-open raffinate product tank outlet linear valve constant</t>
  </si>
  <si>
    <t>kmol/bar-sec</t>
  </si>
  <si>
    <t>Finalized the spreadsheet for the v1.0 release</t>
  </si>
  <si>
    <t>REV. NO.2 (9/14/2022)</t>
  </si>
  <si>
    <t>Initial development of the "3.3_raffinate_tank_properties.xlsm" sheet.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</si>
</sst>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9" x14ac:knownFonts="1">
    <font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sz val="11"/>
      <color theme="1"/>
      <name val="Calibri"/>
      <family val="2"/>
      <charset val="129"/>
      <scheme val="minor"/>
    </font>
    <font>
      <sz val="14"/>
      <color theme="1"/>
      <name val="Consolas"/>
      <family val="3"/>
    </font>
    <font>
      <sz val="11"/>
      <color theme="1"/>
      <name val="Consolas"/>
      <family val="3"/>
    </font>
    <font>
      <b/>
      <i/>
      <sz val="28"/>
      <color theme="1"/>
      <name val="Consolas"/>
      <family val="3"/>
    </font>
    <font>
      <b/>
      <i/>
      <sz val="14"/>
      <color theme="1"/>
      <name val="Consolas"/>
      <family val="3"/>
    </font>
    <font>
      <b/>
      <i/>
      <sz val="11"/>
      <color theme="1"/>
      <name val="Consolas"/>
      <family val="3"/>
    </font>
    <font>
      <b/>
      <i/>
      <sz val="11"/>
      <color theme="0"/>
      <name val="Consolas"/>
      <family val="3"/>
    </font>
    <font>
      <sz val="11"/>
      <color theme="0"/>
      <name val="Consolas"/>
      <family val="3"/>
    </font>
    <font>
      <u/>
      <sz val="11"/>
      <color theme="10"/>
      <name val="Calibri"/>
      <family val="2"/>
      <scheme val="minor"/>
    </font>
    <font>
      <b/>
      <i/>
      <sz val="14"/>
      <color rgb="FF339966"/>
      <name val="Calibri"/>
      <family val="2"/>
    </font>
    <font>
      <i/>
      <sz val="11"/>
      <color theme="0"/>
      <name val="Consolas"/>
      <family val="3"/>
    </font>
    <font>
      <i/>
      <sz val="14"/>
      <color theme="0"/>
      <name val="Consolas"/>
      <family val="3"/>
    </font>
    <font>
      <sz val="14"/>
      <color theme="0"/>
      <name val="Consolas"/>
      <family val="3"/>
    </font>
    <font>
      <i/>
      <u/>
      <sz val="14"/>
      <color theme="0"/>
      <name val="Consolas"/>
      <family val="3"/>
    </font>
    <font>
      <b/>
      <i/>
      <sz val="14"/>
      <color rgb="FFFF0000"/>
      <name val="Calibri"/>
      <family val="2"/>
    </font>
    <font>
      <b/>
      <i/>
      <sz val="14"/>
      <color rgb="FFFF9900"/>
      <name val="Calibri"/>
      <family val="2"/>
    </font>
    <font>
      <vertAlign val="superscript"/>
      <sz val="11"/>
      <color theme="1"/>
      <name val="Consolas"/>
      <family val="3"/>
    </font>
  </fonts>
  <fills count="6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1"/>
        <bgColor indexed="64"/>
      </patternFill>
    </fill>
  </fills>
  <borders count="1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</borders>
  <cellStyleXfs count="3">
    <xf numFmtId="0" fontId="0" fillId="0" borderId="0"/>
    <xf numFmtId="0" fontId="2" fillId="0" borderId="0">
      <alignment vertical="center"/>
    </xf>
    <xf numFmtId="0" fontId="10" fillId="0" borderId="0" applyNumberFormat="0" applyFill="0" applyBorder="0" applyAlignment="0" applyProtection="0"/>
  </cellStyleXfs>
  <cellXfs count="59">
    <xf numFmtId="0" fontId="0" fillId="0" borderId="0" xfId="0"/>
    <xf numFmtId="0" fontId="4" fillId="3" borderId="1" xfId="0" applyFont="1" applyFill="1" applyBorder="1" applyAlignment="1">
      <alignment horizontal="center" vertical="center"/>
    </xf>
    <xf numFmtId="0" fontId="4" fillId="3" borderId="1" xfId="0" applyFont="1" applyFill="1" applyBorder="1" applyAlignment="1">
      <alignment horizontal="left" vertical="center" indent="1"/>
    </xf>
    <xf numFmtId="0" fontId="4" fillId="0" borderId="0" xfId="0" applyFont="1" applyAlignment="1" applyProtection="1">
      <alignment horizontal="center" vertical="center"/>
      <protection locked="0"/>
    </xf>
    <xf numFmtId="0" fontId="4" fillId="3" borderId="8" xfId="0" applyFont="1" applyFill="1" applyBorder="1" applyAlignment="1">
      <alignment horizontal="center" vertical="center"/>
    </xf>
    <xf numFmtId="0" fontId="4" fillId="3" borderId="6" xfId="0" applyFont="1" applyFill="1" applyBorder="1" applyAlignment="1">
      <alignment horizontal="left" vertical="center" wrapText="1" indent="1"/>
    </xf>
    <xf numFmtId="0" fontId="4" fillId="3" borderId="6" xfId="0" applyFont="1" applyFill="1" applyBorder="1" applyAlignment="1">
      <alignment horizontal="center" vertical="center"/>
    </xf>
    <xf numFmtId="0" fontId="4" fillId="3" borderId="0" xfId="0" applyFont="1" applyFill="1" applyAlignment="1">
      <alignment horizontal="center" vertical="center"/>
    </xf>
    <xf numFmtId="0" fontId="4" fillId="3" borderId="12" xfId="0" applyFont="1" applyFill="1" applyBorder="1" applyAlignment="1">
      <alignment horizontal="center" vertical="center"/>
    </xf>
    <xf numFmtId="0" fontId="4" fillId="3" borderId="10" xfId="0" applyFont="1" applyFill="1" applyBorder="1" applyAlignment="1">
      <alignment horizontal="left" vertical="center" indent="1"/>
    </xf>
    <xf numFmtId="0" fontId="4" fillId="3" borderId="10" xfId="0" applyFont="1" applyFill="1" applyBorder="1" applyAlignment="1">
      <alignment horizontal="center" vertical="center"/>
    </xf>
    <xf numFmtId="0" fontId="4" fillId="3" borderId="11" xfId="0" applyFont="1" applyFill="1" applyBorder="1" applyAlignment="1">
      <alignment horizontal="center" vertical="center"/>
    </xf>
    <xf numFmtId="0" fontId="4" fillId="3" borderId="11" xfId="0" applyFont="1" applyFill="1" applyBorder="1" applyAlignment="1">
      <alignment horizontal="left" vertical="center" wrapText="1" indent="1"/>
    </xf>
    <xf numFmtId="0" fontId="4" fillId="4" borderId="11" xfId="0" applyFont="1" applyFill="1" applyBorder="1" applyAlignment="1">
      <alignment horizontal="right" vertical="center"/>
    </xf>
    <xf numFmtId="0" fontId="4" fillId="4" borderId="13" xfId="0" applyFont="1" applyFill="1" applyBorder="1" applyAlignment="1">
      <alignment horizontal="right" vertical="center"/>
    </xf>
    <xf numFmtId="0" fontId="4" fillId="4" borderId="13" xfId="0" applyFont="1" applyFill="1" applyBorder="1" applyAlignment="1">
      <alignment horizontal="left" vertical="center"/>
    </xf>
    <xf numFmtId="0" fontId="4" fillId="4" borderId="13" xfId="0" applyFont="1" applyFill="1" applyBorder="1" applyAlignment="1">
      <alignment horizontal="center" vertical="center"/>
    </xf>
    <xf numFmtId="0" fontId="4" fillId="4" borderId="3" xfId="0" applyFont="1" applyFill="1" applyBorder="1" applyAlignment="1">
      <alignment horizontal="right" vertical="center"/>
    </xf>
    <xf numFmtId="0" fontId="4" fillId="4" borderId="0" xfId="0" applyFont="1" applyFill="1" applyAlignment="1">
      <alignment horizontal="right" vertical="center"/>
    </xf>
    <xf numFmtId="0" fontId="4" fillId="4" borderId="0" xfId="0" applyFont="1" applyFill="1" applyAlignment="1">
      <alignment horizontal="center" vertical="center"/>
    </xf>
    <xf numFmtId="0" fontId="4" fillId="4" borderId="4" xfId="0" applyFont="1" applyFill="1" applyBorder="1" applyAlignment="1">
      <alignment horizontal="right" vertical="center"/>
    </xf>
    <xf numFmtId="0" fontId="4" fillId="4" borderId="2" xfId="0" applyFont="1" applyFill="1" applyBorder="1" applyAlignment="1">
      <alignment horizontal="right" vertical="center"/>
    </xf>
    <xf numFmtId="0" fontId="4" fillId="4" borderId="2" xfId="0" applyFont="1" applyFill="1" applyBorder="1" applyAlignment="1">
      <alignment horizontal="left" vertical="center"/>
    </xf>
    <xf numFmtId="0" fontId="4" fillId="4" borderId="2" xfId="0" applyFont="1" applyFill="1" applyBorder="1" applyAlignment="1">
      <alignment horizontal="center" vertical="center"/>
    </xf>
    <xf numFmtId="0" fontId="9" fillId="5" borderId="0" xfId="0" applyFont="1" applyFill="1" applyAlignment="1" applyProtection="1">
      <alignment horizontal="center" vertical="center"/>
      <protection locked="0"/>
    </xf>
    <xf numFmtId="0" fontId="12" fillId="5" borderId="6" xfId="0" applyFont="1" applyFill="1" applyBorder="1" applyAlignment="1">
      <alignment horizontal="left" vertical="center"/>
    </xf>
    <xf numFmtId="0" fontId="9" fillId="5" borderId="7" xfId="0" applyFont="1" applyFill="1" applyBorder="1" applyAlignment="1">
      <alignment horizontal="center" vertical="center"/>
    </xf>
    <xf numFmtId="0" fontId="12" fillId="5" borderId="8" xfId="0" applyFont="1" applyFill="1" applyBorder="1" applyAlignment="1">
      <alignment horizontal="right" vertical="center"/>
    </xf>
    <xf numFmtId="0" fontId="8" fillId="5" borderId="5" xfId="0" applyFont="1" applyFill="1" applyBorder="1" applyAlignment="1">
      <alignment horizontal="center" vertical="center"/>
    </xf>
    <xf numFmtId="0" fontId="8" fillId="5" borderId="9" xfId="0" applyFont="1" applyFill="1" applyBorder="1" applyAlignment="1">
      <alignment horizontal="center" vertical="center"/>
    </xf>
    <xf numFmtId="0" fontId="8" fillId="5" borderId="9" xfId="0" applyFont="1" applyFill="1" applyBorder="1" applyAlignment="1">
      <alignment horizontal="center" vertical="center" wrapText="1"/>
    </xf>
    <xf numFmtId="0" fontId="8" fillId="5" borderId="4" xfId="0" applyFont="1" applyFill="1" applyBorder="1" applyAlignment="1">
      <alignment horizontal="center" vertical="center"/>
    </xf>
    <xf numFmtId="0" fontId="7" fillId="2" borderId="1" xfId="0" applyFont="1" applyFill="1" applyBorder="1" applyAlignment="1" applyProtection="1">
      <alignment horizontal="center" vertical="center"/>
      <protection locked="0"/>
    </xf>
    <xf numFmtId="0" fontId="7" fillId="2" borderId="10" xfId="0" applyFont="1" applyFill="1" applyBorder="1" applyAlignment="1" applyProtection="1">
      <alignment horizontal="center" vertical="center"/>
      <protection locked="0"/>
    </xf>
    <xf numFmtId="0" fontId="7" fillId="0" borderId="0" xfId="0" applyFont="1" applyAlignment="1" applyProtection="1">
      <alignment horizontal="center" vertical="center"/>
      <protection locked="0"/>
    </xf>
    <xf numFmtId="0" fontId="4" fillId="3" borderId="8" xfId="0" applyFont="1" applyFill="1" applyBorder="1" applyAlignment="1">
      <alignment horizontal="left" vertical="center" indent="1"/>
    </xf>
    <xf numFmtId="0" fontId="15" fillId="5" borderId="0" xfId="2" applyFont="1" applyFill="1" applyAlignment="1" applyProtection="1">
      <alignment horizontal="right"/>
    </xf>
    <xf numFmtId="0" fontId="4" fillId="4" borderId="0" xfId="0" applyFont="1" applyFill="1" applyAlignment="1">
      <alignment horizontal="left" vertical="center"/>
    </xf>
    <xf numFmtId="0" fontId="4" fillId="3" borderId="7" xfId="0" applyFont="1" applyFill="1" applyBorder="1" applyAlignment="1">
      <alignment horizontal="center" vertical="center"/>
    </xf>
    <xf numFmtId="0" fontId="4" fillId="0" borderId="0" xfId="1" applyFont="1">
      <alignment vertical="center"/>
    </xf>
    <xf numFmtId="0" fontId="4" fillId="0" borderId="0" xfId="1" applyFont="1" applyAlignment="1">
      <alignment vertical="center" wrapText="1"/>
    </xf>
    <xf numFmtId="0" fontId="4" fillId="0" borderId="0" xfId="1" applyFont="1" applyAlignment="1">
      <alignment horizontal="center" vertical="center"/>
    </xf>
    <xf numFmtId="0" fontId="13" fillId="5" borderId="0" xfId="1" applyFont="1" applyFill="1" applyAlignment="1">
      <alignment horizontal="left" vertical="center"/>
    </xf>
    <xf numFmtId="0" fontId="14" fillId="5" borderId="0" xfId="1" applyFont="1" applyFill="1" applyAlignment="1">
      <alignment vertical="center" wrapText="1"/>
    </xf>
    <xf numFmtId="0" fontId="14" fillId="5" borderId="0" xfId="1" applyFont="1" applyFill="1" applyAlignment="1">
      <alignment horizontal="center" vertical="center"/>
    </xf>
    <xf numFmtId="0" fontId="14" fillId="5" borderId="0" xfId="1" applyFont="1" applyFill="1">
      <alignment vertical="center"/>
    </xf>
    <xf numFmtId="0" fontId="6" fillId="3" borderId="1" xfId="1" applyFont="1" applyFill="1" applyBorder="1" applyAlignment="1">
      <alignment horizontal="center" vertical="center" wrapText="1"/>
    </xf>
    <xf numFmtId="0" fontId="3" fillId="0" borderId="1" xfId="1" applyFont="1" applyBorder="1" applyAlignment="1">
      <alignment horizontal="center" vertical="center"/>
    </xf>
    <xf numFmtId="0" fontId="3" fillId="0" borderId="1" xfId="1" applyFont="1" applyBorder="1" applyAlignment="1">
      <alignment horizontal="left" vertical="center" wrapText="1" indent="1"/>
    </xf>
    <xf numFmtId="14" fontId="3" fillId="0" borderId="1" xfId="1" applyNumberFormat="1" applyFont="1" applyBorder="1" applyAlignment="1">
      <alignment horizontal="center" vertical="center"/>
    </xf>
    <xf numFmtId="0" fontId="3" fillId="0" borderId="1" xfId="1" applyFont="1" applyBorder="1" applyAlignment="1">
      <alignment horizontal="left" vertical="center" indent="1"/>
    </xf>
    <xf numFmtId="11" fontId="7" fillId="2" borderId="1" xfId="0" applyNumberFormat="1" applyFont="1" applyFill="1" applyBorder="1" applyAlignment="1" applyProtection="1">
      <alignment horizontal="center" vertical="center"/>
      <protection locked="0"/>
    </xf>
    <xf numFmtId="0" fontId="5" fillId="0" borderId="2" xfId="1" applyFont="1" applyBorder="1" applyAlignment="1">
      <alignment horizontal="center" vertical="center"/>
    </xf>
    <xf numFmtId="0" fontId="6" fillId="4" borderId="6" xfId="0" applyFont="1" applyFill="1" applyBorder="1" applyAlignment="1">
      <alignment horizontal="center" vertical="center"/>
    </xf>
    <xf numFmtId="0" fontId="6" fillId="4" borderId="7" xfId="0" applyFont="1" applyFill="1" applyBorder="1" applyAlignment="1">
      <alignment horizontal="center" vertical="center"/>
    </xf>
    <xf numFmtId="0" fontId="6" fillId="4" borderId="8" xfId="0" applyFont="1" applyFill="1" applyBorder="1" applyAlignment="1">
      <alignment horizontal="center" vertical="center"/>
    </xf>
    <xf numFmtId="0" fontId="6" fillId="4" borderId="12" xfId="0" applyFont="1" applyFill="1" applyBorder="1" applyAlignment="1">
      <alignment horizontal="center" vertical="center"/>
    </xf>
    <xf numFmtId="0" fontId="6" fillId="4" borderId="14" xfId="0" applyFont="1" applyFill="1" applyBorder="1" applyAlignment="1">
      <alignment horizontal="center" vertical="center"/>
    </xf>
    <xf numFmtId="0" fontId="6" fillId="4" borderId="5" xfId="0" applyFont="1" applyFill="1" applyBorder="1" applyAlignment="1">
      <alignment horizontal="center" vertical="center"/>
    </xf>
  </cellXfs>
  <cellStyles count="3">
    <cellStyle name="Hyperlink" xfId="2" builtinId="8"/>
    <cellStyle name="Normal" xfId="0" builtinId="0"/>
    <cellStyle name="Normal 3" xfId="1" xr:uid="{8C1A4601-4B09-4BE0-B387-657882E2D017}"/>
  </cellStyles>
  <dxfs count="101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protection locked="0" hidden="0"/>
    </dxf>
    <dxf>
      <border outline="0">
        <bottom style="thin">
          <color rgb="FF000000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0"/>
        <name val="Consolas"/>
        <family val="3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color rgb="FFFFFF00"/>
      </font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protection locked="0" hidden="0"/>
    </dxf>
    <dxf>
      <border outline="0">
        <bottom style="thin">
          <color rgb="FF000000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0"/>
        <name val="Consolas"/>
        <family val="3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color rgb="FFFFFF00"/>
      </font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protection locked="0" hidden="0"/>
    </dxf>
    <dxf>
      <border outline="0">
        <bottom style="thin">
          <color rgb="FF000000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0"/>
        <name val="Consolas"/>
        <family val="3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color rgb="FFFFFF00"/>
      </font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protection locked="0" hidden="0"/>
    </dxf>
    <dxf>
      <border outline="0">
        <bottom style="thin">
          <color rgb="FF000000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0"/>
        <name val="Consolas"/>
        <family val="3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ont>
        <color rgb="FFFFFF00"/>
      </font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externalLink" Target="externalLinks/externalLink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17/10/relationships/person" Target="persons/perso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4</xdr:col>
      <xdr:colOff>359226</xdr:colOff>
      <xdr:row>16</xdr:row>
      <xdr:rowOff>170853</xdr:rowOff>
    </xdr:from>
    <xdr:to>
      <xdr:col>9</xdr:col>
      <xdr:colOff>1850570</xdr:colOff>
      <xdr:row>28</xdr:row>
      <xdr:rowOff>130629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479366" y="3782733"/>
          <a:ext cx="8837024" cy="2154336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80678</xdr:colOff>
      <xdr:row>4</xdr:row>
      <xdr:rowOff>0</xdr:rowOff>
    </xdr:from>
    <xdr:to>
      <xdr:col>4</xdr:col>
      <xdr:colOff>490390</xdr:colOff>
      <xdr:row>7</xdr:row>
      <xdr:rowOff>21336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GrpSpPr/>
      </xdr:nvGrpSpPr>
      <xdr:grpSpPr>
        <a:xfrm>
          <a:off x="80678" y="609600"/>
          <a:ext cx="6759712" cy="554736"/>
          <a:chOff x="1407095" y="770965"/>
          <a:chExt cx="6129195" cy="55921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00000000-0008-0000-0200-000003000000}"/>
              </a:ext>
            </a:extLst>
          </xdr:cNvPr>
          <xdr:cNvSpPr/>
        </xdr:nvSpPr>
        <xdr:spPr>
          <a:xfrm>
            <a:off x="1407095" y="770965"/>
            <a:ext cx="6129195" cy="559218"/>
          </a:xfrm>
          <a:prstGeom prst="rect">
            <a:avLst/>
          </a:prstGeom>
          <a:solidFill>
            <a:schemeClr val="bg1">
              <a:lumMod val="85000"/>
            </a:schemeClr>
          </a:solidFill>
          <a:ln>
            <a:noFill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56321" name="Button 1" hidden="1">
                <a:extLst>
                  <a:ext uri="{63B3BB69-23CF-44E3-9099-C40C66FF867C}">
                    <a14:compatExt spid="_x0000_s56321"/>
                  </a:ext>
                  <a:ext uri="{FF2B5EF4-FFF2-40B4-BE49-F238E27FC236}">
                    <a16:creationId xmlns:a16="http://schemas.microsoft.com/office/drawing/2014/main" id="{00000000-0008-0000-0200-000001DC0000}"/>
                  </a:ext>
                </a:extLst>
              </xdr:cNvPr>
              <xdr:cNvSpPr/>
            </xdr:nvSpPr>
            <xdr:spPr bwMode="auto">
              <a:xfrm>
                <a:off x="1505272" y="848758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7432" rIns="27432" bIns="27432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0000"/>
                    </a:solidFill>
                    <a:latin typeface="Calibri" pitchFamily="2" charset="0"/>
                    <a:cs typeface="Calibri" pitchFamily="2" charset="0"/>
                  </a:rPr>
                  <a:t>Initialize Sheet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56322" name="Button 2" hidden="1">
                <a:extLst>
                  <a:ext uri="{63B3BB69-23CF-44E3-9099-C40C66FF867C}">
                    <a14:compatExt spid="_x0000_s56322"/>
                  </a:ext>
                  <a:ext uri="{FF2B5EF4-FFF2-40B4-BE49-F238E27FC236}">
                    <a16:creationId xmlns:a16="http://schemas.microsoft.com/office/drawing/2014/main" id="{00000000-0008-0000-0200-000002DC0000}"/>
                  </a:ext>
                </a:extLst>
              </xdr:cNvPr>
              <xdr:cNvSpPr/>
            </xdr:nvSpPr>
            <xdr:spPr bwMode="auto">
              <a:xfrm>
                <a:off x="3512823" y="847229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7432" rIns="27432" bIns="27432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339966"/>
                    </a:solidFill>
                    <a:latin typeface="Calibri" pitchFamily="2" charset="0"/>
                    <a:cs typeface="Calibri" pitchFamily="2" charset="0"/>
                  </a:rPr>
                  <a:t>Push Data to MATLAB®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56323" name="Button 3" hidden="1">
                <a:extLst>
                  <a:ext uri="{63B3BB69-23CF-44E3-9099-C40C66FF867C}">
                    <a14:compatExt spid="_x0000_s56323"/>
                  </a:ext>
                  <a:ext uri="{FF2B5EF4-FFF2-40B4-BE49-F238E27FC236}">
                    <a16:creationId xmlns:a16="http://schemas.microsoft.com/office/drawing/2014/main" id="{00000000-0008-0000-0200-000003DC0000}"/>
                  </a:ext>
                </a:extLst>
              </xdr:cNvPr>
              <xdr:cNvSpPr/>
            </xdr:nvSpPr>
            <xdr:spPr bwMode="auto">
              <a:xfrm>
                <a:off x="5524732" y="848758"/>
                <a:ext cx="1914646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7432" rIns="27432" bIns="27432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9900"/>
                    </a:solidFill>
                    <a:latin typeface="Calibri" pitchFamily="2" charset="0"/>
                    <a:cs typeface="Calibri" pitchFamily="2" charset="0"/>
                  </a:rPr>
                  <a:t>Clear Data to MATLAB®</a:t>
                </a:r>
              </a:p>
            </xdr:txBody>
          </xdr:sp>
        </mc:Choice>
        <mc:Fallback/>
      </mc:AlternateContent>
    </xdr:grp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80678</xdr:colOff>
      <xdr:row>4</xdr:row>
      <xdr:rowOff>0</xdr:rowOff>
    </xdr:from>
    <xdr:to>
      <xdr:col>4</xdr:col>
      <xdr:colOff>490390</xdr:colOff>
      <xdr:row>7</xdr:row>
      <xdr:rowOff>21336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GrpSpPr/>
      </xdr:nvGrpSpPr>
      <xdr:grpSpPr>
        <a:xfrm>
          <a:off x="80678" y="609600"/>
          <a:ext cx="6759712" cy="554736"/>
          <a:chOff x="1407095" y="770965"/>
          <a:chExt cx="6129195" cy="55921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00000000-0008-0000-0300-000003000000}"/>
              </a:ext>
            </a:extLst>
          </xdr:cNvPr>
          <xdr:cNvSpPr/>
        </xdr:nvSpPr>
        <xdr:spPr>
          <a:xfrm>
            <a:off x="1407095" y="770965"/>
            <a:ext cx="6129195" cy="559218"/>
          </a:xfrm>
          <a:prstGeom prst="rect">
            <a:avLst/>
          </a:prstGeom>
          <a:solidFill>
            <a:schemeClr val="bg1">
              <a:lumMod val="85000"/>
            </a:schemeClr>
          </a:solidFill>
          <a:ln>
            <a:noFill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62465" name="Button 1" hidden="1">
                <a:extLst>
                  <a:ext uri="{63B3BB69-23CF-44E3-9099-C40C66FF867C}">
                    <a14:compatExt spid="_x0000_s62465"/>
                  </a:ext>
                  <a:ext uri="{FF2B5EF4-FFF2-40B4-BE49-F238E27FC236}">
                    <a16:creationId xmlns:a16="http://schemas.microsoft.com/office/drawing/2014/main" id="{00000000-0008-0000-0300-000001F40000}"/>
                  </a:ext>
                </a:extLst>
              </xdr:cNvPr>
              <xdr:cNvSpPr/>
            </xdr:nvSpPr>
            <xdr:spPr bwMode="auto">
              <a:xfrm>
                <a:off x="1505272" y="848758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7432" rIns="27432" bIns="27432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0000"/>
                    </a:solidFill>
                    <a:latin typeface="Calibri" pitchFamily="2" charset="0"/>
                    <a:cs typeface="Calibri" pitchFamily="2" charset="0"/>
                  </a:rPr>
                  <a:t>Initialize Sheet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62466" name="Button 2" hidden="1">
                <a:extLst>
                  <a:ext uri="{63B3BB69-23CF-44E3-9099-C40C66FF867C}">
                    <a14:compatExt spid="_x0000_s62466"/>
                  </a:ext>
                  <a:ext uri="{FF2B5EF4-FFF2-40B4-BE49-F238E27FC236}">
                    <a16:creationId xmlns:a16="http://schemas.microsoft.com/office/drawing/2014/main" id="{00000000-0008-0000-0300-000002F40000}"/>
                  </a:ext>
                </a:extLst>
              </xdr:cNvPr>
              <xdr:cNvSpPr/>
            </xdr:nvSpPr>
            <xdr:spPr bwMode="auto">
              <a:xfrm>
                <a:off x="3512823" y="847229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7432" rIns="27432" bIns="27432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339966"/>
                    </a:solidFill>
                    <a:latin typeface="Calibri" pitchFamily="2" charset="0"/>
                    <a:cs typeface="Calibri" pitchFamily="2" charset="0"/>
                  </a:rPr>
                  <a:t>Push Data to MATLAB®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62467" name="Button 3" hidden="1">
                <a:extLst>
                  <a:ext uri="{63B3BB69-23CF-44E3-9099-C40C66FF867C}">
                    <a14:compatExt spid="_x0000_s62467"/>
                  </a:ext>
                  <a:ext uri="{FF2B5EF4-FFF2-40B4-BE49-F238E27FC236}">
                    <a16:creationId xmlns:a16="http://schemas.microsoft.com/office/drawing/2014/main" id="{00000000-0008-0000-0300-000003F40000}"/>
                  </a:ext>
                </a:extLst>
              </xdr:cNvPr>
              <xdr:cNvSpPr/>
            </xdr:nvSpPr>
            <xdr:spPr bwMode="auto">
              <a:xfrm>
                <a:off x="5524732" y="848758"/>
                <a:ext cx="1914646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7432" rIns="27432" bIns="27432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9900"/>
                    </a:solidFill>
                    <a:latin typeface="Calibri" pitchFamily="2" charset="0"/>
                    <a:cs typeface="Calibri" pitchFamily="2" charset="0"/>
                  </a:rPr>
                  <a:t>Clear Data to MATLAB®</a:t>
                </a:r>
              </a:p>
            </xdr:txBody>
          </xdr:sp>
        </mc:Choice>
        <mc:Fallback/>
      </mc:AlternateContent>
    </xdr:grp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80678</xdr:colOff>
      <xdr:row>4</xdr:row>
      <xdr:rowOff>0</xdr:rowOff>
    </xdr:from>
    <xdr:to>
      <xdr:col>4</xdr:col>
      <xdr:colOff>490390</xdr:colOff>
      <xdr:row>7</xdr:row>
      <xdr:rowOff>21336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GrpSpPr/>
      </xdr:nvGrpSpPr>
      <xdr:grpSpPr>
        <a:xfrm>
          <a:off x="80678" y="609600"/>
          <a:ext cx="6759712" cy="554736"/>
          <a:chOff x="1407095" y="770965"/>
          <a:chExt cx="6129195" cy="55921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00000000-0008-0000-0400-000003000000}"/>
              </a:ext>
            </a:extLst>
          </xdr:cNvPr>
          <xdr:cNvSpPr/>
        </xdr:nvSpPr>
        <xdr:spPr>
          <a:xfrm>
            <a:off x="1407095" y="770965"/>
            <a:ext cx="6129195" cy="559218"/>
          </a:xfrm>
          <a:prstGeom prst="rect">
            <a:avLst/>
          </a:prstGeom>
          <a:solidFill>
            <a:schemeClr val="bg1">
              <a:lumMod val="85000"/>
            </a:schemeClr>
          </a:solidFill>
          <a:ln>
            <a:noFill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55297" name="Button 1" hidden="1">
                <a:extLst>
                  <a:ext uri="{63B3BB69-23CF-44E3-9099-C40C66FF867C}">
                    <a14:compatExt spid="_x0000_s55297"/>
                  </a:ext>
                  <a:ext uri="{FF2B5EF4-FFF2-40B4-BE49-F238E27FC236}">
                    <a16:creationId xmlns:a16="http://schemas.microsoft.com/office/drawing/2014/main" id="{00000000-0008-0000-0400-000001D80000}"/>
                  </a:ext>
                </a:extLst>
              </xdr:cNvPr>
              <xdr:cNvSpPr/>
            </xdr:nvSpPr>
            <xdr:spPr bwMode="auto">
              <a:xfrm>
                <a:off x="1505272" y="848758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7432" rIns="27432" bIns="27432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0000"/>
                    </a:solidFill>
                    <a:latin typeface="Calibri" pitchFamily="2" charset="0"/>
                    <a:cs typeface="Calibri" pitchFamily="2" charset="0"/>
                  </a:rPr>
                  <a:t>Initialize Sheet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55298" name="Button 2" hidden="1">
                <a:extLst>
                  <a:ext uri="{63B3BB69-23CF-44E3-9099-C40C66FF867C}">
                    <a14:compatExt spid="_x0000_s55298"/>
                  </a:ext>
                  <a:ext uri="{FF2B5EF4-FFF2-40B4-BE49-F238E27FC236}">
                    <a16:creationId xmlns:a16="http://schemas.microsoft.com/office/drawing/2014/main" id="{00000000-0008-0000-0400-000002D80000}"/>
                  </a:ext>
                </a:extLst>
              </xdr:cNvPr>
              <xdr:cNvSpPr/>
            </xdr:nvSpPr>
            <xdr:spPr bwMode="auto">
              <a:xfrm>
                <a:off x="3512823" y="847229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7432" rIns="27432" bIns="27432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339966"/>
                    </a:solidFill>
                    <a:latin typeface="Calibri" pitchFamily="2" charset="0"/>
                    <a:cs typeface="Calibri" pitchFamily="2" charset="0"/>
                  </a:rPr>
                  <a:t>Push Data to MATLAB®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55299" name="Button 3" hidden="1">
                <a:extLst>
                  <a:ext uri="{63B3BB69-23CF-44E3-9099-C40C66FF867C}">
                    <a14:compatExt spid="_x0000_s55299"/>
                  </a:ext>
                  <a:ext uri="{FF2B5EF4-FFF2-40B4-BE49-F238E27FC236}">
                    <a16:creationId xmlns:a16="http://schemas.microsoft.com/office/drawing/2014/main" id="{00000000-0008-0000-0400-000003D80000}"/>
                  </a:ext>
                </a:extLst>
              </xdr:cNvPr>
              <xdr:cNvSpPr/>
            </xdr:nvSpPr>
            <xdr:spPr bwMode="auto">
              <a:xfrm>
                <a:off x="5524732" y="848758"/>
                <a:ext cx="1914646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7432" rIns="27432" bIns="27432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9900"/>
                    </a:solidFill>
                    <a:latin typeface="Calibri" pitchFamily="2" charset="0"/>
                    <a:cs typeface="Calibri" pitchFamily="2" charset="0"/>
                  </a:rPr>
                  <a:t>Clear Data to MATLAB®</a:t>
                </a:r>
              </a:p>
            </xdr:txBody>
          </xdr:sp>
        </mc:Choice>
        <mc:Fallback/>
      </mc:AlternateContent>
    </xdr:grp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80678</xdr:colOff>
      <xdr:row>4</xdr:row>
      <xdr:rowOff>0</xdr:rowOff>
    </xdr:from>
    <xdr:to>
      <xdr:col>4</xdr:col>
      <xdr:colOff>490390</xdr:colOff>
      <xdr:row>7</xdr:row>
      <xdr:rowOff>21336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GrpSpPr/>
      </xdr:nvGrpSpPr>
      <xdr:grpSpPr>
        <a:xfrm>
          <a:off x="80678" y="609600"/>
          <a:ext cx="6759712" cy="554736"/>
          <a:chOff x="1407095" y="770965"/>
          <a:chExt cx="6129195" cy="55921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00000000-0008-0000-0500-000003000000}"/>
              </a:ext>
            </a:extLst>
          </xdr:cNvPr>
          <xdr:cNvSpPr/>
        </xdr:nvSpPr>
        <xdr:spPr>
          <a:xfrm>
            <a:off x="1407095" y="770965"/>
            <a:ext cx="6129195" cy="559218"/>
          </a:xfrm>
          <a:prstGeom prst="rect">
            <a:avLst/>
          </a:prstGeom>
          <a:solidFill>
            <a:schemeClr val="bg1">
              <a:lumMod val="85000"/>
            </a:schemeClr>
          </a:solidFill>
          <a:ln>
            <a:noFill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65537" name="Button 1" hidden="1">
                <a:extLst>
                  <a:ext uri="{63B3BB69-23CF-44E3-9099-C40C66FF867C}">
                    <a14:compatExt spid="_x0000_s65537"/>
                  </a:ext>
                  <a:ext uri="{FF2B5EF4-FFF2-40B4-BE49-F238E27FC236}">
                    <a16:creationId xmlns:a16="http://schemas.microsoft.com/office/drawing/2014/main" id="{00000000-0008-0000-0500-000001000100}"/>
                  </a:ext>
                </a:extLst>
              </xdr:cNvPr>
              <xdr:cNvSpPr/>
            </xdr:nvSpPr>
            <xdr:spPr bwMode="auto">
              <a:xfrm>
                <a:off x="1505272" y="848758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7432" rIns="27432" bIns="27432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0000"/>
                    </a:solidFill>
                    <a:latin typeface="Calibri" pitchFamily="2" charset="0"/>
                    <a:cs typeface="Calibri" pitchFamily="2" charset="0"/>
                  </a:rPr>
                  <a:t>Initialize Sheet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65538" name="Button 2" hidden="1">
                <a:extLst>
                  <a:ext uri="{63B3BB69-23CF-44E3-9099-C40C66FF867C}">
                    <a14:compatExt spid="_x0000_s65538"/>
                  </a:ext>
                  <a:ext uri="{FF2B5EF4-FFF2-40B4-BE49-F238E27FC236}">
                    <a16:creationId xmlns:a16="http://schemas.microsoft.com/office/drawing/2014/main" id="{00000000-0008-0000-0500-000002000100}"/>
                  </a:ext>
                </a:extLst>
              </xdr:cNvPr>
              <xdr:cNvSpPr/>
            </xdr:nvSpPr>
            <xdr:spPr bwMode="auto">
              <a:xfrm>
                <a:off x="3512823" y="847229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7432" rIns="27432" bIns="27432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339966"/>
                    </a:solidFill>
                    <a:latin typeface="Calibri" pitchFamily="2" charset="0"/>
                    <a:cs typeface="Calibri" pitchFamily="2" charset="0"/>
                  </a:rPr>
                  <a:t>Push Data to MATLAB®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65539" name="Button 3" hidden="1">
                <a:extLst>
                  <a:ext uri="{63B3BB69-23CF-44E3-9099-C40C66FF867C}">
                    <a14:compatExt spid="_x0000_s65539"/>
                  </a:ext>
                  <a:ext uri="{FF2B5EF4-FFF2-40B4-BE49-F238E27FC236}">
                    <a16:creationId xmlns:a16="http://schemas.microsoft.com/office/drawing/2014/main" id="{00000000-0008-0000-0500-000003000100}"/>
                  </a:ext>
                </a:extLst>
              </xdr:cNvPr>
              <xdr:cNvSpPr/>
            </xdr:nvSpPr>
            <xdr:spPr bwMode="auto">
              <a:xfrm>
                <a:off x="5524732" y="848758"/>
                <a:ext cx="1914646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7432" rIns="27432" bIns="27432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9900"/>
                    </a:solidFill>
                    <a:latin typeface="Calibri" pitchFamily="2" charset="0"/>
                    <a:cs typeface="Calibri" pitchFamily="2" charset="0"/>
                  </a:rPr>
                  <a:t>Clear Data to MATLAB®</a:t>
                </a:r>
              </a:p>
            </xdr:txBody>
          </xdr:sp>
        </mc:Choice>
        <mc:Fallback/>
      </mc:AlternateContent>
    </xdr:grp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0.1_simulation_configurations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Revision History"/>
      <sheetName val="Initialization"/>
      <sheetName val="Model Selection"/>
      <sheetName val="Help"/>
      <sheetName val="Reference"/>
      <sheetName val="maintenance check list"/>
      <sheetName val="Data(Transposed)"/>
      <sheetName val="Data(Test)"/>
      <sheetName val="PFD"/>
    </sheetNames>
    <sheetDataSet>
      <sheetData sheetId="0"/>
      <sheetData sheetId="1">
        <row r="15">
          <cell r="C15">
            <v>1</v>
          </cell>
        </row>
      </sheetData>
      <sheetData sheetId="2"/>
      <sheetData sheetId="3"/>
      <sheetData sheetId="4"/>
      <sheetData sheetId="5"/>
      <sheetData sheetId="6"/>
      <sheetData sheetId="7"/>
      <sheetData sheetId="8"/>
    </sheetDataSet>
  </externalBook>
</externalLink>
</file>

<file path=xl/persons/person.xml><?xml version="1.0" encoding="utf-8"?>
<personList xmlns="http://schemas.microsoft.com/office/spreadsheetml/2018/threadedcomments" xmlns:x="http://schemas.openxmlformats.org/spreadsheetml/2006/main">
  <person displayName="Kim, Taehun" id="{7F98AE94-13FB-49E1-9262-339C11E0EDB4}" userId="S::tkim333@gatech.edu::502a0426-0762-42ba-82fd-8518d13dce1d" providerId="AD"/>
</personList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D316CED7-F9A4-45F7-8A1B-73AD6621F78D}" name="Table11024122" displayName="Table11024122" ref="A9:J13" totalsRowShown="0" headerRowDxfId="86" dataDxfId="84" headerRowBorderDxfId="85" tableBorderDxfId="83" totalsRowBorderDxfId="82">
  <autoFilter ref="A9:J13" xr:uid="{B089C5C3-2CCE-4800-96CA-2131BB6E3E4F}"/>
  <tableColumns count="10">
    <tableColumn id="1" xr3:uid="{3E4F27FA-9CCD-488C-9FFE-8189DF89B2B5}" name="Variable" dataDxfId="81"/>
    <tableColumn id="4" xr3:uid="{4D38B92D-B1E9-4DDE-B914-6A4E9DB63C9E}" name="Value" dataDxfId="80"/>
    <tableColumn id="5" xr3:uid="{DE2ACEA5-F459-4C5B-ADEC-6214F75935FA}" name="Unit" dataDxfId="79"/>
    <tableColumn id="6" xr3:uid="{BBE9846A-4956-4FAF-848B-0B1F56311296}" name="Comparisons" dataDxfId="78"/>
    <tableColumn id="7" xr3:uid="{7604F104-935C-4D6C-98BF-97589769DD42}" name="Variable Type" dataDxfId="77"/>
    <tableColumn id="8" xr3:uid="{7D3892CD-8765-4699-977F-B3AA8A9AB120}" name="Dependency" dataDxfId="76"/>
    <tableColumn id="12" xr3:uid="{161D2FD1-7A78-4D8E-8024-885B20FF313F}" name="Test 1" dataDxfId="75"/>
    <tableColumn id="10" xr3:uid="{1AA44E52-6629-487F-B43F-5CEC7D36BB2A}" name="Test 2" dataDxfId="74"/>
    <tableColumn id="2" xr3:uid="{6AF5B301-E925-40CD-B0FD-ED73E5B71C10}" name="Test 3" dataDxfId="73"/>
    <tableColumn id="9" xr3:uid="{29E572B6-C772-4761-B1A5-7C1BBC5A9A8E}" name="Description" dataDxfId="72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25ED0618-9FFB-486D-8648-B37BE5E811E7}" name="Table11024123" displayName="Table11024123" ref="A9:J13" totalsRowShown="0" headerRowDxfId="63" dataDxfId="61" headerRowBorderDxfId="62" tableBorderDxfId="60" totalsRowBorderDxfId="59">
  <autoFilter ref="A9:J13" xr:uid="{B089C5C3-2CCE-4800-96CA-2131BB6E3E4F}"/>
  <tableColumns count="10">
    <tableColumn id="1" xr3:uid="{33A6A58D-364D-4A35-922C-DE212771E5A3}" name="Variable" dataDxfId="58"/>
    <tableColumn id="4" xr3:uid="{941C2A7D-BF3F-418E-B42D-DD80A4DE2A81}" name="Value" dataDxfId="57"/>
    <tableColumn id="5" xr3:uid="{C4E86D48-03E8-46FA-B8CA-6F5D6C6A2D12}" name="Unit" dataDxfId="56"/>
    <tableColumn id="6" xr3:uid="{665361F6-20BF-415D-BBF1-F45B832A29DE}" name="Comparisons" dataDxfId="55"/>
    <tableColumn id="7" xr3:uid="{F7A189BB-30E4-471C-9393-FF44966433C9}" name="Variable Type" dataDxfId="54"/>
    <tableColumn id="8" xr3:uid="{536CEEB4-5D6D-4FC9-B347-8D4F6CE10C67}" name="Dependency" dataDxfId="53"/>
    <tableColumn id="12" xr3:uid="{41F5DBE5-C5A3-4D63-A4BF-9774F11F14D3}" name="Test 1" dataDxfId="52"/>
    <tableColumn id="10" xr3:uid="{75ACAF5C-BDFE-45DE-AD7B-8EA0171A905D}" name="Test 2" dataDxfId="51"/>
    <tableColumn id="2" xr3:uid="{E0C16DCE-CCB9-4239-B5AF-7F90FE1422EF}" name="Test 3" dataDxfId="50"/>
    <tableColumn id="9" xr3:uid="{11A90378-9784-4E77-9A9A-BDE1BD80CAC4}" name="Description" dataDxfId="49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CE893A30-0EED-477C-80F5-D3D7213639C9}" name="Table1102412" displayName="Table1102412" ref="A9:J14" totalsRowShown="0" headerRowDxfId="37" dataDxfId="35" headerRowBorderDxfId="36" tableBorderDxfId="34" totalsRowBorderDxfId="33">
  <autoFilter ref="A9:J14" xr:uid="{B089C5C3-2CCE-4800-96CA-2131BB6E3E4F}"/>
  <tableColumns count="10">
    <tableColumn id="1" xr3:uid="{897C7A45-3F96-4FAD-9D88-64BEDA59EE04}" name="Variable" dataDxfId="32"/>
    <tableColumn id="4" xr3:uid="{AC44F3C7-74B4-4404-BA30-07059568F4CD}" name="Value" dataDxfId="31"/>
    <tableColumn id="5" xr3:uid="{6083DF57-24E4-4D4A-B84A-AB4CE9566C0A}" name="Unit" dataDxfId="30"/>
    <tableColumn id="6" xr3:uid="{7B5B4F38-11BC-48C2-B29A-22FAFA39A76A}" name="Comparisons" dataDxfId="29"/>
    <tableColumn id="7" xr3:uid="{687831A6-7122-45C8-9279-6A017FA30571}" name="Variable Type" dataDxfId="28"/>
    <tableColumn id="8" xr3:uid="{F0D98687-63CA-49F2-A0F5-F43443FEED82}" name="Dependency" dataDxfId="27"/>
    <tableColumn id="12" xr3:uid="{57EFF7D5-281B-4073-9550-73D369BA3603}" name="Test 1" dataDxfId="26"/>
    <tableColumn id="10" xr3:uid="{886EC4A5-54AE-4612-B5FF-8B6E7B32A853}" name="Test 2" dataDxfId="25"/>
    <tableColumn id="2" xr3:uid="{C5B5DD0C-C82D-4FD9-A165-974B4B54478C}" name="Test 3" dataDxfId="24"/>
    <tableColumn id="9" xr3:uid="{E8B12666-0292-4BAB-9166-E185CB24DBFE}" name="Description" dataDxfId="23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AF3A194F-7075-4C40-A9F5-D75D6CB2C8B3}" name="Table11024124" displayName="Table11024124" ref="A9:J13" totalsRowShown="0" headerRowDxfId="14" dataDxfId="12" headerRowBorderDxfId="13" tableBorderDxfId="11" totalsRowBorderDxfId="10">
  <autoFilter ref="A9:J13" xr:uid="{B089C5C3-2CCE-4800-96CA-2131BB6E3E4F}"/>
  <tableColumns count="10">
    <tableColumn id="1" xr3:uid="{7B96E1E5-F914-134F-92CB-11A246CE83CF}" name="Variable" dataDxfId="9"/>
    <tableColumn id="4" xr3:uid="{769FCB14-07FC-C744-854D-32A560D0AF7A}" name="Value" dataDxfId="8"/>
    <tableColumn id="5" xr3:uid="{72A57B60-A9BA-AE4D-A8F2-15A7CE6E01F2}" name="Unit" dataDxfId="7"/>
    <tableColumn id="6" xr3:uid="{0B5A6A21-E099-944F-B63D-34DD49049A32}" name="Comparisons" dataDxfId="6"/>
    <tableColumn id="7" xr3:uid="{FA5D9905-FBB3-8046-A15F-70FC367F1300}" name="Variable Type" dataDxfId="5"/>
    <tableColumn id="8" xr3:uid="{B5D6DCA6-6A6D-FF4C-8D65-BCD68325F679}" name="Dependency" dataDxfId="4"/>
    <tableColumn id="12" xr3:uid="{6E9A6F79-99F9-4743-BEFC-2D32C4AC335A}" name="Test 1" dataDxfId="3"/>
    <tableColumn id="10" xr3:uid="{C289927B-FF71-D34E-934B-A67BC094E72F}" name="Test 2" dataDxfId="2"/>
    <tableColumn id="2" xr3:uid="{BB8A802E-BB46-104C-AA29-A71DDC86E102}" name="Test 3" dataDxfId="1"/>
    <tableColumn id="9" xr3:uid="{933A5953-2B8A-914C-A6C0-D1761A99B722}" name="Description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threadedComments/threadedComment1.xml><?xml version="1.0" encoding="utf-8"?>
<ThreadedComments xmlns="http://schemas.microsoft.com/office/spreadsheetml/2018/threadedcomments" xmlns:x="http://schemas.openxmlformats.org/spreadsheetml/2006/main">
  <threadedComment ref="G9" dT="2020-11-26T20:01:15.60" personId="{7F98AE94-13FB-49E1-9262-339C11E0EDB4}" id="{EC15F513-2B4D-44C7-9046-ED9392180BB4}">
    <text>place 1 if we want to keep the row when re-initializing. Otherwise, leave it as a blank.</text>
  </threadedComment>
  <threadedComment ref="H9" dT="2020-11-26T18:35:03.27" personId="{7F98AE94-13FB-49E1-9262-339C11E0EDB4}" id="{4D8BC438-D49B-455D-A372-081FDDFE29BE}">
    <text>supply a value greater than 1 if you want to duplicate the row</text>
  </threadedComment>
  <threadedComment ref="I9" dT="2020-11-28T01:53:47.29" personId="{7F98AE94-13FB-49E1-9262-339C11E0EDB4}" id="{083035D6-F670-4C55-8177-0FF26052F9F2}">
    <text>1 means we need to have the variable specified; 0 means we need not have the variable specified</text>
  </threadedComment>
  <threadedComment ref="I9" dT="2020-11-28T01:56:42.32" personId="{7F98AE94-13FB-49E1-9262-339C11E0EDB4}" id="{0A4368C9-E522-4A4B-9A62-219887D6DECA}" parentId="{083035D6-F670-4C55-8177-0FF26052F9F2}">
    <text>Orange highlighted cells contain if then statement to allow the MATLAB® to check for the right inputs</text>
  </threadedComment>
</ThreadedComments>
</file>

<file path=xl/threadedComments/threadedComment2.xml><?xml version="1.0" encoding="utf-8"?>
<ThreadedComments xmlns="http://schemas.microsoft.com/office/spreadsheetml/2018/threadedcomments" xmlns:x="http://schemas.openxmlformats.org/spreadsheetml/2006/main">
  <threadedComment ref="G9" dT="2020-11-26T20:01:15.60" personId="{7F98AE94-13FB-49E1-9262-339C11E0EDB4}" id="{5CF8456C-E29F-4B72-ABE5-1FAF09AB14DB}">
    <text>place 1 if we want to keep the row when re-initializing. Otherwise, leave it as a blank.</text>
  </threadedComment>
  <threadedComment ref="H9" dT="2020-11-26T18:35:03.27" personId="{7F98AE94-13FB-49E1-9262-339C11E0EDB4}" id="{76134A13-A10E-498C-BE0C-A35275B3AACE}">
    <text>supply a value greater than 1 if you want to duplicate the row</text>
  </threadedComment>
  <threadedComment ref="I9" dT="2020-11-28T01:53:47.29" personId="{7F98AE94-13FB-49E1-9262-339C11E0EDB4}" id="{CA7E41C9-6F47-4585-8D78-E25D033F8587}">
    <text>1 means we need to have the variable specified; 0 means we need not have the variable specified</text>
  </threadedComment>
  <threadedComment ref="I9" dT="2020-11-28T01:56:42.32" personId="{7F98AE94-13FB-49E1-9262-339C11E0EDB4}" id="{593EA2BC-69AC-4DEC-83A3-5227D8FCB650}" parentId="{CA7E41C9-6F47-4585-8D78-E25D033F8587}">
    <text>Orange highlighted cells contain if then statement to allow the MATLAB® to check for the right inputs</text>
  </threadedComment>
</ThreadedComments>
</file>

<file path=xl/threadedComments/threadedComment3.xml><?xml version="1.0" encoding="utf-8"?>
<ThreadedComments xmlns="http://schemas.microsoft.com/office/spreadsheetml/2018/threadedcomments" xmlns:x="http://schemas.openxmlformats.org/spreadsheetml/2006/main">
  <threadedComment ref="G9" dT="2020-11-26T20:01:15.60" personId="{7F98AE94-13FB-49E1-9262-339C11E0EDB4}" id="{097155E7-95C7-4F81-9C85-C4A524BE8917}">
    <text>place 1 if we want to keep the row when re-initializing. Otherwise, leave it as a blank.</text>
  </threadedComment>
  <threadedComment ref="H9" dT="2020-11-26T18:35:03.27" personId="{7F98AE94-13FB-49E1-9262-339C11E0EDB4}" id="{00051905-C3DD-4457-AAD8-72BC66947855}">
    <text>supply a value greater than 1 if you want to duplicate the row</text>
  </threadedComment>
  <threadedComment ref="I9" dT="2020-11-28T01:53:47.29" personId="{7F98AE94-13FB-49E1-9262-339C11E0EDB4}" id="{64A9060D-EF29-473C-8859-5A9FCCE88F46}">
    <text>1 means we need to have the variable specified; 0 means we need not have the variable specified</text>
  </threadedComment>
  <threadedComment ref="I9" dT="2020-11-28T01:56:42.32" personId="{7F98AE94-13FB-49E1-9262-339C11E0EDB4}" id="{7D71F4E4-98D6-4B52-BE3D-510939F76B5D}" parentId="{64A9060D-EF29-473C-8859-5A9FCCE88F46}">
    <text>Orange highlighted cells contain if then statement to allow the MATLAB® to check for the right inputs</text>
  </threadedComment>
</ThreadedComments>
</file>

<file path=xl/threadedComments/threadedComment4.xml><?xml version="1.0" encoding="utf-8"?>
<ThreadedComments xmlns="http://schemas.microsoft.com/office/spreadsheetml/2018/threadedcomments" xmlns:x="http://schemas.openxmlformats.org/spreadsheetml/2006/main">
  <threadedComment ref="G9" dT="2020-11-26T20:01:15.60" personId="{7F98AE94-13FB-49E1-9262-339C11E0EDB4}" id="{140666CE-EF2C-9944-9876-798DC985D3F5}">
    <text>place 1 if we want to keep the row when re-initializing. Otherwise, leave it as a blank.</text>
  </threadedComment>
  <threadedComment ref="H9" dT="2020-11-26T18:35:03.27" personId="{7F98AE94-13FB-49E1-9262-339C11E0EDB4}" id="{5159B78C-B001-9C4E-94CE-CB20C78B8A53}">
    <text>supply a value greater than 1 if you want to duplicate the row</text>
  </threadedComment>
  <threadedComment ref="I9" dT="2020-11-28T01:53:47.29" personId="{7F98AE94-13FB-49E1-9262-339C11E0EDB4}" id="{8A269DA9-18AE-CD40-B00D-60DD3F6D3339}">
    <text>1 means we need to have the variable specified; 0 means we need not have the variable specified</text>
  </threadedComment>
  <threadedComment ref="I9" dT="2020-11-28T01:56:42.32" personId="{7F98AE94-13FB-49E1-9262-339C11E0EDB4}" id="{696BD74B-E7C5-604D-82AC-DFE3EB4C9F15}" parentId="{8A269DA9-18AE-CD40-B00D-60DD3F6D3339}">
    <text>Orange highlighted cells contain if then statement to allow the MATLAB® to check for the right inputs</text>
  </threadedComment>
</ThreadedComment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https://www.jkscottresearchgroup.com/" TargetMode="Externa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omments" Target="../comments1.xml"/><Relationship Id="rId3" Type="http://schemas.openxmlformats.org/officeDocument/2006/relationships/vmlDrawing" Target="../drawings/vmlDrawing1.vml"/><Relationship Id="rId7" Type="http://schemas.openxmlformats.org/officeDocument/2006/relationships/table" Target="../tables/table1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Relationship Id="rId9" Type="http://schemas.microsoft.com/office/2017/10/relationships/threadedComment" Target="../threadedComments/threadedComment1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comments" Target="../comments2.xml"/><Relationship Id="rId3" Type="http://schemas.openxmlformats.org/officeDocument/2006/relationships/vmlDrawing" Target="../drawings/vmlDrawing2.vml"/><Relationship Id="rId7" Type="http://schemas.openxmlformats.org/officeDocument/2006/relationships/table" Target="../tables/table2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6.xml"/><Relationship Id="rId5" Type="http://schemas.openxmlformats.org/officeDocument/2006/relationships/ctrlProp" Target="../ctrlProps/ctrlProp5.xml"/><Relationship Id="rId4" Type="http://schemas.openxmlformats.org/officeDocument/2006/relationships/ctrlProp" Target="../ctrlProps/ctrlProp4.xml"/><Relationship Id="rId9" Type="http://schemas.microsoft.com/office/2017/10/relationships/threadedComment" Target="../threadedComments/threadedComment2.xml"/></Relationships>
</file>

<file path=xl/worksheets/_rels/sheet5.xml.rels><?xml version="1.0" encoding="UTF-8" standalone="yes"?>
<Relationships xmlns="http://schemas.openxmlformats.org/package/2006/relationships"><Relationship Id="rId8" Type="http://schemas.openxmlformats.org/officeDocument/2006/relationships/comments" Target="../comments3.xml"/><Relationship Id="rId3" Type="http://schemas.openxmlformats.org/officeDocument/2006/relationships/vmlDrawing" Target="../drawings/vmlDrawing3.vml"/><Relationship Id="rId7" Type="http://schemas.openxmlformats.org/officeDocument/2006/relationships/table" Target="../tables/table3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6" Type="http://schemas.openxmlformats.org/officeDocument/2006/relationships/ctrlProp" Target="../ctrlProps/ctrlProp9.xml"/><Relationship Id="rId5" Type="http://schemas.openxmlformats.org/officeDocument/2006/relationships/ctrlProp" Target="../ctrlProps/ctrlProp8.xml"/><Relationship Id="rId4" Type="http://schemas.openxmlformats.org/officeDocument/2006/relationships/ctrlProp" Target="../ctrlProps/ctrlProp7.xml"/><Relationship Id="rId9" Type="http://schemas.microsoft.com/office/2017/10/relationships/threadedComment" Target="../threadedComments/threadedComment3.xml"/></Relationships>
</file>

<file path=xl/worksheets/_rels/sheet6.xml.rels><?xml version="1.0" encoding="UTF-8" standalone="yes"?>
<Relationships xmlns="http://schemas.openxmlformats.org/package/2006/relationships"><Relationship Id="rId8" Type="http://schemas.openxmlformats.org/officeDocument/2006/relationships/comments" Target="../comments4.xml"/><Relationship Id="rId3" Type="http://schemas.openxmlformats.org/officeDocument/2006/relationships/vmlDrawing" Target="../drawings/vmlDrawing4.vml"/><Relationship Id="rId7" Type="http://schemas.openxmlformats.org/officeDocument/2006/relationships/table" Target="../tables/table4.x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Relationship Id="rId6" Type="http://schemas.openxmlformats.org/officeDocument/2006/relationships/ctrlProp" Target="../ctrlProps/ctrlProp12.xml"/><Relationship Id="rId5" Type="http://schemas.openxmlformats.org/officeDocument/2006/relationships/ctrlProp" Target="../ctrlProps/ctrlProp11.xml"/><Relationship Id="rId4" Type="http://schemas.openxmlformats.org/officeDocument/2006/relationships/ctrlProp" Target="../ctrlProps/ctrlProp10.xml"/><Relationship Id="rId9" Type="http://schemas.microsoft.com/office/2017/10/relationships/threadedComment" Target="../threadedComments/threadedComment4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16817C8-856B-451D-A903-79E949B849B7}">
  <sheetPr codeName="Sheet4"/>
  <dimension ref="A1:U23"/>
  <sheetViews>
    <sheetView topLeftCell="E1" workbookViewId="0">
      <selection activeCell="U10" sqref="U10"/>
    </sheetView>
  </sheetViews>
  <sheetFormatPr baseColWidth="10" defaultColWidth="8.83203125" defaultRowHeight="15" x14ac:dyDescent="0.2"/>
  <cols>
    <col min="1" max="1" width="12.6640625" customWidth="1"/>
    <col min="2" max="2" width="20.6640625" customWidth="1"/>
    <col min="3" max="3" width="17.33203125" customWidth="1"/>
    <col min="5" max="5" width="12" bestFit="1" customWidth="1"/>
    <col min="10" max="10" width="12.33203125" customWidth="1"/>
    <col min="15" max="15" width="12.83203125" bestFit="1" customWidth="1"/>
    <col min="17" max="17" width="20.83203125" bestFit="1" customWidth="1"/>
    <col min="21" max="21" width="10.5" customWidth="1"/>
  </cols>
  <sheetData>
    <row r="1" spans="1:21" x14ac:dyDescent="0.2">
      <c r="A1" t="s">
        <v>13</v>
      </c>
      <c r="B1" t="s">
        <v>14</v>
      </c>
      <c r="C1" t="s">
        <v>41</v>
      </c>
      <c r="D1" t="s">
        <v>68</v>
      </c>
      <c r="E1" t="s">
        <v>70</v>
      </c>
      <c r="F1" t="s">
        <v>71</v>
      </c>
      <c r="G1" s="1" t="s">
        <v>72</v>
      </c>
      <c r="H1" s="1" t="s">
        <v>73</v>
      </c>
      <c r="I1" s="1" t="s">
        <v>74</v>
      </c>
      <c r="J1" s="7" t="s">
        <v>76</v>
      </c>
      <c r="K1" s="7" t="s">
        <v>6</v>
      </c>
      <c r="L1" t="s">
        <v>84</v>
      </c>
      <c r="M1" t="s">
        <v>81</v>
      </c>
      <c r="N1" t="s">
        <v>82</v>
      </c>
      <c r="O1" t="s">
        <v>85</v>
      </c>
      <c r="P1" t="s">
        <v>90</v>
      </c>
      <c r="Q1" t="s">
        <v>99</v>
      </c>
      <c r="R1" t="s">
        <v>100</v>
      </c>
      <c r="S1" t="s">
        <v>101</v>
      </c>
      <c r="T1" t="s">
        <v>107</v>
      </c>
      <c r="U1" t="s">
        <v>108</v>
      </c>
    </row>
    <row r="2" spans="1:21" x14ac:dyDescent="0.2">
      <c r="A2" t="s">
        <v>8</v>
      </c>
      <c r="B2" t="s">
        <v>8</v>
      </c>
      <c r="C2" t="s">
        <v>8</v>
      </c>
      <c r="E2" t="s">
        <v>8</v>
      </c>
      <c r="F2" t="s">
        <v>8</v>
      </c>
      <c r="G2" t="s">
        <v>8</v>
      </c>
      <c r="H2" t="s">
        <v>8</v>
      </c>
      <c r="I2" t="s">
        <v>8</v>
      </c>
      <c r="J2" t="s">
        <v>8</v>
      </c>
      <c r="K2" t="s">
        <v>8</v>
      </c>
      <c r="L2" t="s">
        <v>8</v>
      </c>
      <c r="M2" t="s">
        <v>8</v>
      </c>
      <c r="N2" t="s">
        <v>8</v>
      </c>
      <c r="O2" t="s">
        <v>8</v>
      </c>
      <c r="P2" t="s">
        <v>8</v>
      </c>
      <c r="Q2" t="s">
        <v>8</v>
      </c>
      <c r="R2" t="s">
        <v>8</v>
      </c>
      <c r="S2" t="s">
        <v>8</v>
      </c>
      <c r="U2" t="s">
        <v>8</v>
      </c>
    </row>
    <row r="3" spans="1:21" x14ac:dyDescent="0.2">
      <c r="A3" t="s">
        <v>7</v>
      </c>
      <c r="B3" t="s">
        <v>27</v>
      </c>
      <c r="C3" t="s">
        <v>42</v>
      </c>
      <c r="D3" t="s">
        <v>77</v>
      </c>
      <c r="E3">
        <v>1</v>
      </c>
      <c r="F3">
        <v>1</v>
      </c>
      <c r="G3">
        <v>0</v>
      </c>
      <c r="H3">
        <v>0</v>
      </c>
      <c r="I3">
        <v>0</v>
      </c>
      <c r="J3">
        <v>1</v>
      </c>
      <c r="K3">
        <v>0</v>
      </c>
      <c r="L3">
        <v>1</v>
      </c>
      <c r="M3">
        <v>1</v>
      </c>
      <c r="N3">
        <v>0</v>
      </c>
      <c r="O3">
        <v>0</v>
      </c>
      <c r="P3">
        <v>1</v>
      </c>
      <c r="Q3">
        <v>0</v>
      </c>
      <c r="R3">
        <v>0</v>
      </c>
      <c r="S3">
        <v>1</v>
      </c>
      <c r="T3">
        <v>1</v>
      </c>
      <c r="U3" t="s">
        <v>109</v>
      </c>
    </row>
    <row r="4" spans="1:21" x14ac:dyDescent="0.2">
      <c r="A4" t="s">
        <v>83</v>
      </c>
      <c r="B4" t="s">
        <v>24</v>
      </c>
      <c r="C4" t="s">
        <v>46</v>
      </c>
      <c r="D4" t="s">
        <v>78</v>
      </c>
      <c r="E4">
        <v>2</v>
      </c>
      <c r="F4">
        <v>2</v>
      </c>
      <c r="G4">
        <v>1</v>
      </c>
      <c r="H4">
        <v>1</v>
      </c>
      <c r="I4">
        <v>1</v>
      </c>
      <c r="J4">
        <v>2</v>
      </c>
      <c r="K4">
        <v>1</v>
      </c>
      <c r="L4">
        <v>2</v>
      </c>
      <c r="M4">
        <v>2</v>
      </c>
      <c r="N4">
        <v>1</v>
      </c>
      <c r="O4">
        <v>1</v>
      </c>
      <c r="P4">
        <v>-1</v>
      </c>
      <c r="Q4">
        <v>1</v>
      </c>
      <c r="R4">
        <v>1</v>
      </c>
      <c r="T4">
        <v>2</v>
      </c>
      <c r="U4" t="s">
        <v>110</v>
      </c>
    </row>
    <row r="5" spans="1:21" x14ac:dyDescent="0.2">
      <c r="A5" t="s">
        <v>10</v>
      </c>
      <c r="B5" t="s">
        <v>25</v>
      </c>
      <c r="C5" t="s">
        <v>45</v>
      </c>
      <c r="D5" t="s">
        <v>64</v>
      </c>
      <c r="E5">
        <v>3</v>
      </c>
      <c r="F5">
        <v>3</v>
      </c>
      <c r="G5">
        <v>2</v>
      </c>
      <c r="H5">
        <v>2</v>
      </c>
      <c r="I5">
        <v>2</v>
      </c>
      <c r="J5">
        <v>3</v>
      </c>
      <c r="M5">
        <v>3</v>
      </c>
      <c r="N5">
        <v>2</v>
      </c>
      <c r="O5">
        <v>2</v>
      </c>
      <c r="Q5">
        <v>2</v>
      </c>
      <c r="U5" t="s">
        <v>111</v>
      </c>
    </row>
    <row r="6" spans="1:21" x14ac:dyDescent="0.2">
      <c r="A6" t="s">
        <v>6</v>
      </c>
      <c r="B6" t="s">
        <v>26</v>
      </c>
      <c r="C6" t="s">
        <v>47</v>
      </c>
      <c r="D6" t="s">
        <v>61</v>
      </c>
      <c r="E6">
        <v>4</v>
      </c>
      <c r="F6">
        <v>4</v>
      </c>
      <c r="G6">
        <v>3</v>
      </c>
      <c r="H6">
        <v>3</v>
      </c>
      <c r="I6">
        <v>3</v>
      </c>
      <c r="J6">
        <v>4</v>
      </c>
      <c r="N6">
        <v>3</v>
      </c>
      <c r="Q6">
        <v>3</v>
      </c>
      <c r="U6" t="s">
        <v>112</v>
      </c>
    </row>
    <row r="7" spans="1:21" x14ac:dyDescent="0.2">
      <c r="A7" t="s">
        <v>9</v>
      </c>
      <c r="B7" t="s">
        <v>28</v>
      </c>
      <c r="C7" t="s">
        <v>48</v>
      </c>
      <c r="D7" t="s">
        <v>62</v>
      </c>
      <c r="E7">
        <v>5</v>
      </c>
      <c r="F7">
        <v>5</v>
      </c>
      <c r="G7">
        <v>4</v>
      </c>
      <c r="H7">
        <v>4</v>
      </c>
      <c r="I7">
        <v>4</v>
      </c>
      <c r="J7">
        <v>5</v>
      </c>
      <c r="U7" t="s">
        <v>113</v>
      </c>
    </row>
    <row r="8" spans="1:21" x14ac:dyDescent="0.2">
      <c r="A8" t="s">
        <v>11</v>
      </c>
      <c r="B8" t="s">
        <v>29</v>
      </c>
      <c r="C8" t="s">
        <v>49</v>
      </c>
      <c r="D8" t="s">
        <v>63</v>
      </c>
      <c r="E8">
        <v>6</v>
      </c>
      <c r="F8">
        <v>6</v>
      </c>
      <c r="G8">
        <v>5</v>
      </c>
      <c r="H8">
        <v>5</v>
      </c>
      <c r="I8">
        <v>5</v>
      </c>
      <c r="U8" t="s">
        <v>114</v>
      </c>
    </row>
    <row r="9" spans="1:21" x14ac:dyDescent="0.2">
      <c r="B9" t="s">
        <v>91</v>
      </c>
      <c r="C9" t="s">
        <v>50</v>
      </c>
      <c r="E9">
        <v>7</v>
      </c>
      <c r="F9">
        <v>7</v>
      </c>
      <c r="G9">
        <v>6</v>
      </c>
      <c r="H9">
        <v>6</v>
      </c>
      <c r="I9">
        <v>6</v>
      </c>
      <c r="U9" t="s">
        <v>115</v>
      </c>
    </row>
    <row r="10" spans="1:21" x14ac:dyDescent="0.2">
      <c r="B10" t="s">
        <v>30</v>
      </c>
      <c r="C10" t="s">
        <v>51</v>
      </c>
      <c r="E10">
        <v>8</v>
      </c>
      <c r="F10">
        <v>8</v>
      </c>
      <c r="G10">
        <v>7</v>
      </c>
      <c r="H10">
        <v>7</v>
      </c>
      <c r="I10">
        <v>7</v>
      </c>
    </row>
    <row r="11" spans="1:21" x14ac:dyDescent="0.2">
      <c r="B11" t="s">
        <v>16</v>
      </c>
      <c r="C11" t="s">
        <v>52</v>
      </c>
      <c r="E11">
        <v>9</v>
      </c>
      <c r="F11">
        <v>9</v>
      </c>
      <c r="G11">
        <v>8</v>
      </c>
      <c r="H11">
        <v>8</v>
      </c>
      <c r="I11">
        <v>8</v>
      </c>
      <c r="J11" t="s">
        <v>104</v>
      </c>
    </row>
    <row r="12" spans="1:21" x14ac:dyDescent="0.2">
      <c r="B12" t="s">
        <v>92</v>
      </c>
      <c r="C12" t="s">
        <v>53</v>
      </c>
      <c r="G12">
        <v>9</v>
      </c>
      <c r="H12">
        <v>9</v>
      </c>
      <c r="I12">
        <v>9</v>
      </c>
      <c r="J12" t="s">
        <v>8</v>
      </c>
    </row>
    <row r="13" spans="1:21" x14ac:dyDescent="0.2">
      <c r="B13" t="s">
        <v>17</v>
      </c>
      <c r="C13" t="s">
        <v>54</v>
      </c>
      <c r="J13">
        <v>1</v>
      </c>
    </row>
    <row r="14" spans="1:21" x14ac:dyDescent="0.2">
      <c r="B14" t="s">
        <v>23</v>
      </c>
      <c r="C14" t="s">
        <v>55</v>
      </c>
      <c r="J14">
        <v>2</v>
      </c>
    </row>
    <row r="15" spans="1:21" x14ac:dyDescent="0.2">
      <c r="B15" t="s">
        <v>15</v>
      </c>
      <c r="C15" t="s">
        <v>56</v>
      </c>
    </row>
    <row r="16" spans="1:21" x14ac:dyDescent="0.2">
      <c r="B16" t="s">
        <v>60</v>
      </c>
      <c r="C16" t="s">
        <v>57</v>
      </c>
      <c r="J16" t="s">
        <v>106</v>
      </c>
    </row>
    <row r="17" spans="2:10" x14ac:dyDescent="0.2">
      <c r="B17" t="s">
        <v>18</v>
      </c>
      <c r="C17" t="s">
        <v>58</v>
      </c>
      <c r="J17" t="s">
        <v>8</v>
      </c>
    </row>
    <row r="18" spans="2:10" x14ac:dyDescent="0.2">
      <c r="B18" t="s">
        <v>19</v>
      </c>
      <c r="C18" t="s">
        <v>59</v>
      </c>
      <c r="J18">
        <v>1</v>
      </c>
    </row>
    <row r="19" spans="2:10" x14ac:dyDescent="0.2">
      <c r="C19" t="s">
        <v>31</v>
      </c>
      <c r="J19">
        <v>2</v>
      </c>
    </row>
    <row r="20" spans="2:10" x14ac:dyDescent="0.2">
      <c r="C20" t="s">
        <v>4</v>
      </c>
      <c r="J20">
        <v>3</v>
      </c>
    </row>
    <row r="21" spans="2:10" x14ac:dyDescent="0.2">
      <c r="C21" t="s">
        <v>44</v>
      </c>
      <c r="J21">
        <v>4</v>
      </c>
    </row>
    <row r="22" spans="2:10" x14ac:dyDescent="0.2">
      <c r="C22" t="s">
        <v>43</v>
      </c>
    </row>
    <row r="23" spans="2:10" x14ac:dyDescent="0.2">
      <c r="C23" t="s">
        <v>5</v>
      </c>
    </row>
  </sheetData>
  <phoneticPr fontId="1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5F3FCFB-6CD4-474A-BB9F-4C52F407FFCA}">
  <sheetPr codeName="Sheet1">
    <tabColor theme="1"/>
  </sheetPr>
  <dimension ref="A3:L29"/>
  <sheetViews>
    <sheetView showGridLines="0" tabSelected="1" view="pageBreakPreview" topLeftCell="C3" zoomScaleNormal="85" zoomScaleSheetLayoutView="100" workbookViewId="0">
      <selection activeCell="E7" sqref="E7"/>
    </sheetView>
  </sheetViews>
  <sheetFormatPr baseColWidth="10" defaultColWidth="0" defaultRowHeight="14.5" customHeight="1" zeroHeight="1" x14ac:dyDescent="0.2"/>
  <cols>
    <col min="1" max="2" width="3.33203125" style="39" hidden="1" customWidth="1"/>
    <col min="3" max="3" width="2.5" style="39" customWidth="1"/>
    <col min="4" max="4" width="13.83203125" style="39" customWidth="1"/>
    <col min="5" max="5" width="51.33203125" style="40" bestFit="1" customWidth="1"/>
    <col min="6" max="6" width="15.83203125" style="41" bestFit="1" customWidth="1"/>
    <col min="7" max="9" width="13.33203125" style="39" customWidth="1"/>
    <col min="10" max="10" width="48.83203125" style="39" customWidth="1"/>
    <col min="11" max="11" width="2.5" style="39" customWidth="1"/>
    <col min="12" max="12" width="0" style="39" hidden="1" customWidth="1"/>
    <col min="13" max="16384" width="9" style="39" hidden="1"/>
  </cols>
  <sheetData>
    <row r="3" spans="4:10" ht="15" x14ac:dyDescent="0.2"/>
    <row r="4" spans="4:10" ht="19" x14ac:dyDescent="0.25">
      <c r="D4" s="42" t="s">
        <v>136</v>
      </c>
      <c r="E4" s="43"/>
      <c r="F4" s="44"/>
      <c r="G4" s="45"/>
      <c r="H4" s="45"/>
      <c r="I4" s="45"/>
      <c r="J4" s="36" t="s">
        <v>86</v>
      </c>
    </row>
    <row r="5" spans="4:10" ht="40" x14ac:dyDescent="0.2">
      <c r="D5" s="52" t="s">
        <v>39</v>
      </c>
      <c r="E5" s="52"/>
      <c r="F5" s="52"/>
      <c r="G5" s="52"/>
      <c r="H5" s="52"/>
      <c r="I5" s="52"/>
      <c r="J5" s="52"/>
    </row>
    <row r="6" spans="4:10" ht="20" x14ac:dyDescent="0.2">
      <c r="D6" s="46" t="s">
        <v>33</v>
      </c>
      <c r="E6" s="46" t="s">
        <v>116</v>
      </c>
      <c r="F6" s="46" t="s">
        <v>34</v>
      </c>
      <c r="G6" s="46" t="s">
        <v>35</v>
      </c>
      <c r="H6" s="46" t="s">
        <v>36</v>
      </c>
      <c r="I6" s="46" t="s">
        <v>37</v>
      </c>
      <c r="J6" s="46" t="s">
        <v>38</v>
      </c>
    </row>
    <row r="7" spans="4:10" ht="60" x14ac:dyDescent="0.2">
      <c r="D7" s="47">
        <v>1</v>
      </c>
      <c r="E7" s="48" t="s">
        <v>137</v>
      </c>
      <c r="F7" s="49">
        <v>44720</v>
      </c>
      <c r="G7" s="47" t="s">
        <v>40</v>
      </c>
      <c r="H7" s="47"/>
      <c r="I7" s="47"/>
      <c r="J7" s="48"/>
    </row>
    <row r="8" spans="4:10" ht="40" x14ac:dyDescent="0.2">
      <c r="D8" s="47">
        <v>2</v>
      </c>
      <c r="E8" s="48" t="s">
        <v>135</v>
      </c>
      <c r="F8" s="49">
        <v>44818</v>
      </c>
      <c r="G8" s="47" t="s">
        <v>40</v>
      </c>
      <c r="H8" s="47"/>
      <c r="I8" s="47"/>
      <c r="J8" s="48"/>
    </row>
    <row r="9" spans="4:10" ht="19" x14ac:dyDescent="0.2">
      <c r="D9" s="47">
        <v>3</v>
      </c>
      <c r="E9" s="48"/>
      <c r="F9" s="49"/>
      <c r="G9" s="47"/>
      <c r="H9" s="47"/>
      <c r="I9" s="47"/>
      <c r="J9" s="48"/>
    </row>
    <row r="10" spans="4:10" ht="19" x14ac:dyDescent="0.2">
      <c r="D10" s="47">
        <v>4</v>
      </c>
      <c r="E10" s="48"/>
      <c r="F10" s="49"/>
      <c r="G10" s="47"/>
      <c r="H10" s="47"/>
      <c r="I10" s="47"/>
      <c r="J10" s="48"/>
    </row>
    <row r="11" spans="4:10" ht="19" x14ac:dyDescent="0.2">
      <c r="D11" s="47">
        <v>5</v>
      </c>
      <c r="E11" s="48"/>
      <c r="F11" s="49"/>
      <c r="G11" s="47"/>
      <c r="H11" s="47"/>
      <c r="I11" s="47"/>
      <c r="J11" s="48"/>
    </row>
    <row r="12" spans="4:10" ht="19" x14ac:dyDescent="0.2">
      <c r="D12" s="47">
        <v>6</v>
      </c>
      <c r="E12" s="48"/>
      <c r="F12" s="49"/>
      <c r="G12" s="47"/>
      <c r="H12" s="47"/>
      <c r="I12" s="47"/>
      <c r="J12" s="48"/>
    </row>
    <row r="13" spans="4:10" ht="19" x14ac:dyDescent="0.2">
      <c r="D13" s="47">
        <v>7</v>
      </c>
      <c r="E13" s="48"/>
      <c r="F13" s="49"/>
      <c r="G13" s="47"/>
      <c r="H13" s="47"/>
      <c r="I13" s="47"/>
      <c r="J13" s="48"/>
    </row>
    <row r="14" spans="4:10" ht="19" x14ac:dyDescent="0.2">
      <c r="D14" s="47">
        <v>8</v>
      </c>
      <c r="E14" s="48"/>
      <c r="F14" s="49"/>
      <c r="G14" s="47"/>
      <c r="H14" s="47"/>
      <c r="I14" s="47"/>
      <c r="J14" s="48"/>
    </row>
    <row r="15" spans="4:10" ht="19" x14ac:dyDescent="0.2">
      <c r="D15" s="47">
        <v>9</v>
      </c>
      <c r="E15" s="48"/>
      <c r="F15" s="49"/>
      <c r="G15" s="47"/>
      <c r="H15" s="47"/>
      <c r="I15" s="47"/>
      <c r="J15" s="48"/>
    </row>
    <row r="16" spans="4:10" ht="19" x14ac:dyDescent="0.2">
      <c r="D16" s="47">
        <v>10</v>
      </c>
      <c r="E16" s="48"/>
      <c r="F16" s="49"/>
      <c r="G16" s="47"/>
      <c r="H16" s="47"/>
      <c r="I16" s="47"/>
      <c r="J16" s="50"/>
    </row>
    <row r="17" ht="15" x14ac:dyDescent="0.2"/>
    <row r="18" ht="15" x14ac:dyDescent="0.2"/>
    <row r="19" ht="15" x14ac:dyDescent="0.2"/>
    <row r="20" ht="15" x14ac:dyDescent="0.2"/>
    <row r="21" ht="15" x14ac:dyDescent="0.2"/>
    <row r="22" ht="15" x14ac:dyDescent="0.2"/>
    <row r="23" ht="15" x14ac:dyDescent="0.2"/>
    <row r="24" ht="15" x14ac:dyDescent="0.2"/>
    <row r="25" ht="15" x14ac:dyDescent="0.2"/>
    <row r="26" ht="15" x14ac:dyDescent="0.2"/>
    <row r="27" ht="15" x14ac:dyDescent="0.2"/>
    <row r="28" ht="15" x14ac:dyDescent="0.2"/>
    <row r="29" ht="15" x14ac:dyDescent="0.2"/>
  </sheetData>
  <sheetProtection selectLockedCells="1" selectUnlockedCells="1"/>
  <mergeCells count="1">
    <mergeCell ref="D5:J5"/>
  </mergeCells>
  <hyperlinks>
    <hyperlink ref="J4" r:id="rId1" display="https://www.jkscottresearchgroup.com/" xr:uid="{84F8F103-ADCC-40E2-8B90-7F5519D0EBAE}"/>
  </hyperlinks>
  <pageMargins left="0.7" right="0.7" top="0.75" bottom="0.75" header="0.3" footer="0.3"/>
  <pageSetup paperSize="9" scale="43" orientation="portrait" r:id="rId2"/>
  <drawing r:id="rId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E59CCBB-224C-4B66-A645-6F68C76EB9A9}">
  <sheetPr codeName="Sheet18">
    <tabColor rgb="FF00B050"/>
  </sheetPr>
  <dimension ref="A1:J13"/>
  <sheetViews>
    <sheetView showGridLines="0" topLeftCell="A2" zoomScaleNormal="100" zoomScaleSheetLayoutView="85" workbookViewId="0">
      <pane ySplit="8" topLeftCell="A10" activePane="bottomLeft" state="frozen"/>
      <selection activeCell="C24" sqref="C24"/>
      <selection pane="bottomLeft" activeCell="K2" sqref="K1:P1048576"/>
    </sheetView>
  </sheetViews>
  <sheetFormatPr baseColWidth="10" defaultColWidth="0" defaultRowHeight="14.5" customHeight="1" zeroHeight="1" x14ac:dyDescent="0.2"/>
  <cols>
    <col min="1" max="1" width="17" style="3" bestFit="1" customWidth="1"/>
    <col min="2" max="2" width="22.1640625" style="34" customWidth="1"/>
    <col min="3" max="3" width="20" style="3" customWidth="1"/>
    <col min="4" max="4" width="24.1640625" style="3" customWidth="1"/>
    <col min="5" max="5" width="17.33203125" style="3" customWidth="1"/>
    <col min="6" max="6" width="13.1640625" style="3" hidden="1" customWidth="1"/>
    <col min="7" max="9" width="15" style="3" hidden="1" customWidth="1"/>
    <col min="10" max="10" width="57.5" style="3" customWidth="1"/>
    <col min="11" max="16384" width="8.83203125" style="3" hidden="1"/>
  </cols>
  <sheetData>
    <row r="1" spans="1:10" ht="15" hidden="1" x14ac:dyDescent="0.2">
      <c r="A1" s="24"/>
      <c r="B1" s="24"/>
      <c r="C1" s="24"/>
      <c r="D1" s="24"/>
      <c r="E1" s="24"/>
      <c r="F1" s="24"/>
      <c r="G1" s="24"/>
      <c r="H1" s="24"/>
      <c r="I1" s="24"/>
      <c r="J1" s="24"/>
    </row>
    <row r="2" spans="1:10" ht="15" x14ac:dyDescent="0.2">
      <c r="A2" s="25" t="str">
        <f>'Revision History'!$D$4</f>
        <v>REV. NO.2 (9/14/2022)</v>
      </c>
      <c r="B2" s="26"/>
      <c r="C2" s="26"/>
      <c r="D2" s="26"/>
      <c r="E2" s="26"/>
      <c r="F2" s="26"/>
      <c r="G2" s="26"/>
      <c r="H2" s="26"/>
      <c r="I2" s="26"/>
      <c r="J2" s="27" t="str">
        <f>'Revision History'!$J$4</f>
        <v>Scott Research Group (jkscottresearchgroup.com)</v>
      </c>
    </row>
    <row r="3" spans="1:10" ht="19" x14ac:dyDescent="0.2">
      <c r="A3" s="53" t="s">
        <v>32</v>
      </c>
      <c r="B3" s="54"/>
      <c r="C3" s="54"/>
      <c r="D3" s="54"/>
      <c r="E3" s="54"/>
      <c r="F3" s="54"/>
      <c r="G3" s="54"/>
      <c r="H3" s="54"/>
      <c r="I3" s="54"/>
      <c r="J3" s="55"/>
    </row>
    <row r="4" spans="1:10" ht="14.5" customHeight="1" x14ac:dyDescent="0.2">
      <c r="A4" s="13"/>
      <c r="B4" s="14"/>
      <c r="C4" s="15"/>
      <c r="D4" s="16"/>
      <c r="E4" s="16"/>
      <c r="F4" s="16"/>
      <c r="G4" s="16"/>
      <c r="H4" s="16"/>
      <c r="I4" s="16"/>
      <c r="J4" s="56" t="str">
        <f>IF(COUNTIF(Table11024122[Test 3],1)=COUNTA(Table11024122[Value]),"Ready","Not Ready")</f>
        <v>Ready</v>
      </c>
    </row>
    <row r="5" spans="1:10" ht="14.5" customHeight="1" x14ac:dyDescent="0.2">
      <c r="A5" s="17"/>
      <c r="B5" s="18"/>
      <c r="C5" s="37"/>
      <c r="D5" s="37"/>
      <c r="E5" s="37"/>
      <c r="F5" s="37"/>
      <c r="G5" s="19"/>
      <c r="H5" s="37"/>
      <c r="I5" s="37"/>
      <c r="J5" s="57"/>
    </row>
    <row r="6" spans="1:10" ht="14.5" customHeight="1" x14ac:dyDescent="0.2">
      <c r="A6" s="17"/>
      <c r="B6" s="18"/>
      <c r="C6" s="37"/>
      <c r="D6" s="37"/>
      <c r="E6" s="37"/>
      <c r="F6" s="37"/>
      <c r="G6" s="19"/>
      <c r="H6" s="37"/>
      <c r="I6" s="37"/>
      <c r="J6" s="57"/>
    </row>
    <row r="7" spans="1:10" ht="14.5" customHeight="1" x14ac:dyDescent="0.2">
      <c r="A7" s="17"/>
      <c r="B7" s="18"/>
      <c r="C7" s="37"/>
      <c r="D7" s="37"/>
      <c r="E7" s="37"/>
      <c r="F7" s="37"/>
      <c r="G7" s="19"/>
      <c r="H7" s="37"/>
      <c r="I7" s="37"/>
      <c r="J7" s="57"/>
    </row>
    <row r="8" spans="1:10" ht="14.5" customHeight="1" x14ac:dyDescent="0.2">
      <c r="A8" s="20"/>
      <c r="B8" s="21"/>
      <c r="C8" s="22"/>
      <c r="D8" s="22"/>
      <c r="E8" s="22"/>
      <c r="F8" s="22"/>
      <c r="G8" s="23"/>
      <c r="H8" s="22"/>
      <c r="I8" s="22"/>
      <c r="J8" s="58"/>
    </row>
    <row r="9" spans="1:10" ht="16" x14ac:dyDescent="0.2">
      <c r="A9" s="28" t="s">
        <v>0</v>
      </c>
      <c r="B9" s="29" t="s">
        <v>1</v>
      </c>
      <c r="C9" s="29" t="s">
        <v>2</v>
      </c>
      <c r="D9" s="29" t="s">
        <v>14</v>
      </c>
      <c r="E9" s="29" t="s">
        <v>65</v>
      </c>
      <c r="F9" s="30" t="s">
        <v>41</v>
      </c>
      <c r="G9" s="30" t="s">
        <v>66</v>
      </c>
      <c r="H9" s="29" t="s">
        <v>67</v>
      </c>
      <c r="I9" s="31" t="s">
        <v>75</v>
      </c>
      <c r="J9" s="31" t="s">
        <v>12</v>
      </c>
    </row>
    <row r="10" spans="1:10" ht="80" x14ac:dyDescent="0.2">
      <c r="A10" s="4" t="s">
        <v>103</v>
      </c>
      <c r="B10" s="32">
        <v>4</v>
      </c>
      <c r="C10" s="2" t="s">
        <v>3</v>
      </c>
      <c r="D10" s="1" t="s">
        <v>30</v>
      </c>
      <c r="E10" s="1" t="s">
        <v>83</v>
      </c>
      <c r="F10" s="2" t="s">
        <v>43</v>
      </c>
      <c r="G10" s="1">
        <v>1</v>
      </c>
      <c r="H10" s="1">
        <v>1</v>
      </c>
      <c r="I10" s="6">
        <v>1</v>
      </c>
      <c r="J10" s="5" t="s">
        <v>105</v>
      </c>
    </row>
    <row r="11" spans="1:10" ht="16" x14ac:dyDescent="0.2">
      <c r="A11" s="38" t="s">
        <v>117</v>
      </c>
      <c r="B11" s="32">
        <v>318.14999999999998</v>
      </c>
      <c r="C11" s="35" t="s">
        <v>21</v>
      </c>
      <c r="D11" s="1" t="s">
        <v>17</v>
      </c>
      <c r="E11" s="1" t="s">
        <v>7</v>
      </c>
      <c r="F11" s="2" t="s">
        <v>49</v>
      </c>
      <c r="G11" s="1">
        <v>1</v>
      </c>
      <c r="H11" s="1">
        <v>1</v>
      </c>
      <c r="I11" s="6">
        <v>1</v>
      </c>
      <c r="J11" s="5" t="s">
        <v>126</v>
      </c>
    </row>
    <row r="12" spans="1:10" ht="16" x14ac:dyDescent="0.2">
      <c r="A12" s="4" t="s">
        <v>118</v>
      </c>
      <c r="B12" s="32">
        <v>2.9313248941656633</v>
      </c>
      <c r="C12" s="2" t="s">
        <v>20</v>
      </c>
      <c r="D12" s="1" t="s">
        <v>17</v>
      </c>
      <c r="E12" s="1" t="s">
        <v>7</v>
      </c>
      <c r="F12" s="2" t="s">
        <v>42</v>
      </c>
      <c r="G12" s="1">
        <v>1</v>
      </c>
      <c r="H12" s="1">
        <v>1</v>
      </c>
      <c r="I12" s="6">
        <v>1</v>
      </c>
      <c r="J12" s="5" t="s">
        <v>127</v>
      </c>
    </row>
    <row r="13" spans="1:10" ht="16" x14ac:dyDescent="0.2">
      <c r="A13" s="8" t="s">
        <v>79</v>
      </c>
      <c r="B13" s="33"/>
      <c r="C13" s="9"/>
      <c r="D13" s="10"/>
      <c r="E13" s="10"/>
      <c r="F13" s="9"/>
      <c r="G13" s="10">
        <v>1</v>
      </c>
      <c r="H13" s="10">
        <v>1</v>
      </c>
      <c r="I13" s="11">
        <v>0</v>
      </c>
      <c r="J13" s="12" t="s">
        <v>80</v>
      </c>
    </row>
  </sheetData>
  <sheetProtection algorithmName="SHA-512" hashValue="2X5gycM+E+pGIVXu9bYcOhTpN9ozd5xogQMyhIyNmzj/Psn8lgCJBdsqdCVq+JDfbUtD7T/uM285hW5t9Azm/g==" saltValue="oUIoC+hMGLpbP7zC1CQHIg==" spinCount="100000" sheet="1" objects="1" scenarios="1" selectLockedCells="1"/>
  <mergeCells count="2">
    <mergeCell ref="A3:J3"/>
    <mergeCell ref="J4:J8"/>
  </mergeCells>
  <conditionalFormatting sqref="B13">
    <cfRule type="expression" dxfId="100" priority="43">
      <formula>IF(AND($B13&lt;&gt;"",$I13=0),1,0)</formula>
    </cfRule>
    <cfRule type="expression" dxfId="99" priority="44">
      <formula>IF($B13&lt;&gt;"",1,0)</formula>
    </cfRule>
    <cfRule type="expression" dxfId="98" priority="45">
      <formula>$I13=0</formula>
    </cfRule>
  </conditionalFormatting>
  <conditionalFormatting sqref="B10">
    <cfRule type="expression" dxfId="97" priority="34">
      <formula>IF(AND($B10&lt;&gt;"",$I10=0),1,0)</formula>
    </cfRule>
    <cfRule type="expression" dxfId="96" priority="35">
      <formula>IF($B10&lt;&gt;"",1,0)</formula>
    </cfRule>
    <cfRule type="expression" dxfId="95" priority="36">
      <formula>$I10=0</formula>
    </cfRule>
  </conditionalFormatting>
  <conditionalFormatting sqref="B11">
    <cfRule type="expression" dxfId="94" priority="4">
      <formula>IF(AND($B11&lt;&gt;"",$I11=0),1,0)</formula>
    </cfRule>
    <cfRule type="expression" dxfId="93" priority="5">
      <formula>IF($B11&lt;&gt;"",1,0)</formula>
    </cfRule>
    <cfRule type="expression" dxfId="92" priority="6">
      <formula>$I11=0</formula>
    </cfRule>
  </conditionalFormatting>
  <conditionalFormatting sqref="J4">
    <cfRule type="expression" dxfId="91" priority="2249">
      <formula>IF(COUNTA($B$10:$B$13)&lt;&gt;COUNTIF($I$10:$I$13,1),1,0)</formula>
    </cfRule>
    <cfRule type="expression" dxfId="90" priority="2250">
      <formula>IF(COUNTA($B$10:$B$13)=COUNTIF($I$10:$I$13,1),1,0)</formula>
    </cfRule>
  </conditionalFormatting>
  <conditionalFormatting sqref="B12">
    <cfRule type="expression" dxfId="89" priority="1">
      <formula>IF(AND($B12&lt;&gt;"",$I12=0),1,0)</formula>
    </cfRule>
    <cfRule type="expression" dxfId="88" priority="2">
      <formula>IF($B12&lt;&gt;"",1,0)</formula>
    </cfRule>
    <cfRule type="expression" dxfId="87" priority="3">
      <formula>$I12=0</formula>
    </cfRule>
  </conditionalFormatting>
  <pageMargins left="0.7" right="0.7" top="0.75" bottom="0.75" header="0.3" footer="0.3"/>
  <pageSetup scale="3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6321" r:id="rId4" name="Button 1">
              <controlPr defaultSize="0" autoFill="0" autoPict="0" macro="[0]!initComs">
                <anchor moveWithCells="1" sizeWithCells="1">
                  <from>
                    <xdr:col>0</xdr:col>
                    <xdr:colOff>190500</xdr:colOff>
                    <xdr:row>4</xdr:row>
                    <xdr:rowOff>76200</xdr:rowOff>
                  </from>
                  <to>
                    <xdr:col>1</xdr:col>
                    <xdr:colOff>1003300</xdr:colOff>
                    <xdr:row>6</xdr:row>
                    <xdr:rowOff>139700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22" r:id="rId5" name="Button 2">
              <controlPr defaultSize="0" autoFill="0" autoPict="0" macro="[0]!pushData">
                <anchor moveWithCells="1" sizeWithCells="1">
                  <from>
                    <xdr:col>1</xdr:col>
                    <xdr:colOff>1104900</xdr:colOff>
                    <xdr:row>4</xdr:row>
                    <xdr:rowOff>76200</xdr:rowOff>
                  </from>
                  <to>
                    <xdr:col>3</xdr:col>
                    <xdr:colOff>0</xdr:colOff>
                    <xdr:row>6</xdr:row>
                    <xdr:rowOff>139700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23" r:id="rId6" name="Button 3">
              <controlPr defaultSize="0" autoFill="0" autoPict="0" macro="[0]!clearData">
                <anchor moveWithCells="1" sizeWithCells="1">
                  <from>
                    <xdr:col>3</xdr:col>
                    <xdr:colOff>114300</xdr:colOff>
                    <xdr:row>4</xdr:row>
                    <xdr:rowOff>76200</xdr:rowOff>
                  </from>
                  <to>
                    <xdr:col>4</xdr:col>
                    <xdr:colOff>381000</xdr:colOff>
                    <xdr:row>6</xdr:row>
                    <xdr:rowOff>139700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allowBlank="1" showInputMessage="1" showErrorMessage="1" xr:uid="{92B6ED5C-3CF6-4461-974B-9603EC07C690}">
          <x14:formula1>
            <xm:f>Reference!$J$17:$J$21</xm:f>
          </x14:formula1>
          <xm:sqref>B10</xm:sqref>
        </x14:dataValidation>
        <x14:dataValidation type="list" allowBlank="1" showInputMessage="1" showErrorMessage="1" xr:uid="{47F5E4EC-91AC-4151-9106-E6772EF3FFC9}">
          <x14:formula1>
            <xm:f>Reference!$C$2:$C$23</xm:f>
          </x14:formula1>
          <xm:sqref>F10:F13</xm:sqref>
        </x14:dataValidation>
        <x14:dataValidation type="list" allowBlank="1" showInputMessage="1" showErrorMessage="1" xr:uid="{D6186657-E84F-4CE3-A530-FDD18E1D46EE}">
          <x14:formula1>
            <xm:f>Reference!$A$2:$A$8</xm:f>
          </x14:formula1>
          <xm:sqref>E10:E13</xm:sqref>
        </x14:dataValidation>
        <x14:dataValidation type="list" allowBlank="1" showInputMessage="1" showErrorMessage="1" xr:uid="{7A9715DD-FB8B-4545-B070-E76A0E530109}">
          <x14:formula1>
            <xm:f>Reference!$B$2:$B$18</xm:f>
          </x14:formula1>
          <xm:sqref>D10:D13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636A68F-B8F8-4286-97A1-92D57CAB581F}">
  <sheetPr codeName="Sheet19">
    <tabColor rgb="FF00B050"/>
  </sheetPr>
  <dimension ref="A1:K13"/>
  <sheetViews>
    <sheetView showGridLines="0" topLeftCell="A2" zoomScaleNormal="100" zoomScaleSheetLayoutView="85" workbookViewId="0">
      <pane ySplit="8" topLeftCell="A10" activePane="bottomLeft" state="frozen"/>
      <selection activeCell="C24" sqref="C24"/>
      <selection pane="bottomLeft" activeCell="K2" sqref="K1:O1048576"/>
    </sheetView>
  </sheetViews>
  <sheetFormatPr baseColWidth="10" defaultColWidth="0" defaultRowHeight="14.5" customHeight="1" zeroHeight="1" x14ac:dyDescent="0.2"/>
  <cols>
    <col min="1" max="1" width="17" style="3" bestFit="1" customWidth="1"/>
    <col min="2" max="2" width="22.1640625" style="34" customWidth="1"/>
    <col min="3" max="3" width="20" style="3" customWidth="1"/>
    <col min="4" max="4" width="24.1640625" style="3" customWidth="1"/>
    <col min="5" max="5" width="17.33203125" style="3" customWidth="1"/>
    <col min="6" max="6" width="13.1640625" style="3" hidden="1" customWidth="1"/>
    <col min="7" max="9" width="15" style="3" hidden="1" customWidth="1"/>
    <col min="10" max="10" width="57.5" style="3" customWidth="1"/>
    <col min="11" max="11" width="0" style="3" hidden="1" customWidth="1"/>
    <col min="12" max="16384" width="8.83203125" style="3" hidden="1"/>
  </cols>
  <sheetData>
    <row r="1" spans="1:10" ht="15" hidden="1" x14ac:dyDescent="0.2">
      <c r="A1" s="24"/>
      <c r="B1" s="24"/>
      <c r="C1" s="24"/>
      <c r="D1" s="24"/>
      <c r="E1" s="24"/>
      <c r="F1" s="24"/>
      <c r="G1" s="24"/>
      <c r="H1" s="24"/>
      <c r="I1" s="24"/>
      <c r="J1" s="24"/>
    </row>
    <row r="2" spans="1:10" ht="15" x14ac:dyDescent="0.2">
      <c r="A2" s="25" t="str">
        <f>'Revision History'!$D$4</f>
        <v>REV. NO.2 (9/14/2022)</v>
      </c>
      <c r="B2" s="26"/>
      <c r="C2" s="26"/>
      <c r="D2" s="26"/>
      <c r="E2" s="26"/>
      <c r="F2" s="26"/>
      <c r="G2" s="26"/>
      <c r="H2" s="26"/>
      <c r="I2" s="26"/>
      <c r="J2" s="27" t="str">
        <f>'Revision History'!$J$4</f>
        <v>Scott Research Group (jkscottresearchgroup.com)</v>
      </c>
    </row>
    <row r="3" spans="1:10" ht="19" x14ac:dyDescent="0.2">
      <c r="A3" s="53" t="s">
        <v>32</v>
      </c>
      <c r="B3" s="54"/>
      <c r="C3" s="54"/>
      <c r="D3" s="54"/>
      <c r="E3" s="54"/>
      <c r="F3" s="54"/>
      <c r="G3" s="54"/>
      <c r="H3" s="54"/>
      <c r="I3" s="54"/>
      <c r="J3" s="55"/>
    </row>
    <row r="4" spans="1:10" ht="14.5" customHeight="1" x14ac:dyDescent="0.2">
      <c r="A4" s="13"/>
      <c r="B4" s="14"/>
      <c r="C4" s="15"/>
      <c r="D4" s="16"/>
      <c r="E4" s="16"/>
      <c r="F4" s="16"/>
      <c r="G4" s="16"/>
      <c r="H4" s="16"/>
      <c r="I4" s="16"/>
      <c r="J4" s="56" t="str">
        <f>IF(COUNTIF(Table11024123[Test 3],1)=COUNTA(Table11024123[Value]),"Ready","Not Ready")</f>
        <v>Ready</v>
      </c>
    </row>
    <row r="5" spans="1:10" ht="14.5" customHeight="1" x14ac:dyDescent="0.2">
      <c r="A5" s="17"/>
      <c r="B5" s="18"/>
      <c r="C5" s="37"/>
      <c r="D5" s="37"/>
      <c r="E5" s="37"/>
      <c r="F5" s="37"/>
      <c r="G5" s="19"/>
      <c r="H5" s="37"/>
      <c r="I5" s="37"/>
      <c r="J5" s="57"/>
    </row>
    <row r="6" spans="1:10" ht="14.5" customHeight="1" x14ac:dyDescent="0.2">
      <c r="A6" s="17"/>
      <c r="B6" s="18"/>
      <c r="C6" s="37"/>
      <c r="D6" s="37"/>
      <c r="E6" s="37"/>
      <c r="F6" s="37"/>
      <c r="G6" s="19"/>
      <c r="H6" s="37"/>
      <c r="I6" s="37"/>
      <c r="J6" s="57"/>
    </row>
    <row r="7" spans="1:10" ht="14.5" customHeight="1" x14ac:dyDescent="0.2">
      <c r="A7" s="17"/>
      <c r="B7" s="18"/>
      <c r="C7" s="37"/>
      <c r="D7" s="37"/>
      <c r="E7" s="37"/>
      <c r="F7" s="37"/>
      <c r="G7" s="19"/>
      <c r="H7" s="37"/>
      <c r="I7" s="37"/>
      <c r="J7" s="57"/>
    </row>
    <row r="8" spans="1:10" ht="14.5" customHeight="1" x14ac:dyDescent="0.2">
      <c r="A8" s="20"/>
      <c r="B8" s="21"/>
      <c r="C8" s="22"/>
      <c r="D8" s="22"/>
      <c r="E8" s="22"/>
      <c r="F8" s="22"/>
      <c r="G8" s="23"/>
      <c r="H8" s="22"/>
      <c r="I8" s="22"/>
      <c r="J8" s="58"/>
    </row>
    <row r="9" spans="1:10" ht="16" x14ac:dyDescent="0.2">
      <c r="A9" s="28" t="s">
        <v>0</v>
      </c>
      <c r="B9" s="29" t="s">
        <v>1</v>
      </c>
      <c r="C9" s="29" t="s">
        <v>2</v>
      </c>
      <c r="D9" s="29" t="s">
        <v>14</v>
      </c>
      <c r="E9" s="29" t="s">
        <v>65</v>
      </c>
      <c r="F9" s="30" t="s">
        <v>41</v>
      </c>
      <c r="G9" s="30" t="s">
        <v>66</v>
      </c>
      <c r="H9" s="29" t="s">
        <v>67</v>
      </c>
      <c r="I9" s="31" t="s">
        <v>75</v>
      </c>
      <c r="J9" s="31" t="s">
        <v>12</v>
      </c>
    </row>
    <row r="10" spans="1:10" ht="16" x14ac:dyDescent="0.2">
      <c r="A10" s="38" t="s">
        <v>119</v>
      </c>
      <c r="B10" s="32">
        <v>20</v>
      </c>
      <c r="C10" s="35" t="s">
        <v>69</v>
      </c>
      <c r="D10" s="1" t="s">
        <v>92</v>
      </c>
      <c r="E10" s="1" t="s">
        <v>7</v>
      </c>
      <c r="F10" s="2" t="s">
        <v>46</v>
      </c>
      <c r="G10" s="1">
        <v>1</v>
      </c>
      <c r="H10" s="1">
        <v>1</v>
      </c>
      <c r="I10" s="6">
        <v>1</v>
      </c>
      <c r="J10" s="5" t="s">
        <v>94</v>
      </c>
    </row>
    <row r="11" spans="1:10" ht="16" x14ac:dyDescent="0.2">
      <c r="A11" s="38" t="s">
        <v>120</v>
      </c>
      <c r="B11" s="32">
        <v>20.5</v>
      </c>
      <c r="C11" s="35" t="s">
        <v>69</v>
      </c>
      <c r="D11" s="1" t="s">
        <v>92</v>
      </c>
      <c r="E11" s="1" t="s">
        <v>7</v>
      </c>
      <c r="F11" s="2" t="s">
        <v>46</v>
      </c>
      <c r="G11" s="1">
        <v>1</v>
      </c>
      <c r="H11" s="1">
        <v>1</v>
      </c>
      <c r="I11" s="6">
        <v>1</v>
      </c>
      <c r="J11" s="5" t="s">
        <v>95</v>
      </c>
    </row>
    <row r="12" spans="1:10" ht="16" x14ac:dyDescent="0.2">
      <c r="A12" s="38" t="s">
        <v>121</v>
      </c>
      <c r="B12" s="32">
        <v>33.800769771555913</v>
      </c>
      <c r="C12" s="35" t="s">
        <v>69</v>
      </c>
      <c r="D12" s="1" t="s">
        <v>92</v>
      </c>
      <c r="E12" s="1" t="s">
        <v>7</v>
      </c>
      <c r="F12" s="2" t="s">
        <v>46</v>
      </c>
      <c r="G12" s="1">
        <v>1</v>
      </c>
      <c r="H12" s="1">
        <v>1</v>
      </c>
      <c r="I12" s="6">
        <v>1</v>
      </c>
      <c r="J12" s="5" t="s">
        <v>96</v>
      </c>
    </row>
    <row r="13" spans="1:10" ht="16" x14ac:dyDescent="0.2">
      <c r="A13" s="8" t="s">
        <v>79</v>
      </c>
      <c r="B13" s="33"/>
      <c r="C13" s="9"/>
      <c r="D13" s="10"/>
      <c r="E13" s="10"/>
      <c r="F13" s="9"/>
      <c r="G13" s="10">
        <v>1</v>
      </c>
      <c r="H13" s="10">
        <v>1</v>
      </c>
      <c r="I13" s="11">
        <v>0</v>
      </c>
      <c r="J13" s="12" t="s">
        <v>80</v>
      </c>
    </row>
  </sheetData>
  <sheetProtection algorithmName="SHA-512" hashValue="Pf8fsiUkfKCDuFYAl6e7ENWxDcbBNzRyggCX4UUfWNi/ghLrnwe23ExBMzkSWJq7fBMxNpW9KSztn+ZrWL3TJw==" saltValue="Ba+L6wvnNxG14nnpajKNSA==" spinCount="100000" sheet="1" objects="1" scenarios="1" selectLockedCells="1"/>
  <mergeCells count="2">
    <mergeCell ref="A3:J3"/>
    <mergeCell ref="J4:J8"/>
  </mergeCells>
  <conditionalFormatting sqref="B13">
    <cfRule type="expression" dxfId="71" priority="31">
      <formula>IF(AND($B13&lt;&gt;"",$I13=0),1,0)</formula>
    </cfRule>
    <cfRule type="expression" dxfId="70" priority="32">
      <formula>IF($B13&lt;&gt;"",1,0)</formula>
    </cfRule>
    <cfRule type="expression" dxfId="69" priority="33">
      <formula>$I13=0</formula>
    </cfRule>
  </conditionalFormatting>
  <conditionalFormatting sqref="B10:B12">
    <cfRule type="expression" dxfId="68" priority="1">
      <formula>IF(AND($B10&lt;&gt;"",$I10=0),1,0)</formula>
    </cfRule>
    <cfRule type="expression" dxfId="67" priority="2">
      <formula>IF($B10&lt;&gt;"",1,0)</formula>
    </cfRule>
    <cfRule type="expression" dxfId="66" priority="3">
      <formula>$I10=0</formula>
    </cfRule>
  </conditionalFormatting>
  <conditionalFormatting sqref="J4">
    <cfRule type="expression" dxfId="65" priority="2251">
      <formula>IF(COUNTA($B$10:$B$13)&lt;&gt;COUNTIF($I$10:$I$13,1),1,0)</formula>
    </cfRule>
    <cfRule type="expression" dxfId="64" priority="2252">
      <formula>IF(COUNTA($B$10:$B$13)=COUNTIF($I$10:$I$13,1),1,0)</formula>
    </cfRule>
  </conditionalFormatting>
  <pageMargins left="0.7" right="0.7" top="0.75" bottom="0.75" header="0.3" footer="0.3"/>
  <pageSetup scale="3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2465" r:id="rId4" name="Button 1">
              <controlPr defaultSize="0" autoFill="0" autoPict="0" macro="[0]!initComs">
                <anchor moveWithCells="1" sizeWithCells="1">
                  <from>
                    <xdr:col>0</xdr:col>
                    <xdr:colOff>190500</xdr:colOff>
                    <xdr:row>4</xdr:row>
                    <xdr:rowOff>76200</xdr:rowOff>
                  </from>
                  <to>
                    <xdr:col>1</xdr:col>
                    <xdr:colOff>1003300</xdr:colOff>
                    <xdr:row>6</xdr:row>
                    <xdr:rowOff>139700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466" r:id="rId5" name="Button 2">
              <controlPr defaultSize="0" autoFill="0" autoPict="0" macro="[0]!pushData">
                <anchor moveWithCells="1" sizeWithCells="1">
                  <from>
                    <xdr:col>1</xdr:col>
                    <xdr:colOff>1104900</xdr:colOff>
                    <xdr:row>4</xdr:row>
                    <xdr:rowOff>76200</xdr:rowOff>
                  </from>
                  <to>
                    <xdr:col>3</xdr:col>
                    <xdr:colOff>0</xdr:colOff>
                    <xdr:row>6</xdr:row>
                    <xdr:rowOff>139700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467" r:id="rId6" name="Button 3">
              <controlPr defaultSize="0" autoFill="0" autoPict="0" macro="[0]!clearData">
                <anchor moveWithCells="1" sizeWithCells="1">
                  <from>
                    <xdr:col>3</xdr:col>
                    <xdr:colOff>114300</xdr:colOff>
                    <xdr:row>4</xdr:row>
                    <xdr:rowOff>76200</xdr:rowOff>
                  </from>
                  <to>
                    <xdr:col>4</xdr:col>
                    <xdr:colOff>381000</xdr:colOff>
                    <xdr:row>6</xdr:row>
                    <xdr:rowOff>139700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EA32D1BB-1912-42F5-8BDB-376ACB48BA8F}">
          <x14:formula1>
            <xm:f>Reference!$C$2:$C$23</xm:f>
          </x14:formula1>
          <xm:sqref>F10:F13</xm:sqref>
        </x14:dataValidation>
        <x14:dataValidation type="list" allowBlank="1" showInputMessage="1" showErrorMessage="1" xr:uid="{01DA8EFC-4624-4DF2-856E-84204D714F02}">
          <x14:formula1>
            <xm:f>Reference!$A$2:$A$8</xm:f>
          </x14:formula1>
          <xm:sqref>E10:E13</xm:sqref>
        </x14:dataValidation>
        <x14:dataValidation type="list" allowBlank="1" showInputMessage="1" showErrorMessage="1" xr:uid="{4A177BB7-CF09-4D25-A898-645574882ECB}">
          <x14:formula1>
            <xm:f>Reference!$B$2:$B$18</xm:f>
          </x14:formula1>
          <xm:sqref>D10:D13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580DC4C-B74A-4B3B-A58F-D4A84B33B0CD}">
  <sheetPr codeName="Sheet17">
    <tabColor rgb="FF00B050"/>
  </sheetPr>
  <dimension ref="A1:K14"/>
  <sheetViews>
    <sheetView showGridLines="0" topLeftCell="A2" zoomScaleNormal="100" zoomScaleSheetLayoutView="85" workbookViewId="0">
      <pane ySplit="8" topLeftCell="A10" activePane="bottomLeft" state="frozen"/>
      <selection activeCell="C24" sqref="C24"/>
      <selection pane="bottomLeft" activeCell="K2" sqref="K1:Q1048576"/>
    </sheetView>
  </sheetViews>
  <sheetFormatPr baseColWidth="10" defaultColWidth="0" defaultRowHeight="14.5" customHeight="1" zeroHeight="1" x14ac:dyDescent="0.2"/>
  <cols>
    <col min="1" max="1" width="17" style="3" bestFit="1" customWidth="1"/>
    <col min="2" max="2" width="22.1640625" style="34" customWidth="1"/>
    <col min="3" max="3" width="20" style="3" customWidth="1"/>
    <col min="4" max="4" width="24.1640625" style="3" customWidth="1"/>
    <col min="5" max="5" width="17.33203125" style="3" customWidth="1"/>
    <col min="6" max="6" width="13.1640625" style="3" hidden="1" customWidth="1"/>
    <col min="7" max="9" width="15" style="3" hidden="1" customWidth="1"/>
    <col min="10" max="10" width="57.5" style="3" customWidth="1"/>
    <col min="11" max="11" width="0" style="3" hidden="1" customWidth="1"/>
    <col min="12" max="16384" width="8.83203125" style="3" hidden="1"/>
  </cols>
  <sheetData>
    <row r="1" spans="1:10" ht="15" hidden="1" x14ac:dyDescent="0.2">
      <c r="A1" s="24"/>
      <c r="B1" s="24"/>
      <c r="C1" s="24"/>
      <c r="D1" s="24"/>
      <c r="E1" s="24"/>
      <c r="F1" s="24"/>
      <c r="G1" s="24"/>
      <c r="H1" s="24"/>
      <c r="I1" s="24"/>
      <c r="J1" s="24"/>
    </row>
    <row r="2" spans="1:10" ht="15" x14ac:dyDescent="0.2">
      <c r="A2" s="25" t="str">
        <f>'Revision History'!$D$4</f>
        <v>REV. NO.2 (9/14/2022)</v>
      </c>
      <c r="B2" s="26"/>
      <c r="C2" s="26"/>
      <c r="D2" s="26"/>
      <c r="E2" s="26"/>
      <c r="F2" s="26"/>
      <c r="G2" s="26"/>
      <c r="H2" s="26"/>
      <c r="I2" s="26"/>
      <c r="J2" s="27" t="str">
        <f>'Revision History'!$J$4</f>
        <v>Scott Research Group (jkscottresearchgroup.com)</v>
      </c>
    </row>
    <row r="3" spans="1:10" ht="19" x14ac:dyDescent="0.2">
      <c r="A3" s="53" t="s">
        <v>32</v>
      </c>
      <c r="B3" s="54"/>
      <c r="C3" s="54"/>
      <c r="D3" s="54"/>
      <c r="E3" s="54"/>
      <c r="F3" s="54"/>
      <c r="G3" s="54"/>
      <c r="H3" s="54"/>
      <c r="I3" s="54"/>
      <c r="J3" s="55"/>
    </row>
    <row r="4" spans="1:10" ht="14.5" customHeight="1" x14ac:dyDescent="0.2">
      <c r="A4" s="13"/>
      <c r="B4" s="14"/>
      <c r="C4" s="15"/>
      <c r="D4" s="16"/>
      <c r="E4" s="16"/>
      <c r="F4" s="16"/>
      <c r="G4" s="16"/>
      <c r="H4" s="16"/>
      <c r="I4" s="16"/>
      <c r="J4" s="56" t="str">
        <f>IF(COUNTIF(Table1102412[Test 3],1)=COUNTA(Table1102412[Value]),"Ready","Not Ready")</f>
        <v>Ready</v>
      </c>
    </row>
    <row r="5" spans="1:10" ht="14.5" customHeight="1" x14ac:dyDescent="0.2">
      <c r="A5" s="17"/>
      <c r="B5" s="18"/>
      <c r="C5" s="37"/>
      <c r="D5" s="37"/>
      <c r="E5" s="37"/>
      <c r="F5" s="37"/>
      <c r="G5" s="19"/>
      <c r="H5" s="37"/>
      <c r="I5" s="37"/>
      <c r="J5" s="57"/>
    </row>
    <row r="6" spans="1:10" ht="14.5" customHeight="1" x14ac:dyDescent="0.2">
      <c r="A6" s="17"/>
      <c r="B6" s="18"/>
      <c r="C6" s="37"/>
      <c r="D6" s="37"/>
      <c r="E6" s="37"/>
      <c r="F6" s="37"/>
      <c r="G6" s="19"/>
      <c r="H6" s="37"/>
      <c r="I6" s="37"/>
      <c r="J6" s="57"/>
    </row>
    <row r="7" spans="1:10" ht="14.5" customHeight="1" x14ac:dyDescent="0.2">
      <c r="A7" s="17"/>
      <c r="B7" s="18"/>
      <c r="C7" s="37"/>
      <c r="D7" s="37"/>
      <c r="E7" s="37"/>
      <c r="F7" s="37"/>
      <c r="G7" s="19"/>
      <c r="H7" s="37"/>
      <c r="I7" s="37"/>
      <c r="J7" s="57"/>
    </row>
    <row r="8" spans="1:10" ht="14.5" customHeight="1" x14ac:dyDescent="0.2">
      <c r="A8" s="20"/>
      <c r="B8" s="21"/>
      <c r="C8" s="22"/>
      <c r="D8" s="22"/>
      <c r="E8" s="22"/>
      <c r="F8" s="22"/>
      <c r="G8" s="23"/>
      <c r="H8" s="22"/>
      <c r="I8" s="22"/>
      <c r="J8" s="58"/>
    </row>
    <row r="9" spans="1:10" ht="16" x14ac:dyDescent="0.2">
      <c r="A9" s="28" t="s">
        <v>0</v>
      </c>
      <c r="B9" s="29" t="s">
        <v>1</v>
      </c>
      <c r="C9" s="29" t="s">
        <v>2</v>
      </c>
      <c r="D9" s="29" t="s">
        <v>14</v>
      </c>
      <c r="E9" s="29" t="s">
        <v>65</v>
      </c>
      <c r="F9" s="30" t="s">
        <v>41</v>
      </c>
      <c r="G9" s="30" t="s">
        <v>66</v>
      </c>
      <c r="H9" s="29" t="s">
        <v>67</v>
      </c>
      <c r="I9" s="31" t="s">
        <v>75</v>
      </c>
      <c r="J9" s="31" t="s">
        <v>12</v>
      </c>
    </row>
    <row r="10" spans="1:10" ht="32" x14ac:dyDescent="0.2">
      <c r="A10" s="38" t="s">
        <v>122</v>
      </c>
      <c r="B10" s="32">
        <v>10</v>
      </c>
      <c r="C10" s="35" t="s">
        <v>93</v>
      </c>
      <c r="D10" s="1" t="s">
        <v>23</v>
      </c>
      <c r="E10" s="1" t="s">
        <v>7</v>
      </c>
      <c r="F10" s="2" t="s">
        <v>49</v>
      </c>
      <c r="G10" s="1">
        <v>1</v>
      </c>
      <c r="H10" s="1">
        <v>1</v>
      </c>
      <c r="I10" s="6">
        <v>1</v>
      </c>
      <c r="J10" s="5" t="s">
        <v>97</v>
      </c>
    </row>
    <row r="11" spans="1:10" ht="32" x14ac:dyDescent="0.2">
      <c r="A11" s="38" t="s">
        <v>123</v>
      </c>
      <c r="B11" s="32">
        <v>12</v>
      </c>
      <c r="C11" s="35" t="s">
        <v>93</v>
      </c>
      <c r="D11" s="1" t="s">
        <v>23</v>
      </c>
      <c r="E11" s="1" t="s">
        <v>7</v>
      </c>
      <c r="F11" s="2" t="s">
        <v>49</v>
      </c>
      <c r="G11" s="1">
        <v>1</v>
      </c>
      <c r="H11" s="1">
        <v>1</v>
      </c>
      <c r="I11" s="6">
        <v>1</v>
      </c>
      <c r="J11" s="5" t="s">
        <v>98</v>
      </c>
    </row>
    <row r="12" spans="1:10" ht="32" x14ac:dyDescent="0.2">
      <c r="A12" s="38" t="s">
        <v>124</v>
      </c>
      <c r="B12" s="32">
        <v>7.8300000000000002E-3</v>
      </c>
      <c r="C12" s="35" t="s">
        <v>22</v>
      </c>
      <c r="D12" s="1" t="s">
        <v>23</v>
      </c>
      <c r="E12" s="1" t="s">
        <v>7</v>
      </c>
      <c r="F12" s="2" t="s">
        <v>49</v>
      </c>
      <c r="G12" s="1">
        <v>1</v>
      </c>
      <c r="H12" s="1">
        <v>1</v>
      </c>
      <c r="I12" s="6">
        <v>1</v>
      </c>
      <c r="J12" s="5" t="s">
        <v>97</v>
      </c>
    </row>
    <row r="13" spans="1:10" ht="32" x14ac:dyDescent="0.2">
      <c r="A13" s="38" t="s">
        <v>125</v>
      </c>
      <c r="B13" s="32">
        <v>502.32</v>
      </c>
      <c r="C13" s="35" t="s">
        <v>102</v>
      </c>
      <c r="D13" s="1" t="s">
        <v>23</v>
      </c>
      <c r="E13" s="1" t="s">
        <v>7</v>
      </c>
      <c r="F13" s="2" t="s">
        <v>49</v>
      </c>
      <c r="G13" s="1">
        <v>1</v>
      </c>
      <c r="H13" s="1">
        <v>1</v>
      </c>
      <c r="I13" s="6">
        <v>1</v>
      </c>
      <c r="J13" s="5" t="s">
        <v>98</v>
      </c>
    </row>
    <row r="14" spans="1:10" ht="16" x14ac:dyDescent="0.2">
      <c r="A14" s="8" t="s">
        <v>79</v>
      </c>
      <c r="B14" s="33"/>
      <c r="C14" s="9"/>
      <c r="D14" s="10"/>
      <c r="E14" s="10"/>
      <c r="F14" s="9"/>
      <c r="G14" s="10">
        <v>1</v>
      </c>
      <c r="H14" s="10">
        <v>1</v>
      </c>
      <c r="I14" s="11">
        <v>0</v>
      </c>
      <c r="J14" s="12" t="s">
        <v>80</v>
      </c>
    </row>
  </sheetData>
  <sheetProtection algorithmName="SHA-512" hashValue="U/YNYxpdy0jNAbSBOQdacOZSEGYLLGP8tgYkdPJALneTTG8RjOdPhVEpvFsYs8ycTal4t2LpZ4EI3MIdk/gsXQ==" saltValue="xbtIb3G+DMzCWwHDkUR4xA==" spinCount="100000" sheet="1" objects="1" scenarios="1" selectLockedCells="1"/>
  <mergeCells count="2">
    <mergeCell ref="A3:J3"/>
    <mergeCell ref="J4:J8"/>
  </mergeCells>
  <conditionalFormatting sqref="B14">
    <cfRule type="expression" dxfId="48" priority="94">
      <formula>IF(AND($B14&lt;&gt;"",$I14=0),1,0)</formula>
    </cfRule>
    <cfRule type="expression" dxfId="47" priority="95">
      <formula>IF($B14&lt;&gt;"",1,0)</formula>
    </cfRule>
    <cfRule type="expression" dxfId="46" priority="96">
      <formula>$I14=0</formula>
    </cfRule>
  </conditionalFormatting>
  <conditionalFormatting sqref="B10:B11">
    <cfRule type="expression" dxfId="45" priority="1">
      <formula>IF(AND($B10&lt;&gt;"",$I10=0),1,0)</formula>
    </cfRule>
    <cfRule type="expression" dxfId="44" priority="2">
      <formula>IF($B10&lt;&gt;"",1,0)</formula>
    </cfRule>
    <cfRule type="expression" dxfId="43" priority="3">
      <formula>$I10=0</formula>
    </cfRule>
  </conditionalFormatting>
  <conditionalFormatting sqref="B12:B13">
    <cfRule type="expression" dxfId="42" priority="4">
      <formula>IF(AND($B12&lt;&gt;"",$I12=0),1,0)</formula>
    </cfRule>
    <cfRule type="expression" dxfId="41" priority="5">
      <formula>IF($B12&lt;&gt;"",1,0)</formula>
    </cfRule>
    <cfRule type="expression" dxfId="40" priority="6">
      <formula>$I12=0</formula>
    </cfRule>
  </conditionalFormatting>
  <conditionalFormatting sqref="J4">
    <cfRule type="expression" dxfId="39" priority="2253">
      <formula>IF(COUNTA($B$10:$B$14)&lt;&gt;COUNTIF($I$10:$I$14,1),1,0)</formula>
    </cfRule>
    <cfRule type="expression" dxfId="38" priority="2254">
      <formula>IF(COUNTA($B$10:$B$14)=COUNTIF($I$10:$I$14,1),1,0)</formula>
    </cfRule>
  </conditionalFormatting>
  <pageMargins left="0.7" right="0.7" top="0.75" bottom="0.75" header="0.3" footer="0.3"/>
  <pageSetup scale="3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5297" r:id="rId4" name="Button 1">
              <controlPr defaultSize="0" autoFill="0" autoPict="0" macro="[0]!initComs">
                <anchor moveWithCells="1" sizeWithCells="1">
                  <from>
                    <xdr:col>0</xdr:col>
                    <xdr:colOff>190500</xdr:colOff>
                    <xdr:row>4</xdr:row>
                    <xdr:rowOff>76200</xdr:rowOff>
                  </from>
                  <to>
                    <xdr:col>1</xdr:col>
                    <xdr:colOff>1003300</xdr:colOff>
                    <xdr:row>6</xdr:row>
                    <xdr:rowOff>139700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298" r:id="rId5" name="Button 2">
              <controlPr defaultSize="0" autoFill="0" autoPict="0" macro="[0]!pushData">
                <anchor moveWithCells="1" sizeWithCells="1">
                  <from>
                    <xdr:col>1</xdr:col>
                    <xdr:colOff>1104900</xdr:colOff>
                    <xdr:row>4</xdr:row>
                    <xdr:rowOff>76200</xdr:rowOff>
                  </from>
                  <to>
                    <xdr:col>3</xdr:col>
                    <xdr:colOff>0</xdr:colOff>
                    <xdr:row>6</xdr:row>
                    <xdr:rowOff>139700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299" r:id="rId6" name="Button 3">
              <controlPr defaultSize="0" autoFill="0" autoPict="0" macro="[0]!clearData">
                <anchor moveWithCells="1" sizeWithCells="1">
                  <from>
                    <xdr:col>3</xdr:col>
                    <xdr:colOff>114300</xdr:colOff>
                    <xdr:row>4</xdr:row>
                    <xdr:rowOff>76200</xdr:rowOff>
                  </from>
                  <to>
                    <xdr:col>4</xdr:col>
                    <xdr:colOff>381000</xdr:colOff>
                    <xdr:row>6</xdr:row>
                    <xdr:rowOff>139700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243CD99D-8F87-4102-8C84-C0465C13C7E9}">
          <x14:formula1>
            <xm:f>Reference!$B$2:$B$18</xm:f>
          </x14:formula1>
          <xm:sqref>D10:D14</xm:sqref>
        </x14:dataValidation>
        <x14:dataValidation type="list" allowBlank="1" showInputMessage="1" showErrorMessage="1" xr:uid="{CDE410C8-3D51-42A4-9C00-EEB139D8CDB1}">
          <x14:formula1>
            <xm:f>Reference!$A$2:$A$8</xm:f>
          </x14:formula1>
          <xm:sqref>E10:E14</xm:sqref>
        </x14:dataValidation>
        <x14:dataValidation type="list" allowBlank="1" showInputMessage="1" showErrorMessage="1" xr:uid="{A586B925-41D0-41ED-999D-2B4AB827CEF8}">
          <x14:formula1>
            <xm:f>Reference!$C$2:$C$23</xm:f>
          </x14:formula1>
          <xm:sqref>F10:F14</xm:sqref>
        </x14:dataValidation>
      </x14:dataValidation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9DD86E7-A740-EC40-ACD3-CEC24CCC78F1}">
  <sheetPr codeName="Sheet21">
    <tabColor rgb="FF00B050"/>
  </sheetPr>
  <dimension ref="A1:K13"/>
  <sheetViews>
    <sheetView showGridLines="0" topLeftCell="A2" zoomScaleNormal="100" zoomScaleSheetLayoutView="85" workbookViewId="0">
      <pane ySplit="8" topLeftCell="A10" activePane="bottomLeft" state="frozen"/>
      <selection activeCell="C24" sqref="C24"/>
      <selection pane="bottomLeft" activeCell="K2" sqref="K1:P1048576"/>
    </sheetView>
  </sheetViews>
  <sheetFormatPr baseColWidth="10" defaultColWidth="0" defaultRowHeight="14.5" customHeight="1" zeroHeight="1" x14ac:dyDescent="0.2"/>
  <cols>
    <col min="1" max="1" width="17" style="3" bestFit="1" customWidth="1"/>
    <col min="2" max="2" width="22.1640625" style="34" customWidth="1"/>
    <col min="3" max="3" width="20" style="3" customWidth="1"/>
    <col min="4" max="4" width="24.1640625" style="3" customWidth="1"/>
    <col min="5" max="5" width="17.33203125" style="3" customWidth="1"/>
    <col min="6" max="6" width="13.1640625" style="3" hidden="1" customWidth="1"/>
    <col min="7" max="9" width="15" style="3" hidden="1" customWidth="1"/>
    <col min="10" max="10" width="57.5" style="3" customWidth="1"/>
    <col min="11" max="11" width="0" style="3" hidden="1" customWidth="1"/>
    <col min="12" max="16384" width="8.83203125" style="3" hidden="1"/>
  </cols>
  <sheetData>
    <row r="1" spans="1:10" ht="15" hidden="1" x14ac:dyDescent="0.2">
      <c r="A1" s="24"/>
      <c r="B1" s="24"/>
      <c r="C1" s="24"/>
      <c r="D1" s="24"/>
      <c r="E1" s="24"/>
      <c r="F1" s="24"/>
      <c r="G1" s="24"/>
      <c r="H1" s="24"/>
      <c r="I1" s="24"/>
      <c r="J1" s="24"/>
    </row>
    <row r="2" spans="1:10" ht="15" x14ac:dyDescent="0.2">
      <c r="A2" s="25" t="str">
        <f>'Revision History'!$D$4</f>
        <v>REV. NO.2 (9/14/2022)</v>
      </c>
      <c r="B2" s="26"/>
      <c r="C2" s="26"/>
      <c r="D2" s="26"/>
      <c r="E2" s="26"/>
      <c r="F2" s="26"/>
      <c r="G2" s="26"/>
      <c r="H2" s="26"/>
      <c r="I2" s="26"/>
      <c r="J2" s="27" t="str">
        <f>'Revision History'!$J$4</f>
        <v>Scott Research Group (jkscottresearchgroup.com)</v>
      </c>
    </row>
    <row r="3" spans="1:10" ht="19" x14ac:dyDescent="0.2">
      <c r="A3" s="53" t="s">
        <v>32</v>
      </c>
      <c r="B3" s="54"/>
      <c r="C3" s="54"/>
      <c r="D3" s="54"/>
      <c r="E3" s="54"/>
      <c r="F3" s="54"/>
      <c r="G3" s="54"/>
      <c r="H3" s="54"/>
      <c r="I3" s="54"/>
      <c r="J3" s="55"/>
    </row>
    <row r="4" spans="1:10" ht="14.5" customHeight="1" x14ac:dyDescent="0.2">
      <c r="A4" s="13"/>
      <c r="B4" s="14"/>
      <c r="C4" s="15"/>
      <c r="D4" s="16"/>
      <c r="E4" s="16"/>
      <c r="F4" s="16"/>
      <c r="G4" s="16"/>
      <c r="H4" s="16"/>
      <c r="I4" s="16"/>
      <c r="J4" s="56" t="str">
        <f>IF(COUNTIF(Table11024124[Test 3],1)=COUNTA(Table11024124[Value]),"Ready","Not Ready")</f>
        <v>Ready</v>
      </c>
    </row>
    <row r="5" spans="1:10" ht="14.5" customHeight="1" x14ac:dyDescent="0.2">
      <c r="A5" s="17"/>
      <c r="B5" s="18"/>
      <c r="C5" s="37"/>
      <c r="D5" s="37"/>
      <c r="E5" s="37"/>
      <c r="F5" s="37"/>
      <c r="G5" s="19"/>
      <c r="H5" s="37"/>
      <c r="I5" s="37"/>
      <c r="J5" s="57"/>
    </row>
    <row r="6" spans="1:10" ht="14.5" customHeight="1" x14ac:dyDescent="0.2">
      <c r="A6" s="17"/>
      <c r="B6" s="18"/>
      <c r="C6" s="37"/>
      <c r="D6" s="37"/>
      <c r="E6" s="37"/>
      <c r="F6" s="37"/>
      <c r="G6" s="19"/>
      <c r="H6" s="37"/>
      <c r="I6" s="37"/>
      <c r="J6" s="57"/>
    </row>
    <row r="7" spans="1:10" ht="14.5" customHeight="1" x14ac:dyDescent="0.2">
      <c r="A7" s="17"/>
      <c r="B7" s="18"/>
      <c r="C7" s="37"/>
      <c r="D7" s="37"/>
      <c r="E7" s="37"/>
      <c r="F7" s="37"/>
      <c r="G7" s="19"/>
      <c r="H7" s="37"/>
      <c r="I7" s="37"/>
      <c r="J7" s="57"/>
    </row>
    <row r="8" spans="1:10" ht="14.5" customHeight="1" x14ac:dyDescent="0.2">
      <c r="A8" s="20"/>
      <c r="B8" s="21"/>
      <c r="C8" s="22"/>
      <c r="D8" s="22"/>
      <c r="E8" s="22"/>
      <c r="F8" s="22"/>
      <c r="G8" s="23"/>
      <c r="H8" s="22"/>
      <c r="I8" s="22"/>
      <c r="J8" s="58"/>
    </row>
    <row r="9" spans="1:10" ht="16" x14ac:dyDescent="0.2">
      <c r="A9" s="28" t="s">
        <v>0</v>
      </c>
      <c r="B9" s="29" t="s">
        <v>1</v>
      </c>
      <c r="C9" s="29" t="s">
        <v>2</v>
      </c>
      <c r="D9" s="29" t="s">
        <v>14</v>
      </c>
      <c r="E9" s="29" t="s">
        <v>65</v>
      </c>
      <c r="F9" s="30" t="s">
        <v>41</v>
      </c>
      <c r="G9" s="30" t="s">
        <v>66</v>
      </c>
      <c r="H9" s="29" t="s">
        <v>67</v>
      </c>
      <c r="I9" s="31" t="s">
        <v>75</v>
      </c>
      <c r="J9" s="31" t="s">
        <v>12</v>
      </c>
    </row>
    <row r="10" spans="1:10" ht="16" x14ac:dyDescent="0.2">
      <c r="A10" s="38" t="s">
        <v>130</v>
      </c>
      <c r="B10" s="32">
        <v>3.0856050000000002</v>
      </c>
      <c r="C10" s="35" t="s">
        <v>20</v>
      </c>
      <c r="D10" s="1" t="s">
        <v>17</v>
      </c>
      <c r="E10" s="1" t="s">
        <v>7</v>
      </c>
      <c r="F10" s="2" t="s">
        <v>42</v>
      </c>
      <c r="G10" s="1">
        <v>1</v>
      </c>
      <c r="H10" s="1">
        <v>1</v>
      </c>
      <c r="I10" s="6">
        <f>[1]Initialization!$C$15</f>
        <v>1</v>
      </c>
      <c r="J10" s="5" t="s">
        <v>131</v>
      </c>
    </row>
    <row r="11" spans="1:10" ht="16" x14ac:dyDescent="0.2">
      <c r="A11" s="38" t="s">
        <v>129</v>
      </c>
      <c r="B11" s="32">
        <v>3.1</v>
      </c>
      <c r="C11" s="35" t="s">
        <v>20</v>
      </c>
      <c r="D11" s="1" t="s">
        <v>17</v>
      </c>
      <c r="E11" s="1" t="s">
        <v>7</v>
      </c>
      <c r="F11" s="2" t="s">
        <v>42</v>
      </c>
      <c r="G11" s="1">
        <v>1</v>
      </c>
      <c r="H11" s="1">
        <v>1</v>
      </c>
      <c r="I11" s="6">
        <f>[1]Initialization!$C$15</f>
        <v>1</v>
      </c>
      <c r="J11" s="5" t="s">
        <v>132</v>
      </c>
    </row>
    <row r="12" spans="1:10" ht="32" x14ac:dyDescent="0.2">
      <c r="A12" s="38" t="s">
        <v>128</v>
      </c>
      <c r="B12" s="51">
        <v>5.0699999999999997E-6</v>
      </c>
      <c r="C12" s="35" t="s">
        <v>134</v>
      </c>
      <c r="D12" s="1" t="s">
        <v>17</v>
      </c>
      <c r="E12" s="1" t="s">
        <v>7</v>
      </c>
      <c r="F12" s="2" t="s">
        <v>42</v>
      </c>
      <c r="G12" s="1">
        <v>1</v>
      </c>
      <c r="H12" s="1">
        <v>1</v>
      </c>
      <c r="I12" s="6">
        <f>[1]Initialization!$C$15</f>
        <v>1</v>
      </c>
      <c r="J12" s="5" t="s">
        <v>133</v>
      </c>
    </row>
    <row r="13" spans="1:10" ht="16" x14ac:dyDescent="0.2">
      <c r="A13" s="8" t="s">
        <v>79</v>
      </c>
      <c r="B13" s="33"/>
      <c r="C13" s="9"/>
      <c r="D13" s="10"/>
      <c r="E13" s="10"/>
      <c r="F13" s="9"/>
      <c r="G13" s="10">
        <v>1</v>
      </c>
      <c r="H13" s="10">
        <v>1</v>
      </c>
      <c r="I13" s="11">
        <v>0</v>
      </c>
      <c r="J13" s="12" t="s">
        <v>80</v>
      </c>
    </row>
  </sheetData>
  <sheetProtection algorithmName="SHA-512" hashValue="9KCgVih1pigqkeyFkmZjqFuKB+gk6UY2cbX4qhxpcbyS3dtuB9N+3gl85uv5NoWPOSiPPTeOWRJ5tfwwDT2z5g==" saltValue="XkPCiK6uus0PsnPFoXw0JQ==" spinCount="100000" sheet="1" objects="1" scenarios="1" selectLockedCells="1"/>
  <mergeCells count="2">
    <mergeCell ref="A3:J3"/>
    <mergeCell ref="J4:J8"/>
  </mergeCells>
  <conditionalFormatting sqref="B12:B13">
    <cfRule type="expression" dxfId="22" priority="7">
      <formula>IF(AND($B12&lt;&gt;"",$I12=0),1,0)</formula>
    </cfRule>
    <cfRule type="expression" dxfId="21" priority="8">
      <formula>IF($B12&lt;&gt;"",1,0)</formula>
    </cfRule>
    <cfRule type="expression" dxfId="20" priority="9">
      <formula>$I12=0</formula>
    </cfRule>
  </conditionalFormatting>
  <conditionalFormatting sqref="B10:B11">
    <cfRule type="expression" dxfId="19" priority="1">
      <formula>IF(AND($B10&lt;&gt;"",$I10=0),1,0)</formula>
    </cfRule>
    <cfRule type="expression" dxfId="18" priority="2">
      <formula>IF($B10&lt;&gt;"",1,0)</formula>
    </cfRule>
    <cfRule type="expression" dxfId="17" priority="3">
      <formula>$I10=0</formula>
    </cfRule>
  </conditionalFormatting>
  <conditionalFormatting sqref="J4">
    <cfRule type="expression" dxfId="16" priority="2258">
      <formula>IF(COUNTA($B$10:$B$13)&lt;&gt;COUNTIF($I$10:$I$13,1),1,0)</formula>
    </cfRule>
    <cfRule type="expression" dxfId="15" priority="2259">
      <formula>IF(COUNTA($B$10:$B$13)=COUNTIF($I$10:$I$13,1),1,0)</formula>
    </cfRule>
  </conditionalFormatting>
  <pageMargins left="0.7" right="0.7" top="0.75" bottom="0.75" header="0.3" footer="0.3"/>
  <pageSetup scale="3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5537" r:id="rId4" name="Button 1">
              <controlPr defaultSize="0" autoFill="0" autoPict="0" macro="[0]!initComs">
                <anchor moveWithCells="1" sizeWithCells="1">
                  <from>
                    <xdr:col>0</xdr:col>
                    <xdr:colOff>190500</xdr:colOff>
                    <xdr:row>4</xdr:row>
                    <xdr:rowOff>76200</xdr:rowOff>
                  </from>
                  <to>
                    <xdr:col>1</xdr:col>
                    <xdr:colOff>1003300</xdr:colOff>
                    <xdr:row>6</xdr:row>
                    <xdr:rowOff>139700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538" r:id="rId5" name="Button 2">
              <controlPr defaultSize="0" autoFill="0" autoPict="0" macro="[0]!pushData">
                <anchor moveWithCells="1" sizeWithCells="1">
                  <from>
                    <xdr:col>1</xdr:col>
                    <xdr:colOff>1104900</xdr:colOff>
                    <xdr:row>4</xdr:row>
                    <xdr:rowOff>76200</xdr:rowOff>
                  </from>
                  <to>
                    <xdr:col>3</xdr:col>
                    <xdr:colOff>0</xdr:colOff>
                    <xdr:row>6</xdr:row>
                    <xdr:rowOff>139700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539" r:id="rId6" name="Button 3">
              <controlPr defaultSize="0" autoFill="0" autoPict="0" macro="[0]!clearData">
                <anchor moveWithCells="1" sizeWithCells="1">
                  <from>
                    <xdr:col>3</xdr:col>
                    <xdr:colOff>114300</xdr:colOff>
                    <xdr:row>4</xdr:row>
                    <xdr:rowOff>76200</xdr:rowOff>
                  </from>
                  <to>
                    <xdr:col>4</xdr:col>
                    <xdr:colOff>381000</xdr:colOff>
                    <xdr:row>6</xdr:row>
                    <xdr:rowOff>139700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518A1AF5-0FC2-4348-B5D8-583F6265B6C2}">
          <x14:formula1>
            <xm:f>Reference!$C$2:$C$23</xm:f>
          </x14:formula1>
          <xm:sqref>F10:F13</xm:sqref>
        </x14:dataValidation>
        <x14:dataValidation type="list" allowBlank="1" showInputMessage="1" showErrorMessage="1" xr:uid="{CB1BD7BB-BA70-0446-8F01-70AF46ECDFD9}">
          <x14:formula1>
            <xm:f>Reference!$A$2:$A$8</xm:f>
          </x14:formula1>
          <xm:sqref>E10:E13</xm:sqref>
        </x14:dataValidation>
        <x14:dataValidation type="list" allowBlank="1" showInputMessage="1" showErrorMessage="1" xr:uid="{FAE96949-E98F-E64C-9FFF-083405A71766}">
          <x14:formula1>
            <xm:f>Reference!$B$2:$B$18</xm:f>
          </x14:formula1>
          <xm:sqref>D10:D13</xm:sqref>
        </x14:dataValidation>
      </x14:dataValidation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98319B7-1967-46D0-8D87-4BC407B474B1}">
  <sheetPr codeName="Sheet16"/>
  <dimension ref="A1:A3"/>
  <sheetViews>
    <sheetView workbookViewId="0">
      <selection activeCell="A2" sqref="A2"/>
    </sheetView>
  </sheetViews>
  <sheetFormatPr baseColWidth="10" defaultColWidth="8.83203125" defaultRowHeight="15" x14ac:dyDescent="0.2"/>
  <sheetData>
    <row r="1" spans="1:1" x14ac:dyDescent="0.2">
      <c r="A1" t="s">
        <v>89</v>
      </c>
    </row>
    <row r="2" spans="1:1" x14ac:dyDescent="0.2">
      <c r="A2" t="s">
        <v>87</v>
      </c>
    </row>
    <row r="3" spans="1:1" x14ac:dyDescent="0.2">
      <c r="A3" t="s">
        <v>88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3FE79A7-74DB-4D85-8B2D-0532AFDE8723}">
  <sheetPr codeName="Sheet3">
    <tabColor rgb="FFFFC000"/>
  </sheetPr>
  <dimension ref="A1:Q2"/>
  <sheetViews>
    <sheetView workbookViewId="0">
      <selection activeCell="CM2" sqref="CM2"/>
    </sheetView>
  </sheetViews>
  <sheetFormatPr baseColWidth="10" defaultColWidth="8.83203125" defaultRowHeight="15" x14ac:dyDescent="0.2"/>
  <sheetData>
    <row r="1" spans="1:17" x14ac:dyDescent="0.2">
      <c r="A1" t="s">
        <v>103</v>
      </c>
      <c r="B1" t="s">
        <v>117</v>
      </c>
      <c r="C1" t="s">
        <v>118</v>
      </c>
      <c r="D1" t="s">
        <v>79</v>
      </c>
      <c r="E1" t="s">
        <v>119</v>
      </c>
      <c r="F1" t="s">
        <v>120</v>
      </c>
      <c r="G1" t="s">
        <v>121</v>
      </c>
      <c r="H1" t="s">
        <v>79</v>
      </c>
      <c r="I1" t="s">
        <v>122</v>
      </c>
      <c r="J1" t="s">
        <v>123</v>
      </c>
      <c r="K1" t="s">
        <v>124</v>
      </c>
      <c r="L1" t="s">
        <v>125</v>
      </c>
      <c r="M1" t="s">
        <v>79</v>
      </c>
      <c r="N1" t="s">
        <v>130</v>
      </c>
      <c r="O1" t="s">
        <v>129</v>
      </c>
      <c r="P1" t="s">
        <v>128</v>
      </c>
      <c r="Q1" t="s">
        <v>79</v>
      </c>
    </row>
    <row r="2" spans="1:17" x14ac:dyDescent="0.2">
      <c r="A2">
        <v>4</v>
      </c>
      <c r="B2">
        <v>318.14999999999998</v>
      </c>
      <c r="C2">
        <v>2.9313248941656633</v>
      </c>
      <c r="E2">
        <v>20</v>
      </c>
      <c r="F2">
        <v>20.5</v>
      </c>
      <c r="G2">
        <v>33.800769771555913</v>
      </c>
      <c r="I2">
        <v>10</v>
      </c>
      <c r="J2">
        <v>12</v>
      </c>
      <c r="K2">
        <v>7.8300000000000002E-3</v>
      </c>
      <c r="L2">
        <v>502.32</v>
      </c>
      <c r="N2">
        <v>3.0856050000000002</v>
      </c>
      <c r="O2">
        <v>3.1</v>
      </c>
      <c r="P2">
        <v>5.0699999999999997E-6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C238338-8DBA-460B-B2BA-61B74F5844E1}">
  <sheetPr codeName="Sheet9">
    <tabColor rgb="FFFFC000"/>
  </sheetPr>
  <dimension ref="A1:Q2"/>
  <sheetViews>
    <sheetView workbookViewId="0">
      <selection activeCell="CR2" sqref="CR2"/>
    </sheetView>
  </sheetViews>
  <sheetFormatPr baseColWidth="10" defaultColWidth="8.83203125" defaultRowHeight="15" x14ac:dyDescent="0.2"/>
  <sheetData>
    <row r="1" spans="1:17" x14ac:dyDescent="0.2">
      <c r="A1" t="s">
        <v>103</v>
      </c>
      <c r="B1" t="s">
        <v>117</v>
      </c>
      <c r="C1" t="s">
        <v>118</v>
      </c>
      <c r="D1" t="s">
        <v>79</v>
      </c>
      <c r="E1" t="s">
        <v>119</v>
      </c>
      <c r="F1" t="s">
        <v>120</v>
      </c>
      <c r="G1" t="s">
        <v>121</v>
      </c>
      <c r="H1" t="s">
        <v>79</v>
      </c>
      <c r="I1" t="s">
        <v>122</v>
      </c>
      <c r="J1" t="s">
        <v>123</v>
      </c>
      <c r="K1" t="s">
        <v>124</v>
      </c>
      <c r="L1" t="s">
        <v>125</v>
      </c>
      <c r="M1" t="s">
        <v>79</v>
      </c>
      <c r="N1" t="s">
        <v>130</v>
      </c>
      <c r="O1" t="s">
        <v>129</v>
      </c>
      <c r="P1" t="s">
        <v>128</v>
      </c>
      <c r="Q1" t="s">
        <v>79</v>
      </c>
    </row>
    <row r="2" spans="1:17" x14ac:dyDescent="0.2">
      <c r="A2">
        <v>1</v>
      </c>
      <c r="B2">
        <v>1</v>
      </c>
      <c r="C2">
        <v>1</v>
      </c>
      <c r="D2">
        <v>0</v>
      </c>
      <c r="E2">
        <v>1</v>
      </c>
      <c r="F2">
        <v>1</v>
      </c>
      <c r="G2">
        <v>1</v>
      </c>
      <c r="H2">
        <v>0</v>
      </c>
      <c r="I2">
        <v>1</v>
      </c>
      <c r="J2">
        <v>1</v>
      </c>
      <c r="K2">
        <v>1</v>
      </c>
      <c r="L2">
        <v>1</v>
      </c>
      <c r="M2">
        <v>0</v>
      </c>
      <c r="N2">
        <v>1</v>
      </c>
      <c r="O2">
        <v>1</v>
      </c>
      <c r="P2">
        <v>1</v>
      </c>
      <c r="Q2">
        <v>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4" baseType="variant">
      <vt:variant>
        <vt:lpstr>Worksheets</vt:lpstr>
      </vt:variant>
      <vt:variant>
        <vt:i4>9</vt:i4>
      </vt:variant>
      <vt:variant>
        <vt:lpstr>Named Ranges</vt:lpstr>
      </vt:variant>
      <vt:variant>
        <vt:i4>5</vt:i4>
      </vt:variant>
    </vt:vector>
  </HeadingPairs>
  <TitlesOfParts>
    <vt:vector size="14" baseType="lpstr">
      <vt:lpstr>Reference</vt:lpstr>
      <vt:lpstr>Revision History</vt:lpstr>
      <vt:lpstr>Initialization</vt:lpstr>
      <vt:lpstr>Geometry</vt:lpstr>
      <vt:lpstr>Physical Properties</vt:lpstr>
      <vt:lpstr>Control</vt:lpstr>
      <vt:lpstr>maintenance check list</vt:lpstr>
      <vt:lpstr>Data(Transposed)</vt:lpstr>
      <vt:lpstr>Data(Test)</vt:lpstr>
      <vt:lpstr>Control!Print_Area</vt:lpstr>
      <vt:lpstr>Geometry!Print_Area</vt:lpstr>
      <vt:lpstr>Initialization!Print_Area</vt:lpstr>
      <vt:lpstr>'Physical Properties'!Print_Area</vt:lpstr>
      <vt:lpstr>'Revision History'!Print_Area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Kim, Taehun</dc:creator>
  <cp:lastModifiedBy>Microsoft Office User</cp:lastModifiedBy>
  <cp:lastPrinted>2020-11-27T00:08:43Z</cp:lastPrinted>
  <dcterms:created xsi:type="dcterms:W3CDTF">2020-11-24T18:36:54Z</dcterms:created>
  <dcterms:modified xsi:type="dcterms:W3CDTF">2022-09-14T02:31:43Z</dcterms:modified>
</cp:coreProperties>
</file>