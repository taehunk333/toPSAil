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D7C77CE4-FA41-0747-8081-A833A2E06C87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Plotting" sheetId="41" r:id="rId2"/>
    <sheet name="Help" sheetId="39" r:id="rId3"/>
    <sheet name="Reference" sheetId="2" state="hidden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</externalReferences>
  <definedNames>
    <definedName name="_xlnm._FilterDatabase" localSheetId="1" hidden="1">Plotting!$B$9:$K$25</definedName>
    <definedName name="_xlnm.Print_Area" localSheetId="1">Plotting!$B$2:$K$25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1" l="1"/>
  <c r="K2" i="41"/>
  <c r="B2" i="41"/>
  <c r="Q1" i="39" l="1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H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<sst xmlns="http://schemas.openxmlformats.org/spreadsheetml/2006/main" count="252" uniqueCount="136">
  <si>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</si>
  <si>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</si>
  <si>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</si>
  <si>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</si>
  <si>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</si>
  <si>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</si>
  <si>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</si>
  <si>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</si>
  <si>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</si>
  <si>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</si>
  <si>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</si>
  <si>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</si>
  <si>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</si>
  <si>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</si>
  <si>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</si>
  <si>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</si>
  <si>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</si>
  <si>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</si>
  <si>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</si>
  <si>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</si>
  <si>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</si>
  <si>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</si>
  <si>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</si>
  <si>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</si>
  <si>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</si>
  <si>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</si>
  <si>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</si>
  <si>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</si>
  <si>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</si>
  <si>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</si>
  <si>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</si>
  <si>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</si>
  <si>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</si>
  <si>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</si>
  <si>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</si>
  <si>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</si>
  <si>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</si>
  <si>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</si>
  <si>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</si>
  <si>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</si>
  <si>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</si>
  <si>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</si>
  <si>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</si>
  <si>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</si>
  <si>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</si>
  <si>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</si>
  <si>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</si>
  <si>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</si>
  <si>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</si>
  <si>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</si>
  <si>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</si>
  <si>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</si>
  <si>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</si>
  <si>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</si>
  <si>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</si>
  <si>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</si>
  <si>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</si>
  <si>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</si>
  <si>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</si>
  <si>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</si>
  <si>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</si>
  <si>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</si>
  <si>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</si>
  <si>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</si>
  <si>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</si>
  <si>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</si>
  <si>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</si>
  <si>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</si>
  <si>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</si>
  <si>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</si>
  <si>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</si>
  <si>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</si>
  <si>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</si>
  <si>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</si>
  <si>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</si>
  <si>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</si>
  <si>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</si>
  <si>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</si>
  <si>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</si>
  <si>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</si>
  <si>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</si>
  <si>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</si>
  <si>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</si>
  <si>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</si>
  <si>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</si>
  <si>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</si>
  <si>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</si>
  <si>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</si>
  <si>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</si>
  <si>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</si>
  <si>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</si>
  <si>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</si>
  <si>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</si>
  <si>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</si>
  <si>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</si>
  <si>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</si>
  <si>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</si>
  <si>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</si>
  <si>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</si>
  <si>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</si>
  <si>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</si>
  <si>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</si>
  <si>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</si>
  <si>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</si>
  <si>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</si>
  <si>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</si>
  <si>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TBD</t>
  </si>
  <si>
    <t>Information on Simulation Outputs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</si>
  <si>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</si>
  <si>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</si>
  <si>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</si>
  <si>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</si>
  <si>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</si>
  <si>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</si>
  <si>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</si>
  <si>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</si>
  <si>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</si>
  <si>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</si>
  <si>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</si>
  <si>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</si>
  <si>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</si>
  <si>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</si>
  <si>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</si>
  <si>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</si>
  <si>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</si>
  <si>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</si>
  <si>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</si>
  <si>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</si>
  <si>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</si>
  <si>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</si>
  <si>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</si>
  <si>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</si>
  <si>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plot13</t>
  </si>
  <si>
    <t>DO NOT SPECIFY: RESERVED FOR FURTHER DEVELOPMENT</t>
  </si>
  <si>
    <t>plot14</t>
  </si>
  <si>
    <t>plot15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</si>
</sst>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80683</xdr:colOff>
      <xdr:row>4</xdr:row>
      <xdr:rowOff>0</xdr:rowOff>
    </xdr:from>
    <xdr:to>
      <xdr:col>5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B9:K25" totalsRowShown="0" headerRowDxfId="14" dataDxfId="12" headerRowBorderDxfId="13" tableBorderDxfId="11" totalsRowBorderDxfId="10">
  <autoFilter ref="B9:K25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83F5D399-4214-4728-8F26-41CC4D7ADDF3}">
    <text>place 1 if we want to keep the row when re-initializing. Otherwise, leave it as a blank.</text>
  </threadedComment>
  <threadedComment ref="I9" dT="2020-11-26T18:35:03.27" personId="{7F98AE94-13FB-49E1-9262-339C11E0EDB4}" id="{5E02F931-9F8D-49DB-A66F-2C4834CF33C5}">
    <text>supply a value greater than 1 if you want to duplicate the row</text>
  </threadedComment>
  <threadedComment ref="J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J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7" sqref="E7:G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7" t="s">
        <v>104</v>
      </c>
      <c r="E4" s="48"/>
      <c r="F4" s="49"/>
      <c r="G4" s="50"/>
      <c r="H4" s="50"/>
      <c r="I4" s="50"/>
      <c r="J4" s="39" t="s">
        <v>82</v>
      </c>
    </row>
    <row r="5" spans="4:10" ht="40" x14ac:dyDescent="0.2">
      <c r="D5" s="62" t="s">
        <v>36</v>
      </c>
      <c r="E5" s="62"/>
      <c r="F5" s="62"/>
      <c r="G5" s="62"/>
      <c r="H5" s="62"/>
      <c r="I5" s="62"/>
      <c r="J5" s="62"/>
    </row>
    <row r="6" spans="4:10" ht="20" x14ac:dyDescent="0.2">
      <c r="D6" s="46" t="s">
        <v>30</v>
      </c>
      <c r="E6" s="46" t="s">
        <v>103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40" x14ac:dyDescent="0.2">
      <c r="D7" s="40">
        <v>1</v>
      </c>
      <c r="E7" s="51" t="s">
        <v>105</v>
      </c>
      <c r="F7" s="52">
        <v>44720</v>
      </c>
      <c r="G7" s="53" t="s">
        <v>37</v>
      </c>
      <c r="H7" s="40"/>
      <c r="I7" s="40"/>
      <c r="J7" s="41"/>
    </row>
    <row r="8" spans="4:10" ht="19" x14ac:dyDescent="0.2">
      <c r="D8" s="40">
        <v>2</v>
      </c>
      <c r="E8" s="41"/>
      <c r="F8" s="42"/>
      <c r="G8" s="40"/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5"/>
  <sheetViews>
    <sheetView showGridLines="0" tabSelected="1" topLeftCell="B2" zoomScale="85" zoomScaleNormal="85" zoomScaleSheetLayoutView="70" workbookViewId="0">
      <pane ySplit="8" topLeftCell="A10" activePane="bottomLeft" state="frozen"/>
      <selection activeCell="B2" sqref="B2"/>
      <selection pane="bottomLeft" activeCell="C22" sqref="C22:C2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2" spans="1:11" ht="15" x14ac:dyDescent="0.2">
      <c r="B2" s="27" t="str">
        <f>'Revision History'!$D$4</f>
        <v>REV. NO.1 (6/8/2022)</v>
      </c>
      <c r="C2" s="28"/>
      <c r="D2" s="28"/>
      <c r="E2" s="28"/>
      <c r="F2" s="28"/>
      <c r="G2" s="28"/>
      <c r="H2" s="28"/>
      <c r="I2" s="28"/>
      <c r="J2" s="28"/>
      <c r="K2" s="29" t="str">
        <f>'Revision History'!$J$4</f>
        <v>Scott Research Group (jkscottresearchgroup.com)</v>
      </c>
    </row>
    <row r="3" spans="1:11" ht="19" x14ac:dyDescent="0.2">
      <c r="B3" s="63" t="s">
        <v>29</v>
      </c>
      <c r="C3" s="63"/>
      <c r="D3" s="63"/>
      <c r="E3" s="63"/>
      <c r="F3" s="63"/>
      <c r="G3" s="63"/>
      <c r="H3" s="63"/>
      <c r="I3" s="63"/>
      <c r="J3" s="63"/>
      <c r="K3" s="63"/>
    </row>
    <row r="4" spans="1:11" s="24" customFormat="1" ht="14.5" customHeight="1" x14ac:dyDescent="0.2">
      <c r="A4" s="3"/>
      <c r="B4" s="13"/>
      <c r="C4" s="14"/>
      <c r="D4" s="15"/>
      <c r="E4" s="16"/>
      <c r="F4" s="16"/>
      <c r="G4" s="16"/>
      <c r="H4" s="16"/>
      <c r="I4" s="16"/>
      <c r="J4" s="16"/>
      <c r="K4" s="64" t="str">
        <f>IF(COUNTIF(Table162[Test 3],1)=COUNTA(Table162[Value]),"Ready","Not Ready")</f>
        <v>Ready</v>
      </c>
    </row>
    <row r="5" spans="1:11" s="25" customFormat="1" ht="14.5" customHeight="1" x14ac:dyDescent="0.2">
      <c r="A5" s="3"/>
      <c r="B5" s="17"/>
      <c r="C5" s="18"/>
      <c r="D5" s="45"/>
      <c r="E5" s="45"/>
      <c r="F5" s="45"/>
      <c r="G5" s="45"/>
      <c r="H5" s="19"/>
      <c r="I5" s="45"/>
      <c r="J5" s="45"/>
      <c r="K5" s="65"/>
    </row>
    <row r="6" spans="1:11" s="25" customFormat="1" ht="14.5" customHeight="1" x14ac:dyDescent="0.2">
      <c r="A6" s="3"/>
      <c r="B6" s="17"/>
      <c r="C6" s="18"/>
      <c r="D6" s="45"/>
      <c r="E6" s="45"/>
      <c r="F6" s="45"/>
      <c r="G6" s="45"/>
      <c r="H6" s="19"/>
      <c r="I6" s="45"/>
      <c r="J6" s="45"/>
      <c r="K6" s="65"/>
    </row>
    <row r="7" spans="1:11" s="25" customFormat="1" ht="14.5" customHeight="1" x14ac:dyDescent="0.2">
      <c r="A7" s="3"/>
      <c r="B7" s="17"/>
      <c r="C7" s="18"/>
      <c r="D7" s="45"/>
      <c r="E7" s="45"/>
      <c r="F7" s="45"/>
      <c r="G7" s="45"/>
      <c r="H7" s="19"/>
      <c r="I7" s="45"/>
      <c r="J7" s="45"/>
      <c r="K7" s="65"/>
    </row>
    <row r="8" spans="1:11" s="26" customFormat="1" ht="14.5" customHeight="1" x14ac:dyDescent="0.2">
      <c r="A8" s="3"/>
      <c r="B8" s="20"/>
      <c r="C8" s="21"/>
      <c r="D8" s="22"/>
      <c r="E8" s="22"/>
      <c r="F8" s="22"/>
      <c r="G8" s="22"/>
      <c r="H8" s="23"/>
      <c r="I8" s="22"/>
      <c r="J8" s="22"/>
      <c r="K8" s="66"/>
    </row>
    <row r="9" spans="1:11" ht="16" x14ac:dyDescent="0.2">
      <c r="B9" s="30" t="s">
        <v>0</v>
      </c>
      <c r="C9" s="31" t="s">
        <v>1</v>
      </c>
      <c r="D9" s="31" t="s">
        <v>2</v>
      </c>
      <c r="E9" s="31" t="s">
        <v>14</v>
      </c>
      <c r="F9" s="31" t="s">
        <v>62</v>
      </c>
      <c r="G9" s="32" t="s">
        <v>38</v>
      </c>
      <c r="H9" s="32" t="s">
        <v>63</v>
      </c>
      <c r="I9" s="31" t="s">
        <v>64</v>
      </c>
      <c r="J9" s="33" t="s">
        <v>71</v>
      </c>
      <c r="K9" s="33" t="s">
        <v>12</v>
      </c>
    </row>
    <row r="10" spans="1:11" ht="48" x14ac:dyDescent="0.2">
      <c r="B10" s="4" t="s">
        <v>108</v>
      </c>
      <c r="C10" s="34">
        <v>1</v>
      </c>
      <c r="D10" s="2" t="s">
        <v>3</v>
      </c>
      <c r="E10" s="44" t="s">
        <v>57</v>
      </c>
      <c r="F10" s="44" t="s">
        <v>6</v>
      </c>
      <c r="G10" s="2" t="s">
        <v>39</v>
      </c>
      <c r="H10" s="44">
        <v>1</v>
      </c>
      <c r="I10" s="44">
        <v>1</v>
      </c>
      <c r="J10" s="6">
        <v>1</v>
      </c>
      <c r="K10" s="5" t="s">
        <v>109</v>
      </c>
    </row>
    <row r="11" spans="1:11" ht="48" x14ac:dyDescent="0.2">
      <c r="B11" s="60" t="s">
        <v>110</v>
      </c>
      <c r="C11" s="34">
        <v>1</v>
      </c>
      <c r="D11" s="61" t="s">
        <v>3</v>
      </c>
      <c r="E11" s="44" t="s">
        <v>57</v>
      </c>
      <c r="F11" s="44" t="s">
        <v>6</v>
      </c>
      <c r="G11" s="2" t="s">
        <v>39</v>
      </c>
      <c r="H11" s="44">
        <v>1</v>
      </c>
      <c r="I11" s="44">
        <v>1</v>
      </c>
      <c r="J11" s="6">
        <v>1</v>
      </c>
      <c r="K11" s="5" t="s">
        <v>111</v>
      </c>
    </row>
    <row r="12" spans="1:11" ht="64" x14ac:dyDescent="0.2">
      <c r="B12" s="60" t="s">
        <v>112</v>
      </c>
      <c r="C12" s="34">
        <v>1</v>
      </c>
      <c r="D12" s="61" t="s">
        <v>3</v>
      </c>
      <c r="E12" s="44" t="s">
        <v>57</v>
      </c>
      <c r="F12" s="44" t="s">
        <v>6</v>
      </c>
      <c r="G12" s="2" t="s">
        <v>39</v>
      </c>
      <c r="H12" s="44">
        <v>1</v>
      </c>
      <c r="I12" s="44">
        <v>1</v>
      </c>
      <c r="J12" s="6">
        <v>1</v>
      </c>
      <c r="K12" s="5" t="s">
        <v>113</v>
      </c>
    </row>
    <row r="13" spans="1:11" ht="64" x14ac:dyDescent="0.2">
      <c r="B13" s="60" t="s">
        <v>114</v>
      </c>
      <c r="C13" s="34">
        <v>1</v>
      </c>
      <c r="D13" s="61" t="s">
        <v>3</v>
      </c>
      <c r="E13" s="44" t="s">
        <v>57</v>
      </c>
      <c r="F13" s="44" t="s">
        <v>6</v>
      </c>
      <c r="G13" s="2" t="s">
        <v>39</v>
      </c>
      <c r="H13" s="44">
        <v>1</v>
      </c>
      <c r="I13" s="44">
        <v>1</v>
      </c>
      <c r="J13" s="6">
        <v>1</v>
      </c>
      <c r="K13" s="5" t="s">
        <v>115</v>
      </c>
    </row>
    <row r="14" spans="1:11" ht="64" x14ac:dyDescent="0.2">
      <c r="B14" s="60" t="s">
        <v>116</v>
      </c>
      <c r="C14" s="34">
        <v>1</v>
      </c>
      <c r="D14" s="61" t="s">
        <v>3</v>
      </c>
      <c r="E14" s="44" t="s">
        <v>57</v>
      </c>
      <c r="F14" s="44" t="s">
        <v>6</v>
      </c>
      <c r="G14" s="2" t="s">
        <v>39</v>
      </c>
      <c r="H14" s="44">
        <v>1</v>
      </c>
      <c r="I14" s="44">
        <v>1</v>
      </c>
      <c r="J14" s="6">
        <v>1</v>
      </c>
      <c r="K14" s="5" t="s">
        <v>117</v>
      </c>
    </row>
    <row r="15" spans="1:11" ht="48" x14ac:dyDescent="0.2">
      <c r="B15" s="60" t="s">
        <v>118</v>
      </c>
      <c r="C15" s="34">
        <v>1</v>
      </c>
      <c r="D15" s="61" t="s">
        <v>3</v>
      </c>
      <c r="E15" s="44" t="s">
        <v>57</v>
      </c>
      <c r="F15" s="44" t="s">
        <v>6</v>
      </c>
      <c r="G15" s="2" t="s">
        <v>39</v>
      </c>
      <c r="H15" s="44">
        <v>1</v>
      </c>
      <c r="I15" s="44">
        <v>1</v>
      </c>
      <c r="J15" s="6">
        <v>1</v>
      </c>
      <c r="K15" s="5" t="s">
        <v>119</v>
      </c>
    </row>
    <row r="16" spans="1:11" ht="48" x14ac:dyDescent="0.2">
      <c r="B16" s="60" t="s">
        <v>120</v>
      </c>
      <c r="C16" s="34">
        <v>1</v>
      </c>
      <c r="D16" s="61" t="s">
        <v>3</v>
      </c>
      <c r="E16" s="44" t="s">
        <v>57</v>
      </c>
      <c r="F16" s="44" t="s">
        <v>6</v>
      </c>
      <c r="G16" s="2" t="s">
        <v>39</v>
      </c>
      <c r="H16" s="44">
        <v>1</v>
      </c>
      <c r="I16" s="44">
        <v>1</v>
      </c>
      <c r="J16" s="6">
        <v>1</v>
      </c>
      <c r="K16" s="5" t="s">
        <v>121</v>
      </c>
    </row>
    <row r="17" spans="2:11" ht="32" x14ac:dyDescent="0.2">
      <c r="B17" s="60" t="s">
        <v>122</v>
      </c>
      <c r="C17" s="34">
        <v>1</v>
      </c>
      <c r="D17" s="61" t="s">
        <v>3</v>
      </c>
      <c r="E17" s="44" t="s">
        <v>57</v>
      </c>
      <c r="F17" s="44" t="s">
        <v>6</v>
      </c>
      <c r="G17" s="2" t="s">
        <v>39</v>
      </c>
      <c r="H17" s="44">
        <v>1</v>
      </c>
      <c r="I17" s="44">
        <v>1</v>
      </c>
      <c r="J17" s="6">
        <v>1</v>
      </c>
      <c r="K17" s="5" t="s">
        <v>123</v>
      </c>
    </row>
    <row r="18" spans="2:11" ht="32" x14ac:dyDescent="0.2">
      <c r="B18" s="60" t="s">
        <v>124</v>
      </c>
      <c r="C18" s="34">
        <v>1</v>
      </c>
      <c r="D18" s="61" t="s">
        <v>3</v>
      </c>
      <c r="E18" s="44" t="s">
        <v>57</v>
      </c>
      <c r="F18" s="44" t="s">
        <v>6</v>
      </c>
      <c r="G18" s="2" t="s">
        <v>39</v>
      </c>
      <c r="H18" s="44">
        <v>1</v>
      </c>
      <c r="I18" s="44">
        <v>1</v>
      </c>
      <c r="J18" s="6">
        <v>1</v>
      </c>
      <c r="K18" s="5" t="s">
        <v>125</v>
      </c>
    </row>
    <row r="19" spans="2:11" ht="32" x14ac:dyDescent="0.2">
      <c r="B19" s="60" t="s">
        <v>126</v>
      </c>
      <c r="C19" s="34">
        <v>1</v>
      </c>
      <c r="D19" s="61" t="s">
        <v>3</v>
      </c>
      <c r="E19" s="44" t="s">
        <v>57</v>
      </c>
      <c r="F19" s="44" t="s">
        <v>6</v>
      </c>
      <c r="G19" s="2" t="s">
        <v>39</v>
      </c>
      <c r="H19" s="44">
        <v>1</v>
      </c>
      <c r="I19" s="44">
        <v>1</v>
      </c>
      <c r="J19" s="6">
        <v>1</v>
      </c>
      <c r="K19" s="5" t="s">
        <v>127</v>
      </c>
    </row>
    <row r="20" spans="2:11" ht="32" x14ac:dyDescent="0.2">
      <c r="B20" s="60" t="s">
        <v>128</v>
      </c>
      <c r="C20" s="34">
        <v>1</v>
      </c>
      <c r="D20" s="61" t="s">
        <v>3</v>
      </c>
      <c r="E20" s="44" t="s">
        <v>57</v>
      </c>
      <c r="F20" s="44" t="s">
        <v>6</v>
      </c>
      <c r="G20" s="2" t="s">
        <v>39</v>
      </c>
      <c r="H20" s="44">
        <v>1</v>
      </c>
      <c r="I20" s="44">
        <v>1</v>
      </c>
      <c r="J20" s="6">
        <v>1</v>
      </c>
      <c r="K20" s="5" t="s">
        <v>129</v>
      </c>
    </row>
    <row r="21" spans="2:11" ht="32" x14ac:dyDescent="0.2">
      <c r="B21" s="60" t="s">
        <v>130</v>
      </c>
      <c r="C21" s="34">
        <v>1</v>
      </c>
      <c r="D21" s="61" t="s">
        <v>3</v>
      </c>
      <c r="E21" s="44" t="s">
        <v>57</v>
      </c>
      <c r="F21" s="44" t="s">
        <v>6</v>
      </c>
      <c r="G21" s="2" t="s">
        <v>39</v>
      </c>
      <c r="H21" s="44">
        <v>1</v>
      </c>
      <c r="I21" s="44">
        <v>1</v>
      </c>
      <c r="J21" s="6">
        <v>1</v>
      </c>
      <c r="K21" s="5" t="s">
        <v>131</v>
      </c>
    </row>
    <row r="22" spans="2:11" ht="16" x14ac:dyDescent="0.2">
      <c r="B22" s="60" t="s">
        <v>132</v>
      </c>
      <c r="C22" s="34"/>
      <c r="D22" s="61" t="s">
        <v>3</v>
      </c>
      <c r="E22" s="44" t="s">
        <v>57</v>
      </c>
      <c r="F22" s="44" t="s">
        <v>6</v>
      </c>
      <c r="G22" s="2" t="s">
        <v>39</v>
      </c>
      <c r="H22" s="44">
        <v>1</v>
      </c>
      <c r="I22" s="44">
        <v>1</v>
      </c>
      <c r="J22" s="6">
        <v>0</v>
      </c>
      <c r="K22" s="5" t="s">
        <v>133</v>
      </c>
    </row>
    <row r="23" spans="2:11" ht="16" x14ac:dyDescent="0.2">
      <c r="B23" s="60" t="s">
        <v>134</v>
      </c>
      <c r="C23" s="34"/>
      <c r="D23" s="61" t="s">
        <v>3</v>
      </c>
      <c r="E23" s="44" t="s">
        <v>57</v>
      </c>
      <c r="F23" s="44" t="s">
        <v>6</v>
      </c>
      <c r="G23" s="2" t="s">
        <v>39</v>
      </c>
      <c r="H23" s="44">
        <v>1</v>
      </c>
      <c r="I23" s="44">
        <v>1</v>
      </c>
      <c r="J23" s="6">
        <v>0</v>
      </c>
      <c r="K23" s="5" t="s">
        <v>133</v>
      </c>
    </row>
    <row r="24" spans="2:11" ht="16" x14ac:dyDescent="0.2">
      <c r="B24" s="4" t="s">
        <v>135</v>
      </c>
      <c r="C24" s="34"/>
      <c r="D24" s="2" t="s">
        <v>3</v>
      </c>
      <c r="E24" s="44" t="s">
        <v>57</v>
      </c>
      <c r="F24" s="44" t="s">
        <v>6</v>
      </c>
      <c r="G24" s="2" t="s">
        <v>39</v>
      </c>
      <c r="H24" s="44">
        <v>1</v>
      </c>
      <c r="I24" s="44">
        <v>1</v>
      </c>
      <c r="J24" s="6">
        <v>0</v>
      </c>
      <c r="K24" s="5" t="s">
        <v>133</v>
      </c>
    </row>
    <row r="25" spans="2:11" ht="16" x14ac:dyDescent="0.2">
      <c r="B25" s="8" t="s">
        <v>75</v>
      </c>
      <c r="C25" s="35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76</v>
      </c>
    </row>
  </sheetData>
  <sheetProtection algorithmName="SHA-512" hashValue="V9o8aL6i2WsCGmVtNjk/gDAz5Xm9X6H/M98MaGGWHTiGBFH3sWY9uVkz/9e9eCMpcHAon7pg//oJ2fGEUfd+Sw==" saltValue="2ewpCi/6jGjqPNxoflL9Ww==" spinCount="100000" sheet="1" objects="1" scenarios="1" selectLockedCells="1"/>
  <mergeCells count="2">
    <mergeCell ref="B3:K3"/>
    <mergeCell ref="K4:K8"/>
  </mergeCells>
  <conditionalFormatting sqref="C10:C25">
    <cfRule type="expression" dxfId="19" priority="4">
      <formula>IF(AND($C10&lt;&gt;"",$J10=0),1,0)</formula>
    </cfRule>
    <cfRule type="expression" dxfId="18" priority="5">
      <formula>IF($C10&lt;&gt;"",1,0)</formula>
    </cfRule>
    <cfRule type="expression" dxfId="17" priority="6">
      <formula>$J10=0</formula>
    </cfRule>
  </conditionalFormatting>
  <conditionalFormatting sqref="K4">
    <cfRule type="expression" dxfId="16" priority="34">
      <formula>IF(COUNTA($C$10:$C$25)&lt;&gt;COUNTIF($J$10:$J$25,1),1,0)</formula>
    </cfRule>
    <cfRule type="expression" dxfId="15" priority="35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61A636-84C9-411E-8959-D19C6B8ACE0E}">
          <x14:formula1>
            <xm:f>Reference!$C$2:$C$23</xm:f>
          </x14:formula1>
          <xm:sqref>G10:G25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E10:E25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F10:F25</xm:sqref>
        </x14:dataValidation>
        <x14:dataValidation type="list" allowBlank="1" showInputMessage="1" showErrorMessage="1" xr:uid="{3F6CDBC0-F302-48A1-93D7-C6B89823234E}">
          <x14:formula1>
            <xm:f>Reference!$K$2:$K$4</xm:f>
          </x14:formula1>
          <xm:sqref>C10:C24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EEFDE-B389-4BBC-AE7D-A83FE18CC618}">
  <sheetPr codeName="Sheet18">
    <tabColor rgb="FF00B050"/>
  </sheetPr>
  <dimension ref="A1:Q149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A3" sqref="A3"/>
    </sheetView>
  </sheetViews>
  <sheetFormatPr baseColWidth="10" defaultColWidth="0" defaultRowHeight="0" customHeight="1" zeroHeight="1" x14ac:dyDescent="0.2"/>
  <cols>
    <col min="1" max="2" width="8.83203125" style="57" customWidth="1"/>
    <col min="3" max="3" width="13.1640625" style="57" customWidth="1"/>
    <col min="4" max="4" width="13.5" style="57" customWidth="1"/>
    <col min="5" max="6" width="8.83203125" style="57" customWidth="1"/>
    <col min="7" max="7" width="14.83203125" style="57" customWidth="1"/>
    <col min="8" max="8" width="11.6640625" style="57" customWidth="1"/>
    <col min="9" max="9" width="10.33203125" style="57" customWidth="1"/>
    <col min="10" max="10" width="5.6640625" style="57" customWidth="1"/>
    <col min="11" max="11" width="10.5" style="57" customWidth="1"/>
    <col min="12" max="17" width="8.83203125" style="57" customWidth="1"/>
    <col min="18" max="16384" width="8.83203125" style="57" hidden="1"/>
  </cols>
  <sheetData>
    <row r="1" spans="1:17" ht="15" x14ac:dyDescent="0.2">
      <c r="A1" s="54" t="str">
        <f>'[1]Revision History'!D4</f>
        <v>REV. NO.1 (6/8/2022)</v>
      </c>
      <c r="B1" s="55"/>
      <c r="C1" s="55"/>
      <c r="D1" s="55"/>
      <c r="E1" s="55"/>
      <c r="F1" s="55"/>
      <c r="G1" s="55"/>
      <c r="H1" s="55"/>
      <c r="I1" s="56"/>
      <c r="J1" s="56"/>
      <c r="K1" s="56"/>
      <c r="L1" s="56"/>
      <c r="M1" s="56"/>
      <c r="N1" s="56"/>
      <c r="O1" s="56"/>
      <c r="P1" s="56"/>
      <c r="Q1" s="56" t="str">
        <f>'[2]Revision History'!$J$4</f>
        <v>Scott Research Group (jkscottresearchgroup.com)</v>
      </c>
    </row>
    <row r="2" spans="1:17" ht="15" x14ac:dyDescent="0.2">
      <c r="A2" s="67" t="s">
        <v>107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</row>
    <row r="3" spans="1:17" ht="15" x14ac:dyDescent="0.2">
      <c r="A3" s="58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</row>
    <row r="4" spans="1:17" ht="15" x14ac:dyDescent="0.2">
      <c r="A4" s="58"/>
      <c r="B4" s="59" t="s">
        <v>106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</row>
    <row r="5" spans="1:17" ht="15" x14ac:dyDescent="0.2">
      <c r="A5" s="58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</row>
    <row r="6" spans="1:17" ht="15" x14ac:dyDescent="0.2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</row>
    <row r="7" spans="1:17" ht="15" x14ac:dyDescent="0.2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</row>
    <row r="8" spans="1:17" ht="15" x14ac:dyDescent="0.2">
      <c r="A8" s="58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</row>
    <row r="9" spans="1:17" ht="15" x14ac:dyDescent="0.2">
      <c r="A9" s="58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1:17" ht="15" x14ac:dyDescent="0.2">
      <c r="A10" s="58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</row>
    <row r="11" spans="1:17" ht="15" x14ac:dyDescent="0.2">
      <c r="A11" s="58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</row>
    <row r="12" spans="1:17" ht="15" x14ac:dyDescent="0.2">
      <c r="A12" s="58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</row>
    <row r="13" spans="1:17" ht="15" x14ac:dyDescent="0.2">
      <c r="A13" s="58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</row>
    <row r="14" spans="1:17" ht="15" x14ac:dyDescent="0.2">
      <c r="A14" s="58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</row>
    <row r="15" spans="1:17" ht="15" x14ac:dyDescent="0.2">
      <c r="A15" s="58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</row>
    <row r="16" spans="1:17" ht="15" x14ac:dyDescent="0.2">
      <c r="A16" s="58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</row>
    <row r="17" spans="1:17" ht="15" x14ac:dyDescent="0.2">
      <c r="A17" s="58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</row>
    <row r="18" spans="1:17" ht="15" x14ac:dyDescent="0.2">
      <c r="A18" s="58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ht="15" x14ac:dyDescent="0.2">
      <c r="A19" s="58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ht="15" x14ac:dyDescent="0.2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ht="15" x14ac:dyDescent="0.2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ht="15" x14ac:dyDescent="0.2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 ht="15" x14ac:dyDescent="0.2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 ht="15" x14ac:dyDescent="0.2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 ht="15" x14ac:dyDescent="0.2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 ht="15" x14ac:dyDescent="0.2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 ht="15" x14ac:dyDescent="0.2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 ht="15" x14ac:dyDescent="0.2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 ht="15" x14ac:dyDescent="0.2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 ht="15" x14ac:dyDescent="0.2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ht="15" x14ac:dyDescent="0.2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</row>
    <row r="32" spans="1:17" ht="15" x14ac:dyDescent="0.2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</row>
    <row r="33" spans="1:17" ht="15" x14ac:dyDescent="0.2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</row>
    <row r="34" spans="1:17" ht="15" x14ac:dyDescent="0.2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</row>
    <row r="49" s="57" customFormat="1" ht="0" hidden="1" customHeight="1" x14ac:dyDescent="0.2"/>
    <row r="50" s="57" customFormat="1" ht="0" hidden="1" customHeight="1" x14ac:dyDescent="0.2"/>
    <row r="51" s="57" customFormat="1" ht="0" hidden="1" customHeight="1" x14ac:dyDescent="0.2"/>
    <row r="52" s="57" customFormat="1" ht="0" hidden="1" customHeight="1" x14ac:dyDescent="0.2"/>
    <row r="53" s="57" customFormat="1" ht="0" hidden="1" customHeight="1" x14ac:dyDescent="0.2"/>
    <row r="54" s="57" customFormat="1" ht="0" hidden="1" customHeight="1" x14ac:dyDescent="0.2"/>
    <row r="55" s="57" customFormat="1" ht="0" hidden="1" customHeight="1" x14ac:dyDescent="0.2"/>
    <row r="56" s="57" customFormat="1" ht="0" hidden="1" customHeight="1" x14ac:dyDescent="0.2"/>
    <row r="57" s="57" customFormat="1" ht="0" hidden="1" customHeight="1" x14ac:dyDescent="0.2"/>
    <row r="58" s="57" customFormat="1" ht="0" hidden="1" customHeight="1" x14ac:dyDescent="0.2"/>
    <row r="59" s="57" customFormat="1" ht="0" hidden="1" customHeight="1" x14ac:dyDescent="0.2"/>
    <row r="60" s="57" customFormat="1" ht="0" hidden="1" customHeight="1" x14ac:dyDescent="0.2"/>
    <row r="61" s="57" customFormat="1" ht="0" hidden="1" customHeight="1" x14ac:dyDescent="0.2"/>
    <row r="62" s="57" customFormat="1" ht="0" hidden="1" customHeight="1" x14ac:dyDescent="0.2"/>
    <row r="63" s="57" customFormat="1" ht="0" hidden="1" customHeight="1" x14ac:dyDescent="0.2"/>
    <row r="64" s="57" customFormat="1" ht="0" hidden="1" customHeight="1" x14ac:dyDescent="0.2"/>
    <row r="65" s="57" customFormat="1" ht="0" hidden="1" customHeight="1" x14ac:dyDescent="0.2"/>
    <row r="66" s="57" customFormat="1" ht="0" hidden="1" customHeight="1" x14ac:dyDescent="0.2"/>
    <row r="67" s="57" customFormat="1" ht="0" hidden="1" customHeight="1" x14ac:dyDescent="0.2"/>
    <row r="68" s="57" customFormat="1" ht="0" hidden="1" customHeight="1" x14ac:dyDescent="0.2"/>
    <row r="69" s="57" customFormat="1" ht="0" hidden="1" customHeight="1" x14ac:dyDescent="0.2"/>
    <row r="70" s="57" customFormat="1" ht="0" hidden="1" customHeight="1" x14ac:dyDescent="0.2"/>
    <row r="71" s="57" customFormat="1" ht="0" hidden="1" customHeight="1" x14ac:dyDescent="0.2"/>
    <row r="72" s="57" customFormat="1" ht="0" hidden="1" customHeight="1" x14ac:dyDescent="0.2"/>
    <row r="73" s="57" customFormat="1" ht="0" hidden="1" customHeight="1" x14ac:dyDescent="0.2"/>
    <row r="74" s="57" customFormat="1" ht="0" hidden="1" customHeight="1" x14ac:dyDescent="0.2"/>
    <row r="75" s="57" customFormat="1" ht="0" hidden="1" customHeight="1" x14ac:dyDescent="0.2"/>
    <row r="76" s="57" customFormat="1" ht="0" hidden="1" customHeight="1" x14ac:dyDescent="0.2"/>
    <row r="77" s="57" customFormat="1" ht="0" hidden="1" customHeight="1" x14ac:dyDescent="0.2"/>
    <row r="78" s="57" customFormat="1" ht="0" hidden="1" customHeight="1" x14ac:dyDescent="0.2"/>
    <row r="79" s="57" customFormat="1" ht="0" hidden="1" customHeight="1" x14ac:dyDescent="0.2"/>
    <row r="80" s="57" customFormat="1" ht="0" hidden="1" customHeight="1" x14ac:dyDescent="0.2"/>
    <row r="81" s="57" customFormat="1" ht="0" hidden="1" customHeight="1" x14ac:dyDescent="0.2"/>
    <row r="82" s="57" customFormat="1" ht="0" hidden="1" customHeight="1" x14ac:dyDescent="0.2"/>
    <row r="83" s="57" customFormat="1" ht="0" hidden="1" customHeight="1" x14ac:dyDescent="0.2"/>
    <row r="84" s="57" customFormat="1" ht="0" hidden="1" customHeight="1" x14ac:dyDescent="0.2"/>
    <row r="85" s="57" customFormat="1" ht="0" hidden="1" customHeight="1" x14ac:dyDescent="0.2"/>
    <row r="86" s="57" customFormat="1" ht="0" hidden="1" customHeight="1" x14ac:dyDescent="0.2"/>
    <row r="87" s="57" customFormat="1" ht="0" hidden="1" customHeight="1" x14ac:dyDescent="0.2"/>
    <row r="88" s="57" customFormat="1" ht="0" hidden="1" customHeight="1" x14ac:dyDescent="0.2"/>
    <row r="89" s="57" customFormat="1" ht="0" hidden="1" customHeight="1" x14ac:dyDescent="0.2"/>
    <row r="90" s="57" customFormat="1" ht="0" hidden="1" customHeight="1" x14ac:dyDescent="0.2"/>
    <row r="91" s="57" customFormat="1" ht="0" hidden="1" customHeight="1" x14ac:dyDescent="0.2"/>
    <row r="92" s="57" customFormat="1" ht="0" hidden="1" customHeight="1" x14ac:dyDescent="0.2"/>
    <row r="93" s="57" customFormat="1" ht="0" hidden="1" customHeight="1" x14ac:dyDescent="0.2"/>
    <row r="94" s="57" customFormat="1" ht="0" hidden="1" customHeight="1" x14ac:dyDescent="0.2"/>
    <row r="95" s="57" customFormat="1" ht="0" hidden="1" customHeight="1" x14ac:dyDescent="0.2"/>
    <row r="96" s="57" customFormat="1" ht="0" hidden="1" customHeight="1" x14ac:dyDescent="0.2"/>
    <row r="97" s="57" customFormat="1" ht="0" hidden="1" customHeight="1" x14ac:dyDescent="0.2"/>
    <row r="98" s="57" customFormat="1" ht="0" hidden="1" customHeight="1" x14ac:dyDescent="0.2"/>
    <row r="99" s="57" customFormat="1" ht="0" hidden="1" customHeight="1" x14ac:dyDescent="0.2"/>
    <row r="100" s="57" customFormat="1" ht="0" hidden="1" customHeight="1" x14ac:dyDescent="0.2"/>
    <row r="101" s="57" customFormat="1" ht="0" hidden="1" customHeight="1" x14ac:dyDescent="0.2"/>
    <row r="102" s="57" customFormat="1" ht="0" hidden="1" customHeight="1" x14ac:dyDescent="0.2"/>
    <row r="103" s="57" customFormat="1" ht="0" hidden="1" customHeight="1" x14ac:dyDescent="0.2"/>
    <row r="104" s="57" customFormat="1" ht="0" hidden="1" customHeight="1" x14ac:dyDescent="0.2"/>
    <row r="105" s="57" customFormat="1" ht="0" hidden="1" customHeight="1" x14ac:dyDescent="0.2"/>
    <row r="106" s="57" customFormat="1" ht="0" hidden="1" customHeight="1" x14ac:dyDescent="0.2"/>
    <row r="107" s="57" customFormat="1" ht="0" hidden="1" customHeight="1" x14ac:dyDescent="0.2"/>
    <row r="108" s="57" customFormat="1" ht="0" hidden="1" customHeight="1" x14ac:dyDescent="0.2"/>
    <row r="109" s="57" customFormat="1" ht="0" hidden="1" customHeight="1" x14ac:dyDescent="0.2"/>
    <row r="110" s="57" customFormat="1" ht="0" hidden="1" customHeight="1" x14ac:dyDescent="0.2"/>
    <row r="111" s="57" customFormat="1" ht="0" hidden="1" customHeight="1" x14ac:dyDescent="0.2"/>
    <row r="112" s="57" customFormat="1" ht="0" hidden="1" customHeight="1" x14ac:dyDescent="0.2"/>
    <row r="113" s="57" customFormat="1" ht="0" hidden="1" customHeight="1" x14ac:dyDescent="0.2"/>
    <row r="114" s="57" customFormat="1" ht="0" hidden="1" customHeight="1" x14ac:dyDescent="0.2"/>
    <row r="115" s="57" customFormat="1" ht="0" hidden="1" customHeight="1" x14ac:dyDescent="0.2"/>
    <row r="116" s="57" customFormat="1" ht="0" hidden="1" customHeight="1" x14ac:dyDescent="0.2"/>
    <row r="117" s="57" customFormat="1" ht="0" hidden="1" customHeight="1" x14ac:dyDescent="0.2"/>
    <row r="118" s="57" customFormat="1" ht="0" hidden="1" customHeight="1" x14ac:dyDescent="0.2"/>
    <row r="119" s="57" customFormat="1" ht="0" hidden="1" customHeight="1" x14ac:dyDescent="0.2"/>
    <row r="120" s="57" customFormat="1" ht="0" hidden="1" customHeight="1" x14ac:dyDescent="0.2"/>
    <row r="121" s="57" customFormat="1" ht="0" hidden="1" customHeight="1" x14ac:dyDescent="0.2"/>
    <row r="122" s="57" customFormat="1" ht="0" hidden="1" customHeight="1" x14ac:dyDescent="0.2"/>
    <row r="123" s="57" customFormat="1" ht="0" hidden="1" customHeight="1" x14ac:dyDescent="0.2"/>
    <row r="124" s="57" customFormat="1" ht="0" hidden="1" customHeight="1" x14ac:dyDescent="0.2"/>
    <row r="125" s="57" customFormat="1" ht="0" hidden="1" customHeight="1" x14ac:dyDescent="0.2"/>
    <row r="126" s="57" customFormat="1" ht="0" hidden="1" customHeight="1" x14ac:dyDescent="0.2"/>
    <row r="127" s="57" customFormat="1" ht="0" hidden="1" customHeight="1" x14ac:dyDescent="0.2"/>
    <row r="128" s="57" customFormat="1" ht="0" hidden="1" customHeight="1" x14ac:dyDescent="0.2"/>
    <row r="129" s="57" customFormat="1" ht="0" hidden="1" customHeight="1" x14ac:dyDescent="0.2"/>
    <row r="130" s="57" customFormat="1" ht="0" hidden="1" customHeight="1" x14ac:dyDescent="0.2"/>
    <row r="131" s="57" customFormat="1" ht="0" hidden="1" customHeight="1" x14ac:dyDescent="0.2"/>
    <row r="132" s="57" customFormat="1" ht="0" hidden="1" customHeight="1" x14ac:dyDescent="0.2"/>
    <row r="133" s="57" customFormat="1" ht="0" hidden="1" customHeight="1" x14ac:dyDescent="0.2"/>
    <row r="134" s="57" customFormat="1" ht="0" hidden="1" customHeight="1" x14ac:dyDescent="0.2"/>
    <row r="135" s="57" customFormat="1" ht="0" hidden="1" customHeight="1" x14ac:dyDescent="0.2"/>
    <row r="136" s="57" customFormat="1" ht="0" hidden="1" customHeight="1" x14ac:dyDescent="0.2"/>
    <row r="137" s="57" customFormat="1" ht="0" hidden="1" customHeight="1" x14ac:dyDescent="0.2"/>
    <row r="138" s="57" customFormat="1" ht="0" hidden="1" customHeight="1" x14ac:dyDescent="0.2"/>
    <row r="139" s="57" customFormat="1" ht="0" hidden="1" customHeight="1" x14ac:dyDescent="0.2"/>
    <row r="140" s="57" customFormat="1" ht="0" hidden="1" customHeight="1" x14ac:dyDescent="0.2"/>
    <row r="141" s="57" customFormat="1" ht="0" hidden="1" customHeight="1" x14ac:dyDescent="0.2"/>
    <row r="142" s="57" customFormat="1" ht="0" hidden="1" customHeight="1" x14ac:dyDescent="0.2"/>
    <row r="143" s="57" customFormat="1" ht="0" hidden="1" customHeight="1" x14ac:dyDescent="0.2"/>
    <row r="144" s="57" customFormat="1" ht="0" hidden="1" customHeight="1" x14ac:dyDescent="0.2"/>
    <row r="145" s="57" customFormat="1" ht="0" hidden="1" customHeight="1" x14ac:dyDescent="0.2"/>
    <row r="146" s="57" customFormat="1" ht="0" hidden="1" customHeight="1" x14ac:dyDescent="0.2"/>
    <row r="147" s="57" customFormat="1" ht="0" hidden="1" customHeight="1" x14ac:dyDescent="0.2"/>
    <row r="148" s="57" customFormat="1" ht="0" hidden="1" customHeight="1" x14ac:dyDescent="0.2"/>
    <row r="149" s="57" customFormat="1" ht="0" hidden="1" customHeight="1" x14ac:dyDescent="0.2"/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6" x14ac:dyDescent="0.2">
      <c r="A1" t="s">
        <v>108</v>
      </c>
      <c r="B1" t="s">
        <v>110</v>
      </c>
      <c r="C1" t="s">
        <v>112</v>
      </c>
      <c r="D1" t="s">
        <v>114</v>
      </c>
      <c r="E1" t="s">
        <v>116</v>
      </c>
      <c r="F1" t="s">
        <v>118</v>
      </c>
      <c r="G1" t="s">
        <v>120</v>
      </c>
      <c r="H1" t="s">
        <v>122</v>
      </c>
      <c r="I1" t="s">
        <v>124</v>
      </c>
      <c r="J1" t="s">
        <v>126</v>
      </c>
      <c r="K1" t="s">
        <v>128</v>
      </c>
      <c r="L1" t="s">
        <v>130</v>
      </c>
      <c r="M1" t="s">
        <v>132</v>
      </c>
      <c r="N1" t="s">
        <v>134</v>
      </c>
      <c r="O1" t="s">
        <v>135</v>
      </c>
      <c r="P1" t="s">
        <v>75</v>
      </c>
    </row>
    <row r="2" spans="1:16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108</v>
      </c>
      <c r="B1" t="s">
        <v>110</v>
      </c>
      <c r="C1" t="s">
        <v>112</v>
      </c>
      <c r="D1" t="s">
        <v>114</v>
      </c>
      <c r="E1" t="s">
        <v>116</v>
      </c>
      <c r="F1" t="s">
        <v>118</v>
      </c>
      <c r="G1" t="s">
        <v>120</v>
      </c>
      <c r="H1" t="s">
        <v>122</v>
      </c>
      <c r="I1" t="s">
        <v>124</v>
      </c>
      <c r="J1" t="s">
        <v>126</v>
      </c>
      <c r="K1" t="s">
        <v>128</v>
      </c>
      <c r="L1" t="s">
        <v>130</v>
      </c>
      <c r="M1" t="s">
        <v>132</v>
      </c>
      <c r="N1" t="s">
        <v>134</v>
      </c>
      <c r="O1" t="s">
        <v>135</v>
      </c>
      <c r="P1" t="s">
        <v>75</v>
      </c>
    </row>
    <row r="2" spans="1:16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Plotting</vt:lpstr>
      <vt:lpstr>Help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2022-08-28T01:09:25Z</dcterms:modified>
</cp:coreProperties>
</file>