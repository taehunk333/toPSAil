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303199F2-AB9E-C743-911F-68F518EC05CD}" xr6:coauthVersionLast="47" xr6:coauthVersionMax="47" xr10:uidLastSave="{00000000-0000-0000-0000-000000000000}"/>
  <bookViews>
    <workbookView xWindow="-2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Pellet Geometry" sheetId="42" r:id="rId3"/>
    <sheet name="Void Fractions" sheetId="51" r:id="rId4"/>
    <sheet name="Densities" sheetId="52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Densities!$A$2:$J$13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54" l="1"/>
  <c r="H10" i="54"/>
  <c r="H10" i="53" l="1"/>
  <c r="H12" i="53"/>
  <c r="H13" i="53"/>
  <c r="H11" i="53"/>
  <c r="J4" i="55"/>
  <c r="J2" i="55"/>
  <c r="A2" i="55"/>
  <c r="B11" i="54"/>
  <c r="B10" i="54"/>
  <c r="J4" i="54" s="1"/>
  <c r="J2" i="54"/>
  <c r="A2" i="54"/>
  <c r="J4" i="53"/>
  <c r="J2" i="53"/>
  <c r="A2" i="53"/>
  <c r="B12" i="52"/>
  <c r="J4" i="52"/>
  <c r="J2" i="52"/>
  <c r="A2" i="52"/>
  <c r="I12" i="51"/>
  <c r="I11" i="51"/>
  <c r="J4" i="51"/>
  <c r="J2" i="51"/>
  <c r="A2" i="51"/>
  <c r="J4" i="42" l="1"/>
  <c r="J2" i="42"/>
  <c r="A2" i="42"/>
  <c r="R1" i="39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tc={3A3B7318-ABF5-4964-8585-DC1B4485FC8D}</author>
    <author>tc={1F766DF8-4F4C-4CAC-A34A-0EE77796A689}</author>
    <author>tc={68B40326-A7EC-49C3-B1AC-5659608B8029}</author>
  </authors>
  <commentList>
    <comment ref="G9" authorId="0" shapeId="0" xr:uid="{3A3B7318-ABF5-4964-8585-DC1B4485FC8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F766DF8-4F4C-4CAC-A34A-0EE77796A68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8B40326-A7EC-49C3-B1AC-5659608B80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tc={895B3EC1-A5D3-4C2B-B926-25E745C35296}</author>
    <author>tc={AE93204B-2197-4D7A-AA49-C466674EC8B1}</author>
    <author>tc={01885A0D-450B-4CFB-88F0-DA6EE067C610}</author>
  </authors>
  <commentList>
    <comment ref="G9" authorId="0" shapeId="0" xr:uid="{895B3EC1-A5D3-4C2B-B926-25E745C352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E93204B-2197-4D7A-AA49-C466674EC8B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1885A0D-450B-4CFB-88F0-DA6EE067C6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tc={0D7ACC8B-E136-46C9-A208-4FFB47F07F13}</author>
    <author>tc={524D07B7-3BCD-416A-945D-F50C138F908B}</author>
    <author>tc={4281EA63-03E4-4B12-A73F-12D7F0AB1692}</author>
  </authors>
  <commentList>
    <comment ref="G9" authorId="0" shapeId="0" xr:uid="{0D7ACC8B-E136-46C9-A208-4FFB47F07F1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24D07B7-3BCD-416A-945D-F50C138F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281EA63-03E4-4B12-A73F-12D7F0AB169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<sst xmlns="http://schemas.openxmlformats.org/spreadsheetml/2006/main" count="349" uniqueCount="163">
  <si>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</si>
  <si>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</si>
  <si>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</si>
  <si>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</si>
  <si>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</si>
  <si>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</si>
  <si>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</si>
  <si>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</si>
  <si>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</si>
  <si>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</si>
  <si>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</si>
  <si>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</si>
  <si>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</si>
  <si>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</si>
  <si>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</si>
  <si>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</si>
  <si>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</si>
  <si>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</si>
  <si>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</si>
  <si>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</si>
  <si>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</si>
  <si>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</si>
  <si>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</si>
  <si>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</si>
  <si>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</si>
  <si>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</si>
  <si>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</si>
  <si>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</si>
  <si>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</si>
  <si>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</si>
  <si>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</si>
  <si>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</si>
  <si>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</si>
  <si>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</si>
  <si>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</si>
  <si>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</si>
  <si>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</si>
  <si>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</si>
  <si>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</si>
  <si>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</si>
  <si>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</si>
  <si>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</si>
  <si>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</si>
  <si>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</si>
  <si>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</si>
  <si>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</si>
  <si>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</si>
  <si>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</si>
  <si>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</si>
  <si>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</si>
  <si>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</si>
  <si>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</si>
  <si>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</si>
  <si>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</si>
  <si>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</si>
  <si>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</si>
  <si>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</si>
  <si>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</si>
  <si>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</si>
  <si>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</si>
  <si>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</si>
  <si>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</si>
  <si>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</si>
  <si>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</si>
  <si>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</si>
  <si>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</si>
  <si>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</si>
  <si>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</si>
  <si>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</si>
  <si>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</si>
  <si>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</si>
  <si>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</si>
  <si>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</si>
  <si>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</si>
  <si>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</si>
  <si>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</si>
  <si>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</si>
  <si>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</si>
  <si>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</si>
  <si>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</si>
  <si>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</si>
  <si>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</si>
  <si>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</si>
  <si>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</si>
  <si>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</si>
  <si>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</si>
  <si>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</si>
  <si>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</si>
  <si>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</si>
  <si>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</si>
  <si>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</si>
  <si>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</si>
  <si>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</si>
  <si>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</si>
  <si>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</si>
  <si>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</si>
  <si>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</si>
  <si>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</si>
  <si>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</si>
  <si>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</si>
  <si>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</si>
  <si>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</si>
  <si>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</si>
  <si>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</si>
  <si>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</si>
  <si>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</si>
  <si>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</si>
  <si>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</si>
  <si>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</si>
  <si>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</si>
  <si>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</si>
  <si>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</si>
  <si>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</si>
  <si>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</si>
  <si>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</si>
  <si>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</si>
  <si>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</si>
  <si>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</si>
  <si>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</si>
  <si>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</si>
  <si>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</si>
  <si>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</si>
  <si>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</si>
  <si>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</si>
  <si>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</si>
  <si>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</si>
  <si>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</si>
  <si>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</si>
  <si>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</si>
  <si>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</si>
  <si>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</si>
  <si>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</si>
  <si>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</si>
  <si>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</si>
  <si>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</si>
  <si>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</si>
  <si>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</si>
  <si>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</si>
  <si>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</si>
  <si>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</si>
  <si>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</si>
  <si>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</si>
  <si>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</si>
  <si>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</si>
  <si>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</si>
  <si>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</si>
  <si>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</si>
  <si>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</si>
  <si>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</si>
  <si>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</si>
  <si>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</si>
  <si>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</si>
  <si>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</si>
  <si>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</si>
  <si>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</si>
  <si>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</si>
  <si>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</si>
  <si>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</si>
  <si>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</si>
  <si>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</si>
  <si>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</si>
  <si>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Initial development of the "1.3_adsorbent_properties.xlsm"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</si>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</sst>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6_pump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PSA Cycle"/>
      <sheetName val="Valve Constants"/>
      <sheetName val="Extended Definitions"/>
      <sheetName val="Pressure Changer Properties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  <cell r="J4" t="str">
            <v>Scott Research Group (jkscottresearchgroup.com)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B0A05-B7E1-4A67-9642-CDB68282612C}" name="Table193" displayName="Table193" ref="A9:J11" totalsRowShown="0" headerRowDxfId="138" dataDxfId="136" headerRowBorderDxfId="137" tableBorderDxfId="135" totalsRowBorderDxfId="134">
  <autoFilter ref="A9:J11" xr:uid="{B089C5C3-2CCE-4800-96CA-2131BB6E3E4F}"/>
  <tableColumns count="10">
    <tableColumn id="1" xr3:uid="{54ED77E6-049B-44D8-A807-69F6742011B3}" name="Variable" dataDxfId="133"/>
    <tableColumn id="4" xr3:uid="{679AD405-1464-4A07-A508-6E9E12586493}" name="Value" dataDxfId="132"/>
    <tableColumn id="5" xr3:uid="{C9BC8321-5233-466C-AF2C-D8502FC2FA6E}" name="Unit" dataDxfId="131"/>
    <tableColumn id="6" xr3:uid="{37D33612-3739-4CD7-8012-4E7F4E68F9BE}" name="Comparisons" dataDxfId="130"/>
    <tableColumn id="7" xr3:uid="{BBB88DDC-6E1A-437B-B17D-C1726D5BE96E}" name="Variable Type" dataDxfId="129"/>
    <tableColumn id="8" xr3:uid="{B714C653-9EE7-4B20-B610-CD0FE327788F}" name="Dependency" dataDxfId="128"/>
    <tableColumn id="12" xr3:uid="{CED2B126-682F-48D7-B404-980E4A4D207B}" name="Test 1" dataDxfId="127"/>
    <tableColumn id="10" xr3:uid="{B9D522E0-72C3-42E2-B2A2-BB09C3A78AC8}" name="Test 2" dataDxfId="126"/>
    <tableColumn id="2" xr3:uid="{E1B654DA-6284-4288-86A6-FCECFB5939A0}" name="Test 3" dataDxfId="125"/>
    <tableColumn id="9" xr3:uid="{4174BCBE-822B-4997-A4EF-7533BD87B785}" name="Description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07DAB5-0019-4DCA-8D22-D0B5D6058422}" name="Table19312" displayName="Table19312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9A3D8CE9-7BCF-41C7-AAD3-4602942E8CB6}" name="Variable" dataDxfId="104"/>
    <tableColumn id="4" xr3:uid="{CF193B4D-7850-4CF2-835F-62CB833351B8}" name="Value" dataDxfId="103"/>
    <tableColumn id="5" xr3:uid="{3B9ACEA3-4B8E-4344-899D-BD53D3529ECC}" name="Unit" dataDxfId="102"/>
    <tableColumn id="6" xr3:uid="{3729ED72-6604-47FE-9C6D-0A45AD2890BD}" name="Comparisons" dataDxfId="101"/>
    <tableColumn id="7" xr3:uid="{C7F06FC5-6B5B-438B-8435-37EBE29CA2BD}" name="Variable Type" dataDxfId="100"/>
    <tableColumn id="8" xr3:uid="{73E5BB6A-BB1F-40FD-9255-4F2AD4D437C1}" name="Dependency" dataDxfId="99"/>
    <tableColumn id="12" xr3:uid="{50BA0342-6784-4F45-93E8-96267C138752}" name="Test 1" dataDxfId="98"/>
    <tableColumn id="10" xr3:uid="{CA0DB9CA-CC11-4788-801E-21C8DD84295E}" name="Test 2" dataDxfId="97"/>
    <tableColumn id="2" xr3:uid="{557CAAD0-13BC-4176-ADD2-2FE0BC005174}" name="Test 3" dataDxfId="96"/>
    <tableColumn id="9" xr3:uid="{49FAB5F2-E338-4C0D-BD56-467A62F972E8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43B00-C2DB-4930-935D-04CFA2F861DF}" name="Table1931213" displayName="Table1931213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7F0B589E-BE74-43EC-A27F-081C1B15583D}" name="Variable" dataDxfId="81"/>
    <tableColumn id="4" xr3:uid="{479ECA9F-16E4-428D-80D2-FFA378EDA560}" name="Value" dataDxfId="80"/>
    <tableColumn id="5" xr3:uid="{E6E3F1EA-1A02-4C3C-AAFD-491F922564E2}" name="Unit" dataDxfId="79"/>
    <tableColumn id="6" xr3:uid="{7B71DA7B-439C-41C3-A894-D944C1D4798F}" name="Comparisons" dataDxfId="78"/>
    <tableColumn id="7" xr3:uid="{3144096D-A90A-4AA1-B453-FB78CD31642D}" name="Variable Type" dataDxfId="77"/>
    <tableColumn id="8" xr3:uid="{51348B03-C88F-41AD-9049-F3C7293EC272}" name="Dependency" dataDxfId="76"/>
    <tableColumn id="12" xr3:uid="{59F99AC1-18CA-4BFE-AFC1-22A46C532D6C}" name="Test 1" dataDxfId="75"/>
    <tableColumn id="10" xr3:uid="{ECD60C9F-40C9-481C-9E9A-8626A5270DBC}" name="Test 2" dataDxfId="74"/>
    <tableColumn id="2" xr3:uid="{0BD4BB6F-AD1B-4DA5-AEFF-0DD06F5B5FA7}" name="Test 3" dataDxfId="73"/>
    <tableColumn id="9" xr3:uid="{0B529C86-025B-4B75-B535-AEA8D990B77B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A3B7318-ABF5-4964-8585-DC1B4485FC8D}">
    <text>place 1 if we want to keep the row when re-initializing. Otherwise, leave it as a blank.</text>
  </threadedComment>
  <threadedComment ref="H9" dT="2020-11-26T18:35:03.27" personId="{7F98AE94-13FB-49E1-9262-339C11E0EDB4}" id="{1F766DF8-4F4C-4CAC-A34A-0EE77796A689}">
    <text>supply a value greater than 1 if you want to duplicate the row</text>
  </threadedComment>
  <threadedComment ref="I9" dT="2020-11-28T01:53:47.29" personId="{7F98AE94-13FB-49E1-9262-339C11E0EDB4}" id="{68B40326-A7EC-49C3-B1AC-5659608B8029}">
    <text>1 means we need to have the variable specified; 0 means we need not have the variable specified</text>
  </threadedComment>
  <threadedComment ref="I9" dT="2020-11-28T01:56:42.32" personId="{7F98AE94-13FB-49E1-9262-339C11E0EDB4}" id="{5A585689-6153-4421-A598-3E38DFE22F5A}" parentId="{68B40326-A7EC-49C3-B1AC-5659608B8029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95B3EC1-A5D3-4C2B-B926-25E745C35296}">
    <text>place 1 if we want to keep the row when re-initializing. Otherwise, leave it as a blank.</text>
  </threadedComment>
  <threadedComment ref="H9" dT="2020-11-26T18:35:03.27" personId="{7F98AE94-13FB-49E1-9262-339C11E0EDB4}" id="{AE93204B-2197-4D7A-AA49-C466674EC8B1}">
    <text>supply a value greater than 1 if you want to duplicate the row</text>
  </threadedComment>
  <threadedComment ref="I9" dT="2020-11-28T01:53:47.29" personId="{7F98AE94-13FB-49E1-9262-339C11E0EDB4}" id="{01885A0D-450B-4CFB-88F0-DA6EE067C610}">
    <text>1 means we need to have the variable specified; 0 means we need not have the variable specified</text>
  </threadedComment>
  <threadedComment ref="I9" dT="2020-11-28T01:56:42.32" personId="{7F98AE94-13FB-49E1-9262-339C11E0EDB4}" id="{8BF64500-C648-4E78-BCFD-5A169C4CB200}" parentId="{01885A0D-450B-4CFB-88F0-DA6EE067C610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D7ACC8B-E136-46C9-A208-4FFB47F07F13}">
    <text>place 1 if we want to keep the row when re-initializing. Otherwise, leave it as a blank.</text>
  </threadedComment>
  <threadedComment ref="H9" dT="2020-11-26T18:35:03.27" personId="{7F98AE94-13FB-49E1-9262-339C11E0EDB4}" id="{524D07B7-3BCD-416A-945D-F50C138F908B}">
    <text>supply a value greater than 1 if you want to duplicate the row</text>
  </threadedComment>
  <threadedComment ref="I9" dT="2020-11-28T01:53:47.29" personId="{7F98AE94-13FB-49E1-9262-339C11E0EDB4}" id="{4281EA63-03E4-4B12-A73F-12D7F0AB1692}">
    <text>1 means we need to have the variable specified; 0 means we need not have the variable specified</text>
  </threadedComment>
  <threadedComment ref="I9" dT="2020-11-28T01:56:42.32" personId="{7F98AE94-13FB-49E1-9262-339C11E0EDB4}" id="{FCAF3CB8-E3FE-40C2-B2EB-CB1EA7AEE3DE}" parentId="{4281EA63-03E4-4B12-A73F-12D7F0AB1692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7" hidden="1" customWidth="1"/>
    <col min="3" max="3" width="2.5" style="37" customWidth="1"/>
    <col min="4" max="4" width="13.83203125" style="37" customWidth="1"/>
    <col min="5" max="5" width="51.33203125" style="38" bestFit="1" customWidth="1"/>
    <col min="6" max="6" width="15.83203125" style="39" bestFit="1" customWidth="1"/>
    <col min="7" max="9" width="13.33203125" style="37" customWidth="1"/>
    <col min="10" max="10" width="48.83203125" style="37" customWidth="1"/>
    <col min="11" max="11" width="2.5" style="37" customWidth="1"/>
    <col min="12" max="12" width="0" style="37" hidden="1" customWidth="1"/>
    <col min="13" max="16384" width="9" style="37" hidden="1"/>
  </cols>
  <sheetData>
    <row r="3" spans="4:10" x14ac:dyDescent="0.2"/>
    <row r="4" spans="4:10" ht="19" x14ac:dyDescent="0.25">
      <c r="D4" s="55" t="s">
        <v>162</v>
      </c>
      <c r="E4" s="56"/>
      <c r="F4" s="57"/>
      <c r="G4" s="58"/>
      <c r="H4" s="58"/>
      <c r="I4" s="58"/>
      <c r="J4" s="40" t="s">
        <v>102</v>
      </c>
    </row>
    <row r="5" spans="4:10" ht="40" x14ac:dyDescent="0.2">
      <c r="D5" s="59" t="s">
        <v>41</v>
      </c>
      <c r="E5" s="59"/>
      <c r="F5" s="59"/>
      <c r="G5" s="59"/>
      <c r="H5" s="59"/>
      <c r="I5" s="59"/>
      <c r="J5" s="59"/>
    </row>
    <row r="6" spans="4:10" ht="20" x14ac:dyDescent="0.2">
      <c r="D6" s="49" t="s">
        <v>35</v>
      </c>
      <c r="E6" s="49" t="s">
        <v>158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60" x14ac:dyDescent="0.2">
      <c r="D7" s="41">
        <v>1</v>
      </c>
      <c r="E7" s="42" t="s">
        <v>161</v>
      </c>
      <c r="F7" s="43">
        <v>44720</v>
      </c>
      <c r="G7" s="41" t="s">
        <v>42</v>
      </c>
      <c r="H7" s="41"/>
      <c r="I7" s="41"/>
      <c r="J7" s="42"/>
    </row>
    <row r="8" spans="4:10" ht="40" x14ac:dyDescent="0.2">
      <c r="D8" s="41">
        <v>2</v>
      </c>
      <c r="E8" s="42" t="s">
        <v>159</v>
      </c>
      <c r="F8" s="43">
        <v>44818</v>
      </c>
      <c r="G8" s="41" t="s">
        <v>42</v>
      </c>
      <c r="H8" s="41"/>
      <c r="I8" s="41"/>
      <c r="J8" s="42"/>
    </row>
    <row r="9" spans="4:10" ht="19" x14ac:dyDescent="0.2">
      <c r="D9" s="41">
        <v>3</v>
      </c>
      <c r="E9" s="42"/>
      <c r="F9" s="43"/>
      <c r="G9" s="41"/>
      <c r="H9" s="41"/>
      <c r="I9" s="41"/>
      <c r="J9" s="42"/>
    </row>
    <row r="10" spans="4:10" ht="19" x14ac:dyDescent="0.2">
      <c r="D10" s="41">
        <v>4</v>
      </c>
      <c r="E10" s="42"/>
      <c r="F10" s="43"/>
      <c r="G10" s="41"/>
      <c r="H10" s="41"/>
      <c r="I10" s="41"/>
      <c r="J10" s="42"/>
    </row>
    <row r="11" spans="4:10" ht="19" x14ac:dyDescent="0.2">
      <c r="D11" s="41">
        <v>5</v>
      </c>
      <c r="E11" s="42"/>
      <c r="F11" s="43"/>
      <c r="G11" s="41"/>
      <c r="H11" s="41"/>
      <c r="I11" s="41"/>
      <c r="J11" s="42"/>
    </row>
    <row r="12" spans="4:10" ht="19" x14ac:dyDescent="0.2">
      <c r="D12" s="41">
        <v>6</v>
      </c>
      <c r="E12" s="42"/>
      <c r="F12" s="43"/>
      <c r="G12" s="41"/>
      <c r="H12" s="41"/>
      <c r="I12" s="41"/>
      <c r="J12" s="42"/>
    </row>
    <row r="13" spans="4:10" ht="19" x14ac:dyDescent="0.2">
      <c r="D13" s="41">
        <v>7</v>
      </c>
      <c r="E13" s="42"/>
      <c r="F13" s="43"/>
      <c r="G13" s="41"/>
      <c r="H13" s="41"/>
      <c r="I13" s="41"/>
      <c r="J13" s="42"/>
    </row>
    <row r="14" spans="4:10" ht="19" x14ac:dyDescent="0.2">
      <c r="D14" s="41">
        <v>8</v>
      </c>
      <c r="E14" s="42"/>
      <c r="F14" s="43"/>
      <c r="G14" s="41"/>
      <c r="H14" s="41"/>
      <c r="I14" s="41"/>
      <c r="J14" s="42"/>
    </row>
    <row r="15" spans="4:10" ht="19" x14ac:dyDescent="0.2">
      <c r="D15" s="41">
        <v>9</v>
      </c>
      <c r="E15" s="42"/>
      <c r="F15" s="43"/>
      <c r="G15" s="41"/>
      <c r="H15" s="41"/>
      <c r="I15" s="41"/>
      <c r="J15" s="42"/>
    </row>
    <row r="16" spans="4:10" ht="19" x14ac:dyDescent="0.2">
      <c r="D16" s="41">
        <v>10</v>
      </c>
      <c r="E16" s="42"/>
      <c r="F16" s="43"/>
      <c r="G16" s="41"/>
      <c r="H16" s="41"/>
      <c r="I16" s="41"/>
      <c r="J16" s="4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127</v>
      </c>
      <c r="R1" t="s">
        <v>135</v>
      </c>
      <c r="S1" t="s">
        <v>136</v>
      </c>
      <c r="T1" t="s">
        <v>147</v>
      </c>
      <c r="U1" t="s">
        <v>148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149</v>
      </c>
    </row>
    <row r="4" spans="1:21" x14ac:dyDescent="0.2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150</v>
      </c>
    </row>
    <row r="5" spans="1:21" x14ac:dyDescent="0.2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151</v>
      </c>
    </row>
    <row r="6" spans="1:21" x14ac:dyDescent="0.2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152</v>
      </c>
    </row>
    <row r="7" spans="1:21" x14ac:dyDescent="0.2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153</v>
      </c>
    </row>
    <row r="8" spans="1:21" x14ac:dyDescent="0.2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154</v>
      </c>
    </row>
    <row r="9" spans="1:21" x14ac:dyDescent="0.2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155</v>
      </c>
    </row>
    <row r="10" spans="1:21" x14ac:dyDescent="0.2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145</v>
      </c>
    </row>
    <row r="12" spans="1:21" x14ac:dyDescent="0.2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25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146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33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ECFA-696E-4B6A-B180-950A892EEA66}">
  <sheetPr codeName="Sheet13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N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IF(COUNTIF(Table193[Test 3],1)=COUNTA(Table193[Value]),"Ready","Not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5" t="s">
        <v>156</v>
      </c>
      <c r="B10" s="46">
        <v>0.2</v>
      </c>
      <c r="C10" s="36" t="s">
        <v>78</v>
      </c>
      <c r="D10" s="1" t="s">
        <v>26</v>
      </c>
      <c r="E10" s="1" t="s">
        <v>7</v>
      </c>
      <c r="F10" s="2" t="s">
        <v>52</v>
      </c>
      <c r="G10" s="1">
        <v>1</v>
      </c>
      <c r="H10" s="1">
        <v>1</v>
      </c>
      <c r="I10" s="6">
        <v>1</v>
      </c>
      <c r="J10" s="48" t="s">
        <v>157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uVUR2viBciaR67JgslRB9b8k8bm54984IwLKNpfyRZhkzaJ2rvq4mwY4rK0RZGYGn1VdAt4VEnI7N2KsYdJoQA==" saltValue="tBhkV4W70ydAMFCEZeO7FA==" spinCount="100000" sheet="1" objects="1" scenarios="1" selectLockedCells="1"/>
  <mergeCells count="2">
    <mergeCell ref="A3:J3"/>
    <mergeCell ref="J4:J8"/>
  </mergeCells>
  <conditionalFormatting sqref="B11">
    <cfRule type="expression" dxfId="146" priority="4">
      <formula>IF(AND($B11&lt;&gt;"",$I11=0),1,0)</formula>
    </cfRule>
    <cfRule type="expression" dxfId="145" priority="5">
      <formula>IF($B11&lt;&gt;"",1,0)</formula>
    </cfRule>
    <cfRule type="expression" dxfId="144" priority="6">
      <formula>$I11=0</formula>
    </cfRule>
  </conditionalFormatting>
  <conditionalFormatting sqref="B10">
    <cfRule type="expression" dxfId="143" priority="1">
      <formula>IF(AND($B10&lt;&gt;"",$I10=0),1,0)</formula>
    </cfRule>
    <cfRule type="expression" dxfId="142" priority="2">
      <formula>IF($B10&lt;&gt;"",1,0)</formula>
    </cfRule>
    <cfRule type="expression" dxfId="141" priority="3">
      <formula>$I10=0</formula>
    </cfRule>
  </conditionalFormatting>
  <conditionalFormatting sqref="J4">
    <cfRule type="expression" dxfId="140" priority="7">
      <formula>IF(COUNTA($B$10:$B$11)&lt;&gt;COUNTIF($I$10:$I$11,1),1,0)</formula>
    </cfRule>
    <cfRule type="expression" dxfId="139" priority="8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1DEBA3-67CA-434F-82BF-C9DDD3C39F57}">
          <x14:formula1>
            <xm:f>Reference!$B$2:$B$18</xm:f>
          </x14:formula1>
          <xm:sqref>D10:D11</xm:sqref>
        </x14:dataValidation>
        <x14:dataValidation type="list" allowBlank="1" showInputMessage="1" showErrorMessage="1" xr:uid="{B56FEF31-6A27-4468-BFC2-95E5980EC452}">
          <x14:formula1>
            <xm:f>Reference!$C$2:$C$23</xm:f>
          </x14:formula1>
          <xm:sqref>F11</xm:sqref>
        </x14:dataValidation>
        <x14:dataValidation type="list" allowBlank="1" showInputMessage="1" showErrorMessage="1" xr:uid="{C2310D43-E6B3-4AF7-8210-DB988D2A0EFF}">
          <x14:formula1>
            <xm:f>Reference!$A$2:$A$8</xm:f>
          </x14:formula1>
          <xm:sqref>E10:E11</xm:sqref>
        </x14:dataValidation>
        <x14:dataValidation type="list" allowBlank="1" showInputMessage="1" showErrorMessage="1" xr:uid="{7188B3FA-FD6C-4DA6-B8CC-9407C4E95FD3}">
          <x14:formula1>
            <xm:f>'/Users/taehunkim/Library/Containers/com.microsoft.Excel/Data/Documents/C:\Users\tkim333\Desktop\RAPID Model Release\v3.0\[Test.xlsm]Reference'!#REF!</xm:f>
          </x14:formula1>
          <xm:sqref>F10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8E8B-2D0E-4DF8-81B0-1A1C5B6463BB}">
  <sheetPr codeName="Sheet20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IF(COUNTIF(Table19312[Test 3],1)=COUNTA(Table19312[Value]),"Ready","Not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80" x14ac:dyDescent="0.2">
      <c r="A10" s="50" t="s">
        <v>128</v>
      </c>
      <c r="B10" s="33">
        <v>1</v>
      </c>
      <c r="C10" s="36" t="s">
        <v>3</v>
      </c>
      <c r="D10" s="1" t="s">
        <v>26</v>
      </c>
      <c r="E10" s="1" t="s">
        <v>99</v>
      </c>
      <c r="F10" s="2" t="s">
        <v>44</v>
      </c>
      <c r="G10" s="1">
        <v>1</v>
      </c>
      <c r="H10" s="1">
        <v>1</v>
      </c>
      <c r="I10" s="6">
        <v>1</v>
      </c>
      <c r="J10" s="5" t="s">
        <v>140</v>
      </c>
    </row>
    <row r="11" spans="1:10" ht="16" x14ac:dyDescent="0.2">
      <c r="A11" s="4" t="s">
        <v>143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7">
        <f>IF($B$10=0,0,IF($B$10=1,0,IF($B$10=2,1,IF($B$10=3,1,0))))</f>
        <v>0</v>
      </c>
      <c r="J11" s="5" t="s">
        <v>141</v>
      </c>
    </row>
    <row r="12" spans="1:10" ht="16" x14ac:dyDescent="0.2">
      <c r="A12" s="4" t="s">
        <v>144</v>
      </c>
      <c r="B12" s="35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7">
        <f>IF($B$10=0,0,IF($B$10=1,0,IF($B$10=2,0,IF($B$10=3,1,0))))</f>
        <v>0</v>
      </c>
      <c r="J12" s="5" t="s">
        <v>142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NvN5xWE3fkWWweUvoohG72AAQinl/LyMnYZnyQD5GrgBMnFvz1OSV4VQg64owxrA8fLoiJa+w3nx7IigW1VT5A==" saltValue="HIyc7BkCUAQ2dcSxHSrjzg==" spinCount="100000" sheet="1" objects="1" scenarios="1" selectLockedCells="1"/>
  <mergeCells count="2">
    <mergeCell ref="A3:J3"/>
    <mergeCell ref="J4:J8"/>
  </mergeCells>
  <conditionalFormatting sqref="B13">
    <cfRule type="expression" dxfId="123" priority="13">
      <formula>IF(AND($B13&lt;&gt;"",$I13=0),1,0)</formula>
    </cfRule>
    <cfRule type="expression" dxfId="122" priority="14">
      <formula>IF($B13&lt;&gt;"",1,0)</formula>
    </cfRule>
    <cfRule type="expression" dxfId="121" priority="15">
      <formula>$I13=0</formula>
    </cfRule>
  </conditionalFormatting>
  <conditionalFormatting sqref="B12">
    <cfRule type="expression" dxfId="120" priority="1">
      <formula>IF(AND($B12&lt;&gt;"",$I12=0),1,0)</formula>
    </cfRule>
    <cfRule type="expression" dxfId="119" priority="2">
      <formula>IF($B12&lt;&gt;"",1,0)</formula>
    </cfRule>
    <cfRule type="expression" dxfId="118" priority="3">
      <formula>$I12=0</formula>
    </cfRule>
  </conditionalFormatting>
  <conditionalFormatting sqref="J4">
    <cfRule type="expression" dxfId="117" priority="16">
      <formula>IF(COUNTA($B$10:$B$13)&lt;&gt;COUNTIF($I$10:$I$13,1),1,0)</formula>
    </cfRule>
    <cfRule type="expression" dxfId="116" priority="17">
      <formula>IF(COUNTA($B$10:$B$13)=COUNTIF($I$10:$I$13,1),1,0)</formula>
    </cfRule>
  </conditionalFormatting>
  <conditionalFormatting sqref="B10">
    <cfRule type="expression" dxfId="115" priority="7">
      <formula>IF(AND($B10&lt;&gt;"",$I10=0),1,0)</formula>
    </cfRule>
    <cfRule type="expression" dxfId="114" priority="8">
      <formula>IF($B10&lt;&gt;"",1,0)</formula>
    </cfRule>
    <cfRule type="expression" dxfId="113" priority="9">
      <formula>$I10=0</formula>
    </cfRule>
  </conditionalFormatting>
  <conditionalFormatting sqref="B11">
    <cfRule type="expression" dxfId="112" priority="4">
      <formula>IF(AND($B11&lt;&gt;"",$I11=0),1,0)</formula>
    </cfRule>
    <cfRule type="expression" dxfId="111" priority="5">
      <formula>IF($B11&lt;&gt;"",1,0)</formula>
    </cfRule>
    <cfRule type="expression" dxfId="110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7F8BDE5-DC00-4BE4-8115-5847E571D2AF}">
          <x14:formula1>
            <xm:f>'/Users/taehunkim/Library/Containers/com.microsoft.Excel/Data/Documents/C:\Users\tkim333\Desktop\RAPID Model Release\v3.0\[Test.xlsm]Reference'!#REF!</xm:f>
          </x14:formula1>
          <xm:sqref>F10:F12</xm:sqref>
        </x14:dataValidation>
        <x14:dataValidation type="list" allowBlank="1" showInputMessage="1" showErrorMessage="1" xr:uid="{B06CEC21-CA65-4508-8115-97DE2FD1B24F}">
          <x14:formula1>
            <xm:f>Reference!$A$2:$A$8</xm:f>
          </x14:formula1>
          <xm:sqref>E10:E13</xm:sqref>
        </x14:dataValidation>
        <x14:dataValidation type="list" allowBlank="1" showInputMessage="1" showErrorMessage="1" xr:uid="{D1E065D8-04D7-462A-AC55-AB0DEF0185B2}">
          <x14:formula1>
            <xm:f>Reference!$C$2:$C$23</xm:f>
          </x14:formula1>
          <xm:sqref>F13</xm:sqref>
        </x14:dataValidation>
        <x14:dataValidation type="list" allowBlank="1" showInputMessage="1" showErrorMessage="1" xr:uid="{6902BB46-AA58-4F68-BF8B-BA711EF9587C}">
          <x14:formula1>
            <xm:f>Reference!$B$2:$B$18</xm:f>
          </x14:formula1>
          <xm:sqref>D10:D13</xm:sqref>
        </x14:dataValidation>
        <x14:dataValidation type="list" allowBlank="1" showInputMessage="1" showErrorMessage="1" xr:uid="{BE64D888-DE10-6B49-966C-861AF58C3A49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71D6-37EC-4235-B53C-B37785B21324}">
  <sheetPr codeName="Sheet21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IF(COUNTIF(Table1931213[Test 3],1)=COUNTA(Table1931213[Value]),"Ready","Not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68</v>
      </c>
      <c r="B10" s="35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98</v>
      </c>
    </row>
    <row r="11" spans="1:10" ht="32" x14ac:dyDescent="0.2">
      <c r="A11" s="4" t="s">
        <v>69</v>
      </c>
      <c r="B11" s="35">
        <v>1.552E-3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1">
        <v>1</v>
      </c>
      <c r="I11" s="6">
        <v>1</v>
      </c>
      <c r="J11" s="5" t="s">
        <v>126</v>
      </c>
    </row>
    <row r="12" spans="1:10" ht="32" x14ac:dyDescent="0.2">
      <c r="A12" s="4" t="s">
        <v>70</v>
      </c>
      <c r="B12" s="35">
        <f>0.81/1000</f>
        <v>8.1000000000000006E-4</v>
      </c>
      <c r="C12" s="2" t="s">
        <v>21</v>
      </c>
      <c r="D12" s="1" t="s">
        <v>26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97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Oy0koan2Y1J/LIPUqsKjX4bK44d7TEGn1azDP0plx3t7tewRcH7+Txhih6V8tsW4GmaFxAHzkmQBPZX056Bfgw==" saltValue="8AB3LNtQmoonK7In5+gBBQ==" spinCount="100000" sheet="1" objects="1" scenarios="1" selectLockedCells="1"/>
  <mergeCells count="2">
    <mergeCell ref="A3:J3"/>
    <mergeCell ref="J4:J8"/>
  </mergeCells>
  <conditionalFormatting sqref="B13">
    <cfRule type="expression" dxfId="94" priority="13">
      <formula>IF(AND($B13&lt;&gt;"",$I13=0),1,0)</formula>
    </cfRule>
    <cfRule type="expression" dxfId="93" priority="14">
      <formula>IF($B13&lt;&gt;"",1,0)</formula>
    </cfRule>
    <cfRule type="expression" dxfId="92" priority="15">
      <formula>$I13=0</formula>
    </cfRule>
  </conditionalFormatting>
  <conditionalFormatting sqref="J4">
    <cfRule type="expression" dxfId="91" priority="16">
      <formula>IF(COUNTA($B$10:$B$13)&lt;&gt;COUNTIF($I$10:$I$13,1),1,0)</formula>
    </cfRule>
    <cfRule type="expression" dxfId="90" priority="17">
      <formula>IF(COUNTA($B$10:$B$13)=COUNTIF($I$10:$I$13,1),1,0)</formula>
    </cfRule>
  </conditionalFormatting>
  <conditionalFormatting sqref="B10:B12">
    <cfRule type="expression" dxfId="89" priority="1">
      <formula>IF(AND($B10&lt;&gt;"",$I10=0),1,0)</formula>
    </cfRule>
    <cfRule type="expression" dxfId="88" priority="2">
      <formula>IF($B10&lt;&gt;"",1,0)</formula>
    </cfRule>
    <cfRule type="expression" dxfId="8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5F242-5F6D-4921-AE2A-8BA7972511B7}">
          <x14:formula1>
            <xm:f>Reference!$B$2:$B$18</xm:f>
          </x14:formula1>
          <xm:sqref>D10:D13</xm:sqref>
        </x14:dataValidation>
        <x14:dataValidation type="list" allowBlank="1" showInputMessage="1" showErrorMessage="1" xr:uid="{1AF0276F-A4F0-4B0A-9917-614A44F989FF}">
          <x14:formula1>
            <xm:f>Reference!$C$2:$C$23</xm:f>
          </x14:formula1>
          <xm:sqref>F13</xm:sqref>
        </x14:dataValidation>
        <x14:dataValidation type="list" allowBlank="1" showInputMessage="1" showErrorMessage="1" xr:uid="{9E4C816E-83E4-4B52-9EB1-AF5A23126C13}">
          <x14:formula1>
            <xm:f>Reference!$A$2:$A$8</xm:f>
          </x14:formula1>
          <xm:sqref>E10:E13</xm:sqref>
        </x14:dataValidation>
        <x14:dataValidation type="list" allowBlank="1" showInputMessage="1" showErrorMessage="1" xr:uid="{E06ACB21-9368-4FA9-AE9E-2591FC06E76D}">
          <x14:formula1>
            <xm:f>'/Users/taehunkim/Library/Containers/com.microsoft.Excel/Data/Documents/C:\Users\tkim333\Desktop\RAPID Model Release\v3.0\[Test.xlsm]Reference'!#REF!</xm:f>
          </x14:formula1>
          <xm:sqref>F10:F12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74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1">
        <f>[2]Initialization!$C$10</f>
        <v>2</v>
      </c>
      <c r="I10" s="6">
        <v>1</v>
      </c>
      <c r="J10" s="5" t="s">
        <v>79</v>
      </c>
    </row>
    <row r="11" spans="1:10" ht="32" x14ac:dyDescent="0.2">
      <c r="A11" s="4" t="s">
        <v>77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1">
        <f>[2]Initialization!$C$10</f>
        <v>2</v>
      </c>
      <c r="I11" s="6">
        <v>1</v>
      </c>
      <c r="J11" s="5" t="s">
        <v>79</v>
      </c>
    </row>
    <row r="12" spans="1:10" ht="32" x14ac:dyDescent="0.2">
      <c r="A12" s="4" t="s">
        <v>75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1">
        <f>[2]Initialization!$C$10</f>
        <v>2</v>
      </c>
      <c r="I12" s="6">
        <v>1</v>
      </c>
      <c r="J12" s="5" t="s">
        <v>80</v>
      </c>
    </row>
    <row r="13" spans="1:10" ht="32" x14ac:dyDescent="0.2">
      <c r="A13" s="4" t="s">
        <v>76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1">
        <f>[2]Initialization!$C$10</f>
        <v>2</v>
      </c>
      <c r="I13" s="6">
        <v>1</v>
      </c>
      <c r="J13" s="5" t="s">
        <v>80</v>
      </c>
    </row>
    <row r="14" spans="1:10" ht="32" x14ac:dyDescent="0.2">
      <c r="A14" s="50" t="s">
        <v>138</v>
      </c>
      <c r="B14" s="33">
        <v>318.14999999999998</v>
      </c>
      <c r="C14" s="36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139</v>
      </c>
    </row>
    <row r="15" spans="1:10" ht="16" x14ac:dyDescent="0.2">
      <c r="A15" s="8" t="s">
        <v>93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94</v>
      </c>
    </row>
  </sheetData>
  <sheetProtection algorithmName="SHA-512" hashValue="yEFT2jZl8b6XjKU6wKk7QgawZoosSq0kEoIaLbR69qFexDMjXt7ZL+eWWrzDHCfh0kSzW72Hbk4EB8guojEcHw==" saltValue="EkQSG5Ypfw2T5GfYEtf6sA==" spinCount="100000" sheet="1" objects="1" scenarios="1"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89</v>
      </c>
      <c r="B10" s="33">
        <f>62</f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1">
        <f>[2]Initialization!$C$10</f>
        <v>2</v>
      </c>
      <c r="I10" s="6">
        <v>1</v>
      </c>
      <c r="J10" s="5" t="s">
        <v>81</v>
      </c>
    </row>
    <row r="11" spans="1:10" ht="32" x14ac:dyDescent="0.2">
      <c r="A11" s="4" t="s">
        <v>90</v>
      </c>
      <c r="B11" s="33">
        <f>19.7</f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1">
        <f>[2]Initialization!$C$10</f>
        <v>2</v>
      </c>
      <c r="I11" s="6">
        <v>1</v>
      </c>
      <c r="J11" s="5" t="s">
        <v>81</v>
      </c>
    </row>
    <row r="12" spans="1:10" ht="16" x14ac:dyDescent="0.2">
      <c r="A12" s="8" t="s">
        <v>93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94</v>
      </c>
    </row>
  </sheetData>
  <sheetProtection algorithmName="SHA-512" hashValue="i+q45ajxV9f43ZBJ37MGBGZ7BSiImtdBGeU45IJlG8ElRwMAskbx0kWsd9OjGHJBilnpj5vlOPrgQg7ZF4xCIA==" saltValue="CSx+muojsLo+CcrKHi2ljA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50" t="s">
        <v>133</v>
      </c>
      <c r="B10" s="33">
        <v>920.9</v>
      </c>
      <c r="C10" s="36" t="s">
        <v>137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134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tyhQUuzA65Ab/JS7f9eQ+A0UQtFuWQonsZqD5RuDc6CGkn9L3R10bqu7AGaSIG7rDUvkuI8FHeKrLpoIpQc8Jw==" saltValue="rBtuOFl8r5cD/5/OUyrug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52" customWidth="1"/>
    <col min="3" max="3" width="13.1640625" style="52" customWidth="1"/>
    <col min="4" max="4" width="13.5" style="52" customWidth="1"/>
    <col min="5" max="7" width="8.83203125" style="52" customWidth="1"/>
    <col min="8" max="8" width="14.83203125" style="52" customWidth="1"/>
    <col min="9" max="9" width="11.6640625" style="52" customWidth="1"/>
    <col min="10" max="10" width="10.33203125" style="52" customWidth="1"/>
    <col min="11" max="11" width="33.6640625" style="52" customWidth="1"/>
    <col min="12" max="12" width="40.83203125" style="52" customWidth="1"/>
    <col min="13" max="18" width="8.83203125" style="52" customWidth="1"/>
    <col min="19" max="48" width="0" style="52" hidden="1" customWidth="1"/>
    <col min="49" max="16384" width="8.83203125" style="52" hidden="1"/>
  </cols>
  <sheetData>
    <row r="1" spans="1:18" ht="14.5" customHeight="1" x14ac:dyDescent="0.2">
      <c r="A1" s="26" t="str">
        <f>'[3]Revision History'!$D$4</f>
        <v>REV. NO.1 (6/8/2022)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tr">
        <f>'[3]Revision History'!$J$4</f>
        <v>Scott Research Group (jkscottresearchgroup.com)</v>
      </c>
    </row>
    <row r="2" spans="1:18" ht="15" x14ac:dyDescent="0.2">
      <c r="A2" s="64" t="s">
        <v>109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ht="15" x14ac:dyDescent="0.2">
      <c r="A3" s="25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</row>
    <row r="4" spans="1:18" ht="15" x14ac:dyDescent="0.2">
      <c r="A4" s="24" t="s">
        <v>113</v>
      </c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</row>
    <row r="5" spans="1:18" ht="15" x14ac:dyDescent="0.2">
      <c r="A5" s="24"/>
      <c r="B5" s="53" t="s">
        <v>114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</row>
    <row r="6" spans="1:18" ht="15" x14ac:dyDescent="0.2">
      <c r="A6" s="24"/>
      <c r="B6" s="53" t="s">
        <v>115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</row>
    <row r="7" spans="1:18" ht="15" x14ac:dyDescent="0.2">
      <c r="A7" s="24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</row>
    <row r="8" spans="1:18" ht="15" x14ac:dyDescent="0.2">
      <c r="A8" s="2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</row>
    <row r="9" spans="1:18" ht="15" x14ac:dyDescent="0.2">
      <c r="A9" s="24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</row>
    <row r="10" spans="1:18" ht="15" x14ac:dyDescent="0.2">
      <c r="A10" s="24"/>
      <c r="B10" s="53" t="s">
        <v>124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18" ht="15" x14ac:dyDescent="0.2">
      <c r="A11" s="24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</row>
    <row r="12" spans="1:18" ht="15" x14ac:dyDescent="0.2">
      <c r="A12" s="24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</row>
    <row r="13" spans="1:18" ht="15" x14ac:dyDescent="0.2">
      <c r="A13" s="24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</row>
    <row r="14" spans="1:18" ht="15" x14ac:dyDescent="0.2">
      <c r="A14" s="24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</row>
    <row r="15" spans="1:18" ht="15" x14ac:dyDescent="0.2">
      <c r="A15" s="24" t="s">
        <v>110</v>
      </c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</row>
    <row r="16" spans="1:18" ht="15" x14ac:dyDescent="0.2">
      <c r="A16" s="24" t="s">
        <v>111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</row>
    <row r="17" spans="1:18" ht="15" x14ac:dyDescent="0.2">
      <c r="A17" s="24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</row>
    <row r="18" spans="1:18" ht="15" x14ac:dyDescent="0.2">
      <c r="A18" s="24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</row>
    <row r="19" spans="1:18" ht="15" x14ac:dyDescent="0.2">
      <c r="A19" s="24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</row>
    <row r="20" spans="1:18" ht="15" x14ac:dyDescent="0.2">
      <c r="A20" s="24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</row>
    <row r="21" spans="1:18" ht="15" x14ac:dyDescent="0.2">
      <c r="A21" s="24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</row>
    <row r="22" spans="1:18" ht="15" x14ac:dyDescent="0.2">
      <c r="A22" s="24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</row>
    <row r="23" spans="1:18" ht="15" x14ac:dyDescent="0.2">
      <c r="A23" s="24" t="s">
        <v>117</v>
      </c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</row>
    <row r="24" spans="1:18" ht="15" x14ac:dyDescent="0.2">
      <c r="A24" s="24" t="s">
        <v>118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</row>
    <row r="25" spans="1:18" ht="15" x14ac:dyDescent="0.2">
      <c r="A25" s="24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</row>
    <row r="26" spans="1:18" ht="15" x14ac:dyDescent="0.2">
      <c r="A26" s="24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</row>
    <row r="27" spans="1:18" ht="15" x14ac:dyDescent="0.2">
      <c r="A27" s="24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</row>
    <row r="28" spans="1:18" ht="15" x14ac:dyDescent="0.2">
      <c r="A28" s="24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</row>
    <row r="29" spans="1:18" ht="15" x14ac:dyDescent="0.2">
      <c r="A29" s="24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</row>
    <row r="30" spans="1:18" ht="15" x14ac:dyDescent="0.2">
      <c r="A30" s="24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</row>
    <row r="31" spans="1:18" ht="15" x14ac:dyDescent="0.2">
      <c r="A31" s="24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</row>
    <row r="32" spans="1:18" ht="15" x14ac:dyDescent="0.2">
      <c r="A32" s="24" t="s">
        <v>122</v>
      </c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</row>
    <row r="33" spans="1:18" ht="15" x14ac:dyDescent="0.2">
      <c r="A33" s="24" t="s">
        <v>123</v>
      </c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</row>
    <row r="34" spans="1:18" ht="15" x14ac:dyDescent="0.2">
      <c r="A34" s="24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</row>
    <row r="35" spans="1:18" ht="15" x14ac:dyDescent="0.2">
      <c r="A35" s="24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</row>
    <row r="36" spans="1:18" ht="15" x14ac:dyDescent="0.2">
      <c r="A36" s="24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</row>
    <row r="37" spans="1:18" ht="15" x14ac:dyDescent="0.2">
      <c r="A37" s="24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</row>
    <row r="38" spans="1:18" ht="15" x14ac:dyDescent="0.2">
      <c r="A38" s="24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</row>
    <row r="39" spans="1:18" ht="15" x14ac:dyDescent="0.2">
      <c r="A39" s="24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</row>
    <row r="40" spans="1:18" ht="15" x14ac:dyDescent="0.2">
      <c r="A40" s="24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</row>
    <row r="41" spans="1:18" ht="15" x14ac:dyDescent="0.2">
      <c r="A41" s="24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</row>
    <row r="42" spans="1:18" ht="15" x14ac:dyDescent="0.2">
      <c r="A42" s="24"/>
      <c r="B42" s="54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  <row r="43" spans="1:18" ht="15" x14ac:dyDescent="0.2">
      <c r="A43" s="24" t="s">
        <v>116</v>
      </c>
      <c r="B43" s="54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</row>
    <row r="44" spans="1:18" ht="15" x14ac:dyDescent="0.2">
      <c r="A44" s="24" t="s">
        <v>112</v>
      </c>
      <c r="B44" s="54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</row>
    <row r="45" spans="1:18" ht="15" x14ac:dyDescent="0.2">
      <c r="A45" s="24"/>
      <c r="B45" s="54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</row>
    <row r="46" spans="1:18" ht="15" x14ac:dyDescent="0.2">
      <c r="A46" s="24" t="s">
        <v>160</v>
      </c>
      <c r="B46" s="54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</row>
    <row r="47" spans="1:18" ht="15" x14ac:dyDescent="0.2">
      <c r="A47" s="24" t="s">
        <v>119</v>
      </c>
      <c r="B47" s="54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</row>
    <row r="48" spans="1:18" ht="15" x14ac:dyDescent="0.2">
      <c r="A48" s="24"/>
      <c r="B48" s="54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</row>
    <row r="49" spans="1:18" ht="15" x14ac:dyDescent="0.2">
      <c r="A49" s="24" t="s">
        <v>121</v>
      </c>
      <c r="B49" s="54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</row>
    <row r="50" spans="1:18" ht="15" x14ac:dyDescent="0.2">
      <c r="A50" s="24" t="s">
        <v>120</v>
      </c>
      <c r="B50" s="54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</row>
    <row r="51" spans="1:18" ht="15" x14ac:dyDescent="0.2">
      <c r="A51" s="24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</row>
    <row r="52" spans="1:18" ht="15" x14ac:dyDescent="0.2">
      <c r="A52" s="24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</row>
    <row r="53" spans="1:18" ht="15" x14ac:dyDescent="0.2">
      <c r="A53" s="24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</row>
    <row r="54" spans="1:18" ht="15" x14ac:dyDescent="0.2">
      <c r="A54" s="24"/>
      <c r="B54" s="53" t="s">
        <v>125</v>
      </c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</row>
    <row r="55" spans="1:18" ht="15" x14ac:dyDescent="0.2">
      <c r="A55" s="24"/>
      <c r="B55" s="53"/>
      <c r="C55" s="53" t="s">
        <v>129</v>
      </c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</row>
    <row r="56" spans="1:18" ht="15" x14ac:dyDescent="0.2">
      <c r="A56" s="24"/>
      <c r="B56" s="53"/>
      <c r="C56" s="53"/>
      <c r="D56" s="53" t="s">
        <v>130</v>
      </c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</row>
    <row r="57" spans="1:18" ht="15" x14ac:dyDescent="0.2">
      <c r="A57" s="24"/>
      <c r="B57" s="53"/>
      <c r="C57" s="53"/>
      <c r="D57" s="53" t="s">
        <v>131</v>
      </c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</row>
    <row r="58" spans="1:18" ht="15" x14ac:dyDescent="0.2">
      <c r="A58" s="24"/>
      <c r="B58" s="53"/>
      <c r="C58" s="53" t="s">
        <v>132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</row>
    <row r="59" spans="1:18" ht="15" x14ac:dyDescent="0.2">
      <c r="A59" s="24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105</v>
      </c>
    </row>
    <row r="2" spans="1:1" x14ac:dyDescent="0.2">
      <c r="A2" t="s">
        <v>103</v>
      </c>
    </row>
    <row r="3" spans="1:1" x14ac:dyDescent="0.2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 x14ac:dyDescent="0.2">
      <c r="A2">
        <v>0.2</v>
      </c>
      <c r="C2">
        <v>1</v>
      </c>
      <c r="G2">
        <v>1.552E-3</v>
      </c>
      <c r="H2">
        <v>1.552E-3</v>
      </c>
      <c r="I2">
        <v>8.1000000000000006E-4</v>
      </c>
      <c r="K2">
        <v>2903.4751548481281</v>
      </c>
      <c r="L2">
        <v>5311.235039356332</v>
      </c>
      <c r="M2">
        <v>1</v>
      </c>
      <c r="N2">
        <v>1</v>
      </c>
      <c r="O2">
        <v>318.14999999999998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2022-09-14T00:47:41Z</dcterms:modified>
</cp:coreProperties>
</file>