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C5721F9D-1641-6B4D-BA35-929463BAF01D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Isotherm'!$B$9:$K$9</definedName>
    <definedName name="_xlnm._FilterDatabase" localSheetId="6" hidden="1">'Adsorption Kinetics'!$B$9:$K$9</definedName>
    <definedName name="_xlnm._FilterDatabase" localSheetId="4" hidden="1">Densities!$B$9:$K$9</definedName>
    <definedName name="_xlnm._FilterDatabase" localSheetId="2" hidden="1">'Pellet Geometry'!$B$9:$K$9</definedName>
    <definedName name="_xlnm._FilterDatabase" localSheetId="7" hidden="1">'Thermodynamic Properties'!$B$9:$K$9</definedName>
    <definedName name="_xlnm._FilterDatabase" localSheetId="3" hidden="1">'Void Fractions'!$B$9:$K$9</definedName>
    <definedName name="_xlnm.Print_Area" localSheetId="5">'Adsorption Isotherm'!$B$2:$K$15</definedName>
    <definedName name="_xlnm.Print_Area" localSheetId="6">'Adsorption Kinetics'!$B$2:$K$12</definedName>
    <definedName name="_xlnm.Print_Area" localSheetId="4">Densities!$B$2:$K$13</definedName>
    <definedName name="_xlnm.Print_Area" localSheetId="2">'Pellet Geometry'!$B$2:$K$11</definedName>
    <definedName name="_xlnm.Print_Area" localSheetId="0">'Revision History'!$C$3:$K$51</definedName>
    <definedName name="_xlnm.Print_Area" localSheetId="7">'Thermodynamic Properties'!$B$2:$K$11</definedName>
    <definedName name="_xlnm.Print_Area" localSheetId="3">'Void Fractions'!$B$2:$K$13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54" l="1"/>
  <c r="I10" i="54"/>
  <c r="I10" i="53" l="1"/>
  <c r="I12" i="53"/>
  <c r="I13" i="53"/>
  <c r="I11" i="53"/>
  <c r="K4" i="55"/>
  <c r="K2" i="55"/>
  <c r="B2" i="55"/>
  <c r="C11" i="54"/>
  <c r="C10" i="54"/>
  <c r="K4" i="54" s="1"/>
  <c r="K2" i="54"/>
  <c r="B2" i="54"/>
  <c r="K4" i="53"/>
  <c r="K2" i="53"/>
  <c r="B2" i="53"/>
  <c r="C12" i="52"/>
  <c r="K4" i="52"/>
  <c r="K2" i="52"/>
  <c r="B2" i="52"/>
  <c r="J12" i="51"/>
  <c r="J11" i="51"/>
  <c r="K4" i="51"/>
  <c r="K2" i="51"/>
  <c r="B2" i="51"/>
  <c r="K4" i="42" l="1"/>
  <c r="K2" i="42"/>
  <c r="B2" i="42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H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H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H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H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H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H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<sst xmlns="http://schemas.openxmlformats.org/spreadsheetml/2006/main" count="348" uniqueCount="163">
  <si>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</si>
  <si>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</si>
  <si>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</si>
  <si>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</si>
  <si>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</si>
  <si>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</si>
  <si>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</si>
  <si>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</si>
  <si>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</si>
  <si>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</si>
  <si>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</si>
  <si>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</si>
  <si>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</si>
  <si>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</si>
  <si>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</si>
  <si>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</si>
  <si>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</si>
  <si>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</si>
  <si>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</si>
  <si>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</si>
  <si>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</si>
  <si>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</si>
  <si>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</si>
  <si>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</si>
  <si>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</si>
  <si>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</si>
  <si>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</si>
  <si>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</si>
  <si>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</si>
  <si>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</si>
  <si>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</si>
  <si>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</si>
  <si>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</si>
  <si>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</si>
  <si>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</si>
  <si>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</si>
  <si>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</si>
  <si>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</si>
  <si>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</si>
  <si>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</si>
  <si>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</si>
  <si>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</si>
  <si>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</si>
  <si>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</si>
  <si>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</si>
  <si>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</si>
  <si>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</si>
  <si>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</si>
  <si>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</si>
  <si>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</si>
  <si>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</si>
  <si>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</si>
  <si>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</si>
  <si>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</si>
  <si>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</si>
  <si>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</si>
  <si>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</si>
  <si>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</si>
  <si>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</si>
  <si>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</si>
  <si>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</si>
  <si>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</si>
  <si>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</si>
  <si>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</si>
  <si>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</si>
  <si>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</si>
  <si>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</si>
  <si>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</si>
  <si>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</si>
  <si>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</si>
  <si>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</si>
  <si>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</si>
  <si>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</si>
  <si>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</si>
  <si>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</si>
  <si>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</si>
  <si>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</si>
  <si>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</si>
  <si>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</si>
  <si>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</si>
  <si>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</si>
  <si>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</si>
  <si>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</si>
  <si>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</si>
  <si>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</si>
  <si>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</si>
  <si>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</si>
  <si>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</si>
  <si>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</si>
  <si>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</si>
  <si>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</si>
  <si>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</si>
  <si>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</si>
  <si>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</si>
  <si>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</si>
  <si>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</si>
  <si>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</si>
  <si>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</si>
  <si>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</si>
  <si>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</si>
  <si>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</si>
  <si>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</si>
  <si>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</si>
  <si>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</si>
  <si>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</si>
  <si>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</si>
  <si>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</si>
  <si>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</si>
  <si>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</si>
  <si>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</si>
  <si>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</si>
  <si>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</si>
  <si>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</si>
  <si>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</si>
  <si>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</si>
  <si>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</si>
  <si>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</si>
  <si>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</si>
  <si>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</si>
  <si>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</si>
  <si>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Pellet Void Fraction (               ) = 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</si>
  <si>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</si>
  <si>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</si>
  <si>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</si>
  <si>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</si>
  <si>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</si>
  <si>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</si>
  <si>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</si>
  <si>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</si>
  <si>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</si>
  <si>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</si>
  <si>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</si>
  <si>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</si>
  <si>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</si>
  <si>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</si>
  <si>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</si>
  <si>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</si>
  <si>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</si>
  <si>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</si>
  <si>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r>
      <rPr>
        <b/>
        <i/>
        <sz val="11"/>
        <color theme="1"/>
        <rFont val="Consolas"/>
        <family val="3"/>
      </rPr>
      <t>Notes</t>
    </r>
    <r>
      <rPr>
        <sz val="11"/>
        <color theme="1"/>
        <rFont val="Consolas"/>
        <family val="3"/>
      </rPr>
      <t>: Temperature dependence of the isotherm parameters</t>
    </r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</si>
  <si>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</si>
  <si>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</si>
  <si>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</si>
  <si>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</si>
  <si>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</si>
  <si>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</si>
  <si>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</si>
  <si>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</si>
  <si>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</si>
  <si>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</si>
  <si>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</si>
  <si>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</si>
  <si>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</si>
  <si>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</si>
  <si>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</si>
  <si>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</si>
  <si>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</si>
  <si>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</si>
  <si>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</si>
  <si>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</si>
  <si>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</si>
  <si>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Initial development of the "cycle_organization.xlsm" sheet.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</si>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</sst>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 applyProtection="1">
      <alignment horizontal="left" vertical="center"/>
    </xf>
    <xf numFmtId="0" fontId="9" fillId="6" borderId="7" xfId="0" applyFont="1" applyFill="1" applyBorder="1" applyAlignment="1" applyProtection="1">
      <alignment horizontal="center" vertical="center"/>
    </xf>
    <xf numFmtId="0" fontId="12" fillId="6" borderId="8" xfId="0" applyFont="1" applyFill="1" applyBorder="1" applyAlignment="1" applyProtection="1">
      <alignment horizontal="right" vertical="center"/>
    </xf>
    <xf numFmtId="0" fontId="8" fillId="6" borderId="5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 wrapText="1"/>
    </xf>
    <xf numFmtId="0" fontId="8" fillId="6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top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emf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3671" y="1204258"/>
          <a:ext cx="4817811" cy="45590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484094</xdr:colOff>
      <xdr:row>41</xdr:row>
      <xdr:rowOff>44823</xdr:rowOff>
    </xdr:from>
    <xdr:to>
      <xdr:col>2</xdr:col>
      <xdr:colOff>703142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03294" y="7725783"/>
          <a:ext cx="219048" cy="3500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8</xdr:col>
      <xdr:colOff>22860</xdr:colOff>
      <xdr:row>13</xdr:row>
      <xdr:rowOff>22860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560"/>
          <a:ext cx="468630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645460</xdr:colOff>
      <xdr:row>44</xdr:row>
      <xdr:rowOff>62754</xdr:rowOff>
    </xdr:from>
    <xdr:to>
      <xdr:col>3</xdr:col>
      <xdr:colOff>863275</xdr:colOff>
      <xdr:row>46</xdr:row>
      <xdr:rowOff>85118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64660" y="8292354"/>
          <a:ext cx="1116975" cy="388123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699248</xdr:colOff>
      <xdr:row>48</xdr:row>
      <xdr:rowOff>8965</xdr:rowOff>
    </xdr:from>
    <xdr:to>
      <xdr:col>2</xdr:col>
      <xdr:colOff>851629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18448" y="897008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68035</xdr:rowOff>
    </xdr:from>
    <xdr:to>
      <xdr:col>11</xdr:col>
      <xdr:colOff>2541841</xdr:colOff>
      <xdr:row>98</xdr:row>
      <xdr:rowOff>62195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7258755"/>
          <a:ext cx="12242101" cy="6943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6_pump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B9:K11" totalsRowShown="0" headerRowDxfId="138" dataDxfId="136" headerRowBorderDxfId="137" tableBorderDxfId="135" totalsRowBorderDxfId="134">
  <autoFilter ref="B9:K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B9:K13" totalsRowShown="0" headerRowDxfId="109" dataDxfId="107" headerRowBorderDxfId="108" tableBorderDxfId="106" totalsRowBorderDxfId="105">
  <autoFilter ref="B9:K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B9:K15" totalsRowShown="0" headerRowDxfId="60" dataDxfId="58" headerRowBorderDxfId="59" tableBorderDxfId="57" totalsRowBorderDxfId="56">
  <autoFilter ref="B9:K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B9:K12" totalsRowShown="0" headerRowDxfId="37" dataDxfId="35" headerRowBorderDxfId="36" tableBorderDxfId="34" totalsRowBorderDxfId="33">
  <autoFilter ref="B9:K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A3B7318-ABF5-4964-8585-DC1B4485FC8D}">
    <text>place 1 if we want to keep the row when re-initializing. Otherwise, leave it as a blank.</text>
  </threadedComment>
  <threadedComment ref="I9" dT="2020-11-26T18:35:03.27" personId="{7F98AE94-13FB-49E1-9262-339C11E0EDB4}" id="{1F766DF8-4F4C-4CAC-A34A-0EE77796A689}">
    <text>supply a value greater than 1 if you want to duplicate the row</text>
  </threadedComment>
  <threadedComment ref="J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J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95B3EC1-A5D3-4C2B-B926-25E745C35296}">
    <text>place 1 if we want to keep the row when re-initializing. Otherwise, leave it as a blank.</text>
  </threadedComment>
  <threadedComment ref="I9" dT="2020-11-26T18:35:03.27" personId="{7F98AE94-13FB-49E1-9262-339C11E0EDB4}" id="{AE93204B-2197-4D7A-AA49-C466674EC8B1}">
    <text>supply a value greater than 1 if you want to duplicate the row</text>
  </threadedComment>
  <threadedComment ref="J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J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D7ACC8B-E136-46C9-A208-4FFB47F07F13}">
    <text>place 1 if we want to keep the row when re-initializing. Otherwise, leave it as a blank.</text>
  </threadedComment>
  <threadedComment ref="I9" dT="2020-11-26T18:35:03.27" personId="{7F98AE94-13FB-49E1-9262-339C11E0EDB4}" id="{524D07B7-3BCD-416A-945D-F50C138F908B}">
    <text>supply a value greater than 1 if you want to duplicate the row</text>
  </threadedComment>
  <threadedComment ref="J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J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4679A202-C379-4D4A-8302-C6FC8DA92DAA}">
    <text>place 1 if we want to keep the row when re-initializing. Otherwise, leave it as a blank.</text>
  </threadedComment>
  <threadedComment ref="I9" dT="2020-11-26T18:35:03.27" personId="{7F98AE94-13FB-49E1-9262-339C11E0EDB4}" id="{B18702AE-04BD-4837-92FE-1853D01A6067}">
    <text>supply a value greater than 1 if you want to duplicate the row</text>
  </threadedComment>
  <threadedComment ref="J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J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3F2771C-7CC0-44FC-9260-3189065E2D5A}">
    <text>place 1 if we want to keep the row when re-initializing. Otherwise, leave it as a blank.</text>
  </threadedComment>
  <threadedComment ref="I9" dT="2020-11-26T18:35:03.27" personId="{7F98AE94-13FB-49E1-9262-339C11E0EDB4}" id="{1CDAD62E-ED78-41AC-B275-04BA7975D617}">
    <text>supply a value greater than 1 if you want to duplicate the row</text>
  </threadedComment>
  <threadedComment ref="J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J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D7B050E2-ADE4-4B45-9734-B067EA00A2ED}">
    <text>place 1 if we want to keep the row when re-initializing. Otherwise, leave it as a blank.</text>
  </threadedComment>
  <threadedComment ref="I9" dT="2020-11-26T18:35:03.27" personId="{7F98AE94-13FB-49E1-9262-339C11E0EDB4}" id="{C7BCD8B2-54F5-4D15-9DE0-6ECB4743340E}">
    <text>supply a value greater than 1 if you want to duplicate the row</text>
  </threadedComment>
  <threadedComment ref="J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J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baseColWidth="10" defaultColWidth="0" defaultRowHeight="15" zeroHeight="1" x14ac:dyDescent="0.2"/>
  <cols>
    <col min="1" max="2" width="3.33203125" style="37" hidden="1" customWidth="1"/>
    <col min="3" max="3" width="2.5" style="37" customWidth="1"/>
    <col min="4" max="4" width="13.83203125" style="37" customWidth="1"/>
    <col min="5" max="5" width="51.33203125" style="38" bestFit="1" customWidth="1"/>
    <col min="6" max="6" width="15.83203125" style="39" bestFit="1" customWidth="1"/>
    <col min="7" max="9" width="13.33203125" style="37" customWidth="1"/>
    <col min="10" max="10" width="48.83203125" style="37" customWidth="1"/>
    <col min="11" max="11" width="2.5" style="37" customWidth="1"/>
    <col min="12" max="12" width="0" style="37" hidden="1" customWidth="1"/>
    <col min="13" max="16384" width="9" style="37" hidden="1"/>
  </cols>
  <sheetData>
    <row r="3" spans="4:10" x14ac:dyDescent="0.2"/>
    <row r="4" spans="4:10" ht="19" x14ac:dyDescent="0.25">
      <c r="D4" s="68" t="s">
        <v>162</v>
      </c>
      <c r="E4" s="69"/>
      <c r="F4" s="70"/>
      <c r="G4" s="71"/>
      <c r="H4" s="71"/>
      <c r="I4" s="71"/>
      <c r="J4" s="40" t="s">
        <v>102</v>
      </c>
    </row>
    <row r="5" spans="4:10" ht="40" x14ac:dyDescent="0.2">
      <c r="D5" s="73" t="s">
        <v>41</v>
      </c>
      <c r="E5" s="73"/>
      <c r="F5" s="73"/>
      <c r="G5" s="73"/>
      <c r="H5" s="73"/>
      <c r="I5" s="73"/>
      <c r="J5" s="73"/>
    </row>
    <row r="6" spans="4:10" ht="20" x14ac:dyDescent="0.2">
      <c r="D6" s="54" t="s">
        <v>35</v>
      </c>
      <c r="E6" s="54" t="s">
        <v>160</v>
      </c>
      <c r="F6" s="54" t="s">
        <v>36</v>
      </c>
      <c r="G6" s="54" t="s">
        <v>37</v>
      </c>
      <c r="H6" s="54" t="s">
        <v>38</v>
      </c>
      <c r="I6" s="54" t="s">
        <v>39</v>
      </c>
      <c r="J6" s="54" t="s">
        <v>40</v>
      </c>
    </row>
    <row r="7" spans="4:10" ht="40" x14ac:dyDescent="0.2">
      <c r="D7" s="41">
        <v>1</v>
      </c>
      <c r="E7" s="65" t="s">
        <v>161</v>
      </c>
      <c r="F7" s="66">
        <v>44720</v>
      </c>
      <c r="G7" s="67" t="s">
        <v>42</v>
      </c>
      <c r="H7" s="41"/>
      <c r="I7" s="41"/>
      <c r="J7" s="42"/>
    </row>
    <row r="8" spans="4:10" ht="19" x14ac:dyDescent="0.2">
      <c r="D8" s="41">
        <v>2</v>
      </c>
      <c r="E8" s="42"/>
      <c r="F8" s="43"/>
      <c r="G8" s="41"/>
      <c r="H8" s="41"/>
      <c r="I8" s="41"/>
      <c r="J8" s="42"/>
    </row>
    <row r="9" spans="4:10" ht="19" x14ac:dyDescent="0.2">
      <c r="D9" s="41">
        <v>3</v>
      </c>
      <c r="E9" s="42"/>
      <c r="F9" s="43"/>
      <c r="G9" s="41"/>
      <c r="H9" s="41"/>
      <c r="I9" s="41"/>
      <c r="J9" s="42"/>
    </row>
    <row r="10" spans="4:10" ht="19" x14ac:dyDescent="0.2">
      <c r="D10" s="41">
        <v>4</v>
      </c>
      <c r="E10" s="42"/>
      <c r="F10" s="43"/>
      <c r="G10" s="41"/>
      <c r="H10" s="41"/>
      <c r="I10" s="41"/>
      <c r="J10" s="42"/>
    </row>
    <row r="11" spans="4:10" ht="19" x14ac:dyDescent="0.2">
      <c r="D11" s="41">
        <v>5</v>
      </c>
      <c r="E11" s="42"/>
      <c r="F11" s="43"/>
      <c r="G11" s="41"/>
      <c r="H11" s="41"/>
      <c r="I11" s="41"/>
      <c r="J11" s="42"/>
    </row>
    <row r="12" spans="4:10" ht="19" x14ac:dyDescent="0.2">
      <c r="D12" s="41">
        <v>6</v>
      </c>
      <c r="E12" s="42"/>
      <c r="F12" s="43"/>
      <c r="G12" s="41"/>
      <c r="H12" s="41"/>
      <c r="I12" s="41"/>
      <c r="J12" s="42"/>
    </row>
    <row r="13" spans="4:10" ht="19" x14ac:dyDescent="0.2">
      <c r="D13" s="41">
        <v>7</v>
      </c>
      <c r="E13" s="42"/>
      <c r="F13" s="43"/>
      <c r="G13" s="41"/>
      <c r="H13" s="41"/>
      <c r="I13" s="41"/>
      <c r="J13" s="42"/>
    </row>
    <row r="14" spans="4:10" ht="19" x14ac:dyDescent="0.2">
      <c r="D14" s="41">
        <v>8</v>
      </c>
      <c r="E14" s="42"/>
      <c r="F14" s="43"/>
      <c r="G14" s="41"/>
      <c r="H14" s="41"/>
      <c r="I14" s="41"/>
      <c r="J14" s="42"/>
    </row>
    <row r="15" spans="4:10" ht="19" x14ac:dyDescent="0.2">
      <c r="D15" s="41">
        <v>9</v>
      </c>
      <c r="E15" s="42"/>
      <c r="F15" s="43"/>
      <c r="G15" s="41"/>
      <c r="H15" s="41"/>
      <c r="I15" s="41"/>
      <c r="J15" s="42"/>
    </row>
    <row r="16" spans="4:10" ht="19" x14ac:dyDescent="0.2">
      <c r="D16" s="41">
        <v>10</v>
      </c>
      <c r="E16" s="42"/>
      <c r="F16" s="43"/>
      <c r="G16" s="41"/>
      <c r="H16" s="41"/>
      <c r="I16" s="41"/>
      <c r="J16" s="4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128</v>
      </c>
      <c r="R1" t="s">
        <v>136</v>
      </c>
      <c r="S1" t="s">
        <v>137</v>
      </c>
      <c r="T1" t="s">
        <v>149</v>
      </c>
      <c r="U1" t="s">
        <v>150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151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152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153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154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155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156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157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147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148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IF(COUNTIF(Table193[Test 3],1)=COUNTA(Table193[Value]),"Ready","Not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9" t="s">
        <v>158</v>
      </c>
      <c r="C10" s="50">
        <v>0.2</v>
      </c>
      <c r="D10" s="51" t="s">
        <v>78</v>
      </c>
      <c r="E10" s="1" t="s">
        <v>26</v>
      </c>
      <c r="F10" s="1" t="s">
        <v>7</v>
      </c>
      <c r="G10" s="46" t="s">
        <v>52</v>
      </c>
      <c r="H10" s="1">
        <v>1</v>
      </c>
      <c r="I10" s="1">
        <v>1</v>
      </c>
      <c r="J10" s="6">
        <v>1</v>
      </c>
      <c r="K10" s="53" t="s">
        <v>159</v>
      </c>
    </row>
    <row r="11" spans="2:11" ht="16" x14ac:dyDescent="0.2">
      <c r="B11" s="8" t="s">
        <v>93</v>
      </c>
      <c r="C11" s="34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dIou+BjQR9YcXS6uFBQDc5rWJhpxmeYgd8J96Df0aEuJlzTArTiie4YMquDTchhA32IGKH2n6hFGcfYTvo6ccQ==" saltValue="XwKxBmZRCpLKljZ53RijNg==" spinCount="100000" sheet="1" objects="1" scenarios="1" selectLockedCells="1"/>
  <mergeCells count="2">
    <mergeCell ref="B3:K3"/>
    <mergeCell ref="K4:K8"/>
  </mergeCells>
  <conditionalFormatting sqref="C11">
    <cfRule type="expression" dxfId="146" priority="4">
      <formula>IF(AND($C11&lt;&gt;"",$J11=0),1,0)</formula>
    </cfRule>
    <cfRule type="expression" dxfId="145" priority="5">
      <formula>IF($C11&lt;&gt;"",1,0)</formula>
    </cfRule>
    <cfRule type="expression" dxfId="144" priority="6">
      <formula>$J11=0</formula>
    </cfRule>
  </conditionalFormatting>
  <conditionalFormatting sqref="C10">
    <cfRule type="expression" dxfId="143" priority="1">
      <formula>IF(AND($C10&lt;&gt;"",$J10=0),1,0)</formula>
    </cfRule>
    <cfRule type="expression" dxfId="142" priority="2">
      <formula>IF($C10&lt;&gt;"",1,0)</formula>
    </cfRule>
    <cfRule type="expression" dxfId="141" priority="3">
      <formula>$J10=0</formula>
    </cfRule>
  </conditionalFormatting>
  <conditionalFormatting sqref="K4">
    <cfRule type="expression" dxfId="140" priority="7">
      <formula>IF(COUNTA($C$10:$C$11)&lt;&gt;COUNTIF($J$10:$J$11,1),1,0)</formula>
    </cfRule>
    <cfRule type="expression" dxfId="139" priority="8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E10:E11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G11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F10:F11</xm:sqref>
        </x14:dataValidation>
        <x14:dataValidation type="list" allowBlank="1" showInputMessage="1" showErrorMessage="1" xr:uid="{7188B3FA-FD6C-4DA6-B8CC-9407C4E95FD3}">
          <x14:formula1>
            <xm:f>'/Users/taehunkim/Library/Containers/com.microsoft.Excel/Data/Documents/C:\Users\tkim333\Desktop\RAPID Model Release\v3.0\[Test.xlsm]Reference'!#REF!</xm:f>
          </x14:formula1>
          <xm:sqref>G10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IF(COUNTIF(Table19312[Test 3],1)=COUNTA(Table19312[Value]),"Ready","Not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80" x14ac:dyDescent="0.2">
      <c r="B10" s="72" t="s">
        <v>129</v>
      </c>
      <c r="C10" s="33">
        <v>1</v>
      </c>
      <c r="D10" s="51" t="s">
        <v>3</v>
      </c>
      <c r="E10" s="1" t="s">
        <v>26</v>
      </c>
      <c r="F10" s="1" t="s">
        <v>99</v>
      </c>
      <c r="G10" s="46" t="s">
        <v>44</v>
      </c>
      <c r="H10" s="1">
        <v>1</v>
      </c>
      <c r="I10" s="1">
        <v>1</v>
      </c>
      <c r="J10" s="47">
        <v>1</v>
      </c>
      <c r="K10" s="48" t="s">
        <v>142</v>
      </c>
    </row>
    <row r="11" spans="2:11" ht="16" x14ac:dyDescent="0.2">
      <c r="B11" s="45" t="s">
        <v>145</v>
      </c>
      <c r="C11" s="33"/>
      <c r="D11" s="46" t="s">
        <v>3</v>
      </c>
      <c r="E11" s="1" t="s">
        <v>26</v>
      </c>
      <c r="F11" s="1" t="s">
        <v>7</v>
      </c>
      <c r="G11" s="46" t="s">
        <v>33</v>
      </c>
      <c r="H11" s="1">
        <v>1</v>
      </c>
      <c r="I11" s="1">
        <v>1</v>
      </c>
      <c r="J11" s="52">
        <f>IF($C$10=0,0,IF($C$10=1,0,IF($C$10=2,1,IF($C$10=3,1,0))))</f>
        <v>0</v>
      </c>
      <c r="K11" s="48" t="s">
        <v>143</v>
      </c>
    </row>
    <row r="12" spans="2:11" ht="16" x14ac:dyDescent="0.2">
      <c r="B12" s="45" t="s">
        <v>146</v>
      </c>
      <c r="C12" s="35"/>
      <c r="D12" s="46" t="s">
        <v>3</v>
      </c>
      <c r="E12" s="1" t="s">
        <v>26</v>
      </c>
      <c r="F12" s="1" t="s">
        <v>7</v>
      </c>
      <c r="G12" s="46" t="s">
        <v>33</v>
      </c>
      <c r="H12" s="1">
        <v>1</v>
      </c>
      <c r="I12" s="1">
        <v>1</v>
      </c>
      <c r="J12" s="52">
        <f>IF($C$10=0,0,IF($C$10=1,0,IF($C$10=2,0,IF($C$10=3,1,0))))</f>
        <v>0</v>
      </c>
      <c r="K12" s="48" t="s">
        <v>144</v>
      </c>
    </row>
    <row r="13" spans="2:11" ht="16" x14ac:dyDescent="0.2">
      <c r="B13" s="8" t="s">
        <v>93</v>
      </c>
      <c r="C13" s="34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algorithmName="SHA-512" hashValue="x+Iw7pQfSxlh0pQpF01Sqmx436uohZGpuXQqJfjfiwao/TC5a+psy7qG0lcjWakWmiB4Zh6Dt8VyTx09f8oaNg==" saltValue="mEW0A1nnZrWPApSacZNngg==" spinCount="100000" sheet="1" objects="1" scenarios="1" selectLockedCells="1"/>
  <mergeCells count="2">
    <mergeCell ref="B3:K3"/>
    <mergeCell ref="K4:K8"/>
  </mergeCells>
  <conditionalFormatting sqref="C13">
    <cfRule type="expression" dxfId="123" priority="13">
      <formula>IF(AND($C13&lt;&gt;"",$J13=0),1,0)</formula>
    </cfRule>
    <cfRule type="expression" dxfId="122" priority="14">
      <formula>IF($C13&lt;&gt;"",1,0)</formula>
    </cfRule>
    <cfRule type="expression" dxfId="121" priority="15">
      <formula>$J13=0</formula>
    </cfRule>
  </conditionalFormatting>
  <conditionalFormatting sqref="C12">
    <cfRule type="expression" dxfId="120" priority="1">
      <formula>IF(AND($C12&lt;&gt;"",$J12=0),1,0)</formula>
    </cfRule>
    <cfRule type="expression" dxfId="119" priority="2">
      <formula>IF($C12&lt;&gt;"",1,0)</formula>
    </cfRule>
    <cfRule type="expression" dxfId="118" priority="3">
      <formula>$J12=0</formula>
    </cfRule>
  </conditionalFormatting>
  <conditionalFormatting sqref="K4">
    <cfRule type="expression" dxfId="117" priority="16">
      <formula>IF(COUNTA($C$10:$C$13)&lt;&gt;COUNTIF($J$10:$J$13,1),1,0)</formula>
    </cfRule>
    <cfRule type="expression" dxfId="116" priority="17">
      <formula>IF(COUNTA($C$10:$C$13)=COUNTIF($J$10:$J$13,1),1,0)</formula>
    </cfRule>
  </conditionalFormatting>
  <conditionalFormatting sqref="C10">
    <cfRule type="expression" dxfId="115" priority="7">
      <formula>IF(AND($C10&lt;&gt;"",$J10=0),1,0)</formula>
    </cfRule>
    <cfRule type="expression" dxfId="114" priority="8">
      <formula>IF($C10&lt;&gt;"",1,0)</formula>
    </cfRule>
    <cfRule type="expression" dxfId="113" priority="9">
      <formula>$J10=0</formula>
    </cfRule>
  </conditionalFormatting>
  <conditionalFormatting sqref="C11">
    <cfRule type="expression" dxfId="112" priority="4">
      <formula>IF(AND($C11&lt;&gt;"",$J11=0),1,0)</formula>
    </cfRule>
    <cfRule type="expression" dxfId="111" priority="5">
      <formula>IF($C11&lt;&gt;"",1,0)</formula>
    </cfRule>
    <cfRule type="expression" dxfId="110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7F8BDE5-DC00-4BE4-8115-5847E571D2AF}">
          <x14:formula1>
            <xm:f>'/Users/taehunkim/Library/Containers/com.microsoft.Excel/Data/Documents/C:\Users\tkim333\Desktop\RAPID Model Release\v3.0\[Test.xlsm]Reference'!#REF!</xm:f>
          </x14:formula1>
          <xm:sqref>G10:G12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F10:F13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G13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IF(COUNTIF(Table1931213[Test 3],1)=COUNTA(Table1931213[Value]),"Ready","Not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5" t="s">
        <v>68</v>
      </c>
      <c r="C10" s="35">
        <v>1.552E-3</v>
      </c>
      <c r="D10" s="46" t="s">
        <v>21</v>
      </c>
      <c r="E10" s="1" t="s">
        <v>26</v>
      </c>
      <c r="F10" s="1" t="s">
        <v>7</v>
      </c>
      <c r="G10" s="46" t="s">
        <v>44</v>
      </c>
      <c r="H10" s="1">
        <v>1</v>
      </c>
      <c r="I10" s="1">
        <v>1</v>
      </c>
      <c r="J10" s="47">
        <v>1</v>
      </c>
      <c r="K10" s="48" t="s">
        <v>98</v>
      </c>
    </row>
    <row r="11" spans="2:11" ht="32" x14ac:dyDescent="0.2">
      <c r="B11" s="45" t="s">
        <v>69</v>
      </c>
      <c r="C11" s="35">
        <v>1.552E-3</v>
      </c>
      <c r="D11" s="46" t="s">
        <v>21</v>
      </c>
      <c r="E11" s="1" t="s">
        <v>26</v>
      </c>
      <c r="F11" s="1" t="s">
        <v>7</v>
      </c>
      <c r="G11" s="46" t="s">
        <v>44</v>
      </c>
      <c r="H11" s="1">
        <v>1</v>
      </c>
      <c r="I11" s="1">
        <v>1</v>
      </c>
      <c r="J11" s="47">
        <v>1</v>
      </c>
      <c r="K11" s="48" t="s">
        <v>127</v>
      </c>
    </row>
    <row r="12" spans="2:11" ht="32" x14ac:dyDescent="0.2">
      <c r="B12" s="45" t="s">
        <v>70</v>
      </c>
      <c r="C12" s="35">
        <f>0.81/1000</f>
        <v>8.1000000000000006E-4</v>
      </c>
      <c r="D12" s="46" t="s">
        <v>21</v>
      </c>
      <c r="E12" s="1" t="s">
        <v>26</v>
      </c>
      <c r="F12" s="1" t="s">
        <v>7</v>
      </c>
      <c r="G12" s="46" t="s">
        <v>44</v>
      </c>
      <c r="H12" s="1">
        <v>1</v>
      </c>
      <c r="I12" s="1">
        <v>1</v>
      </c>
      <c r="J12" s="47">
        <v>1</v>
      </c>
      <c r="K12" s="48" t="s">
        <v>97</v>
      </c>
    </row>
    <row r="13" spans="2:11" ht="16" x14ac:dyDescent="0.2">
      <c r="B13" s="8" t="s">
        <v>93</v>
      </c>
      <c r="C13" s="34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algorithmName="SHA-512" hashValue="WL2Za1saz3kAOleX8pZA6D2NyOHTLWwGrdUx3cxGBfXPSD8f5Z1XwOYGTXAbLBfi7QCnNZ+/cejzRWvcRd9XGg==" saltValue="2sR1A/JnrbXxyxTTLd7RrQ==" spinCount="100000" sheet="1" objects="1" scenarios="1" selectLockedCells="1"/>
  <mergeCells count="2">
    <mergeCell ref="B3:K3"/>
    <mergeCell ref="K4:K8"/>
  </mergeCells>
  <conditionalFormatting sqref="C13">
    <cfRule type="expression" dxfId="94" priority="13">
      <formula>IF(AND($C13&lt;&gt;"",$J13=0),1,0)</formula>
    </cfRule>
    <cfRule type="expression" dxfId="93" priority="14">
      <formula>IF($C13&lt;&gt;"",1,0)</formula>
    </cfRule>
    <cfRule type="expression" dxfId="92" priority="15">
      <formula>$J13=0</formula>
    </cfRule>
  </conditionalFormatting>
  <conditionalFormatting sqref="K4">
    <cfRule type="expression" dxfId="91" priority="16">
      <formula>IF(COUNTA($C$10:$C$13)&lt;&gt;COUNTIF($J$10:$J$13,1),1,0)</formula>
    </cfRule>
    <cfRule type="expression" dxfId="90" priority="17">
      <formula>IF(COUNTA($C$10:$C$13)=COUNTIF($J$10:$J$13,1),1,0)</formula>
    </cfRule>
  </conditionalFormatting>
  <conditionalFormatting sqref="C10:C12">
    <cfRule type="expression" dxfId="89" priority="1">
      <formula>IF(AND($C10&lt;&gt;"",$J10=0),1,0)</formula>
    </cfRule>
    <cfRule type="expression" dxfId="88" priority="2">
      <formula>IF($C10&lt;&gt;"",1,0)</formula>
    </cfRule>
    <cfRule type="expression" dxfId="87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E10:E13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G13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F10:F13</xm:sqref>
        </x14:dataValidation>
        <x14:dataValidation type="list" allowBlank="1" showInputMessage="1" showErrorMessage="1" xr:uid="{E06ACB21-9368-4FA9-AE9E-2591FC06E76D}">
          <x14:formula1>
            <xm:f>'/Users/taehunkim/Library/Containers/com.microsoft.Excel/Data/Documents/C:\Users\tkim333\Desktop\RAPID Model Release\v3.0\[Test.xlsm]Reference'!#REF!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5" sqref="C15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IF(COUNTIF(Table193121314[Test 3],1)=COUNTA(Table193121314[Value]),"Ready","Not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" t="s">
        <v>74</v>
      </c>
      <c r="C10" s="33">
        <v>2903.4751548481281</v>
      </c>
      <c r="D10" s="2" t="s">
        <v>22</v>
      </c>
      <c r="E10" s="55" t="s">
        <v>26</v>
      </c>
      <c r="F10" s="55" t="s">
        <v>7</v>
      </c>
      <c r="G10" s="2" t="s">
        <v>5</v>
      </c>
      <c r="H10" s="55">
        <v>1</v>
      </c>
      <c r="I10" s="55">
        <f>[2]Initialization!$C$10</f>
        <v>2</v>
      </c>
      <c r="J10" s="6">
        <v>1</v>
      </c>
      <c r="K10" s="5" t="s">
        <v>79</v>
      </c>
    </row>
    <row r="11" spans="2:11" ht="32" x14ac:dyDescent="0.2">
      <c r="B11" s="4" t="s">
        <v>77</v>
      </c>
      <c r="C11" s="33">
        <v>5311.235039356332</v>
      </c>
      <c r="D11" s="2" t="s">
        <v>22</v>
      </c>
      <c r="E11" s="55" t="s">
        <v>26</v>
      </c>
      <c r="F11" s="55" t="s">
        <v>7</v>
      </c>
      <c r="G11" s="2" t="s">
        <v>5</v>
      </c>
      <c r="H11" s="55"/>
      <c r="I11" s="55">
        <f>[2]Initialization!$C$10</f>
        <v>2</v>
      </c>
      <c r="J11" s="6">
        <v>1</v>
      </c>
      <c r="K11" s="5" t="s">
        <v>79</v>
      </c>
    </row>
    <row r="12" spans="2:11" ht="32" x14ac:dyDescent="0.2">
      <c r="B12" s="4" t="s">
        <v>75</v>
      </c>
      <c r="C12" s="33">
        <v>1</v>
      </c>
      <c r="D12" s="2" t="s">
        <v>23</v>
      </c>
      <c r="E12" s="55" t="s">
        <v>26</v>
      </c>
      <c r="F12" s="55" t="s">
        <v>7</v>
      </c>
      <c r="G12" s="2" t="s">
        <v>5</v>
      </c>
      <c r="H12" s="55">
        <v>1</v>
      </c>
      <c r="I12" s="55">
        <f>[2]Initialization!$C$10</f>
        <v>2</v>
      </c>
      <c r="J12" s="6">
        <v>1</v>
      </c>
      <c r="K12" s="5" t="s">
        <v>80</v>
      </c>
    </row>
    <row r="13" spans="2:11" ht="32" x14ac:dyDescent="0.2">
      <c r="B13" s="4" t="s">
        <v>76</v>
      </c>
      <c r="C13" s="33">
        <v>1</v>
      </c>
      <c r="D13" s="2" t="s">
        <v>23</v>
      </c>
      <c r="E13" s="55" t="s">
        <v>26</v>
      </c>
      <c r="F13" s="55" t="s">
        <v>7</v>
      </c>
      <c r="G13" s="2" t="s">
        <v>5</v>
      </c>
      <c r="H13" s="55"/>
      <c r="I13" s="55">
        <f>[2]Initialization!$C$10</f>
        <v>2</v>
      </c>
      <c r="J13" s="6">
        <v>1</v>
      </c>
      <c r="K13" s="5" t="s">
        <v>80</v>
      </c>
    </row>
    <row r="14" spans="2:11" ht="32" x14ac:dyDescent="0.2">
      <c r="B14" s="56" t="s">
        <v>140</v>
      </c>
      <c r="C14" s="33">
        <v>318.14999999999998</v>
      </c>
      <c r="D14" s="36" t="s">
        <v>20</v>
      </c>
      <c r="E14" s="55" t="s">
        <v>26</v>
      </c>
      <c r="F14" s="55" t="s">
        <v>7</v>
      </c>
      <c r="G14" s="2" t="s">
        <v>51</v>
      </c>
      <c r="H14" s="55">
        <v>1</v>
      </c>
      <c r="I14" s="55">
        <v>1</v>
      </c>
      <c r="J14" s="6">
        <v>1</v>
      </c>
      <c r="K14" s="5" t="s">
        <v>141</v>
      </c>
    </row>
    <row r="15" spans="2:11" ht="16" x14ac:dyDescent="0.2">
      <c r="B15" s="8" t="s">
        <v>93</v>
      </c>
      <c r="C15" s="34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94</v>
      </c>
    </row>
  </sheetData>
  <sheetProtection algorithmName="SHA-512" hashValue="MNiDaQAhIVM7I5j10YMJjirVt3wLKDeHtn63ZiNKUl5XUKRe4JB5nlMPy7Ydwgf6cSWLYC+qLwbPpdmSk8tWrg==" saltValue="DFBS6E1JTxM6G9Sbt4Z8aw==" spinCount="100000" sheet="1" objects="1" scenarios="1" selectLockedCells="1"/>
  <mergeCells count="2">
    <mergeCell ref="B3:K3"/>
    <mergeCell ref="K4:K8"/>
  </mergeCells>
  <conditionalFormatting sqref="C15">
    <cfRule type="expression" dxfId="71" priority="10">
      <formula>IF(AND($C15&lt;&gt;"",$J15=0),1,0)</formula>
    </cfRule>
    <cfRule type="expression" dxfId="70" priority="11">
      <formula>IF($C15&lt;&gt;"",1,0)</formula>
    </cfRule>
    <cfRule type="expression" dxfId="69" priority="12">
      <formula>$J15=0</formula>
    </cfRule>
  </conditionalFormatting>
  <conditionalFormatting sqref="K4">
    <cfRule type="expression" dxfId="68" priority="13">
      <formula>IF(COUNTA($C$10:$C$15)&lt;&gt;COUNTIF($J$10:$J$15,1),1,0)</formula>
    </cfRule>
    <cfRule type="expression" dxfId="67" priority="14">
      <formula>IF(COUNTA($C$10:$C$15)=COUNTIF($J$10:$J$15,1),1,0)</formula>
    </cfRule>
  </conditionalFormatting>
  <conditionalFormatting sqref="C10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conditionalFormatting sqref="C11:C14">
    <cfRule type="expression" dxfId="63" priority="4">
      <formula>IF(AND($C11&lt;&gt;"",$J11=0),1,0)</formula>
    </cfRule>
    <cfRule type="expression" dxfId="62" priority="5">
      <formula>IF($C11&lt;&gt;"",1,0)</formula>
    </cfRule>
    <cfRule type="expression" dxfId="61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F10:F15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G10:G15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E10:E15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IF(COUNTIF(Table19312131415[Test 3],1)=COUNTA(Table19312131415[Value]),"Ready","Not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5" t="s">
        <v>89</v>
      </c>
      <c r="C10" s="33">
        <f>62</f>
        <v>62</v>
      </c>
      <c r="D10" s="46" t="s">
        <v>24</v>
      </c>
      <c r="E10" s="1" t="s">
        <v>25</v>
      </c>
      <c r="F10" s="1" t="s">
        <v>7</v>
      </c>
      <c r="G10" s="46" t="s">
        <v>5</v>
      </c>
      <c r="H10" s="1">
        <v>1</v>
      </c>
      <c r="I10" s="1">
        <f>[2]Initialization!$C$10</f>
        <v>2</v>
      </c>
      <c r="J10" s="47">
        <v>1</v>
      </c>
      <c r="K10" s="48" t="s">
        <v>81</v>
      </c>
    </row>
    <row r="11" spans="2:11" ht="32" x14ac:dyDescent="0.2">
      <c r="B11" s="45" t="s">
        <v>90</v>
      </c>
      <c r="C11" s="33">
        <f>19.7</f>
        <v>19.7</v>
      </c>
      <c r="D11" s="46" t="s">
        <v>24</v>
      </c>
      <c r="E11" s="1" t="s">
        <v>25</v>
      </c>
      <c r="F11" s="1" t="s">
        <v>7</v>
      </c>
      <c r="G11" s="46" t="s">
        <v>5</v>
      </c>
      <c r="H11" s="1"/>
      <c r="I11" s="1">
        <f>[2]Initialization!$C$10</f>
        <v>2</v>
      </c>
      <c r="J11" s="47">
        <v>1</v>
      </c>
      <c r="K11" s="48" t="s">
        <v>81</v>
      </c>
    </row>
    <row r="12" spans="2:11" ht="16" x14ac:dyDescent="0.2">
      <c r="B12" s="8" t="s">
        <v>93</v>
      </c>
      <c r="C12" s="34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94</v>
      </c>
    </row>
  </sheetData>
  <sheetProtection algorithmName="SHA-512" hashValue="bbKQoe3ye9fUYCUHvKwaaeWXLHGiPO6VDI48I3mxDmVPJghAsDw9Usk+lmVqUxTLL1G7PFfamjgFYqUfNW0Ybg==" saltValue="dRnrKVQo2q/YIS2/6J9jIA==" spinCount="100000" sheet="1" objects="1" scenarios="1" selectLockedCells="1"/>
  <mergeCells count="2">
    <mergeCell ref="B3:K3"/>
    <mergeCell ref="K4:K8"/>
  </mergeCells>
  <conditionalFormatting sqref="C12">
    <cfRule type="expression" dxfId="45" priority="10">
      <formula>IF(AND($C12&lt;&gt;"",$J12=0),1,0)</formula>
    </cfRule>
    <cfRule type="expression" dxfId="44" priority="11">
      <formula>IF($C12&lt;&gt;"",1,0)</formula>
    </cfRule>
    <cfRule type="expression" dxfId="43" priority="12">
      <formula>$J12=0</formula>
    </cfRule>
  </conditionalFormatting>
  <conditionalFormatting sqref="C10:C11">
    <cfRule type="expression" dxfId="42" priority="1">
      <formula>IF(AND($C10&lt;&gt;"",$J10=0),1,0)</formula>
    </cfRule>
    <cfRule type="expression" dxfId="41" priority="2">
      <formula>IF($C10&lt;&gt;"",1,0)</formula>
    </cfRule>
    <cfRule type="expression" dxfId="40" priority="3">
      <formula>$J10=0</formula>
    </cfRule>
  </conditionalFormatting>
  <conditionalFormatting sqref="K4">
    <cfRule type="expression" dxfId="39" priority="2052">
      <formula>IF(COUNTA($C$10:$C$12)&lt;&gt;COUNTIF($J$10:$J$12,1),1,0)</formula>
    </cfRule>
    <cfRule type="expression" dxfId="38" priority="2053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E10:E12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G10:G12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F10:F12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2" sqref="A12:XFD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IF(COUNTIF(Table1931213141516[Test 3],1)=COUNTA(Table1931213141516[Value]),"Ready","Not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72" t="s">
        <v>134</v>
      </c>
      <c r="C10" s="33">
        <v>920.9</v>
      </c>
      <c r="D10" s="51" t="s">
        <v>138</v>
      </c>
      <c r="E10" s="1" t="s">
        <v>26</v>
      </c>
      <c r="F10" s="1" t="s">
        <v>7</v>
      </c>
      <c r="G10" s="46" t="s">
        <v>44</v>
      </c>
      <c r="H10" s="1">
        <v>1</v>
      </c>
      <c r="I10" s="1">
        <v>1</v>
      </c>
      <c r="J10" s="47">
        <v>1</v>
      </c>
      <c r="K10" s="48" t="s">
        <v>135</v>
      </c>
    </row>
    <row r="11" spans="2:11" ht="16" x14ac:dyDescent="0.2">
      <c r="B11" s="8" t="s">
        <v>93</v>
      </c>
      <c r="C11" s="34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RFQc3u8aMKKwWmzbYDr7lw9oYc9cKQSYw0Ms1xwbaqFijl5VdpX4f7VzDBOvxk8ECGGocRq3afDT/8MHKg646A==" saltValue="+1Pgn2EXE7ffxQKYQQxytg==" spinCount="100000" sheet="1" objects="1" scenarios="1" selectLockedCells="1"/>
  <mergeCells count="2">
    <mergeCell ref="B3:K3"/>
    <mergeCell ref="K4:K8"/>
  </mergeCells>
  <conditionalFormatting sqref="C11">
    <cfRule type="expression" dxfId="22" priority="7">
      <formula>IF(AND($C11&lt;&gt;"",$J11=0),1,0)</formula>
    </cfRule>
    <cfRule type="expression" dxfId="21" priority="8">
      <formula>IF($C11&lt;&gt;"",1,0)</formula>
    </cfRule>
    <cfRule type="expression" dxfId="20" priority="9">
      <formula>$J11=0</formula>
    </cfRule>
  </conditionalFormatting>
  <conditionalFormatting sqref="C1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054">
      <formula>IF(COUNTA($C$10:$C$11)&lt;&gt;COUNTIF($J$10:$J$11,1),1,0)</formula>
    </cfRule>
    <cfRule type="expression" dxfId="15" priority="205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F10:F11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G10:G11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E10:E11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99"/>
  <sheetViews>
    <sheetView showGridLines="0" zoomScale="85" zoomScaleNormal="85" zoomScaleSheetLayoutView="55" workbookViewId="0">
      <selection activeCell="L19" sqref="L19"/>
    </sheetView>
  </sheetViews>
  <sheetFormatPr baseColWidth="10" defaultColWidth="0" defaultRowHeight="14.5" customHeight="1" zeroHeight="1" x14ac:dyDescent="0.2"/>
  <cols>
    <col min="1" max="2" width="8.83203125" style="61" customWidth="1"/>
    <col min="3" max="3" width="13.1640625" style="61" customWidth="1"/>
    <col min="4" max="4" width="13.5" style="61" customWidth="1"/>
    <col min="5" max="7" width="8.83203125" style="61" customWidth="1"/>
    <col min="8" max="8" width="14.83203125" style="61" customWidth="1"/>
    <col min="9" max="9" width="11.6640625" style="61" customWidth="1"/>
    <col min="10" max="10" width="10.33203125" style="61" customWidth="1"/>
    <col min="11" max="11" width="33.6640625" style="61" customWidth="1"/>
    <col min="12" max="12" width="40.83203125" style="61" customWidth="1"/>
    <col min="13" max="18" width="8.83203125" style="61" customWidth="1"/>
    <col min="19" max="48" width="0" style="61" hidden="1" customWidth="1"/>
    <col min="49" max="16384" width="8.83203125" style="61" hidden="1"/>
  </cols>
  <sheetData>
    <row r="1" spans="1:18" ht="14.5" customHeight="1" x14ac:dyDescent="0.2">
      <c r="A1" s="58" t="str">
        <f>'[3]Revision History'!$D$4</f>
        <v>REV. NO.1 (6/8/2022)</v>
      </c>
      <c r="B1" s="59"/>
      <c r="C1" s="59"/>
      <c r="D1" s="59"/>
      <c r="E1" s="59"/>
      <c r="F1" s="59"/>
      <c r="G1" s="59"/>
      <c r="H1" s="59"/>
      <c r="I1" s="59"/>
      <c r="J1" s="60"/>
      <c r="K1" s="60"/>
      <c r="L1" s="60"/>
      <c r="M1" s="60"/>
      <c r="N1" s="60"/>
      <c r="O1" s="60"/>
      <c r="P1" s="60"/>
      <c r="Q1" s="60"/>
      <c r="R1" s="60" t="str">
        <f>'[3]Revision History'!$J$4</f>
        <v>Scott Research Group (jkscottresearchgroup.com)</v>
      </c>
    </row>
    <row r="2" spans="1:18" ht="15" x14ac:dyDescent="0.2">
      <c r="A2" s="78" t="s">
        <v>109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1:18" ht="15" x14ac:dyDescent="0.2">
      <c r="A3" s="25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8" ht="15" x14ac:dyDescent="0.2">
      <c r="A4" s="24" t="s">
        <v>113</v>
      </c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</row>
    <row r="5" spans="1:18" ht="15" x14ac:dyDescent="0.2">
      <c r="A5" s="24"/>
      <c r="B5" s="62" t="s">
        <v>114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</row>
    <row r="6" spans="1:18" ht="15" x14ac:dyDescent="0.2">
      <c r="A6" s="24"/>
      <c r="B6" s="62" t="s">
        <v>115</v>
      </c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</row>
    <row r="7" spans="1:18" ht="15" x14ac:dyDescent="0.2">
      <c r="A7" s="24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</row>
    <row r="8" spans="1:18" ht="15" x14ac:dyDescent="0.2">
      <c r="A8" s="24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</row>
    <row r="9" spans="1:18" ht="15" x14ac:dyDescent="0.2">
      <c r="A9" s="24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</row>
    <row r="10" spans="1:18" ht="15" x14ac:dyDescent="0.2">
      <c r="A10" s="24"/>
      <c r="B10" s="62" t="s">
        <v>125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</row>
    <row r="11" spans="1:18" ht="15" x14ac:dyDescent="0.2">
      <c r="A11" s="24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</row>
    <row r="12" spans="1:18" ht="15" x14ac:dyDescent="0.2">
      <c r="A12" s="24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</row>
    <row r="13" spans="1:18" ht="15" x14ac:dyDescent="0.2">
      <c r="A13" s="24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</row>
    <row r="14" spans="1:18" ht="15" x14ac:dyDescent="0.2">
      <c r="A14" s="24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</row>
    <row r="15" spans="1:18" ht="15" x14ac:dyDescent="0.2">
      <c r="A15" s="24" t="s">
        <v>110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</row>
    <row r="16" spans="1:18" ht="15" x14ac:dyDescent="0.2">
      <c r="A16" s="24" t="s">
        <v>111</v>
      </c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</row>
    <row r="17" spans="1:18" ht="15" x14ac:dyDescent="0.2">
      <c r="A17" s="24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</row>
    <row r="18" spans="1:18" ht="15" x14ac:dyDescent="0.2">
      <c r="A18" s="24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</row>
    <row r="19" spans="1:18" ht="15" x14ac:dyDescent="0.2">
      <c r="A19" s="24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</row>
    <row r="20" spans="1:18" ht="15" x14ac:dyDescent="0.2">
      <c r="A20" s="24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</row>
    <row r="21" spans="1:18" ht="15" x14ac:dyDescent="0.2">
      <c r="A21" s="24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</row>
    <row r="22" spans="1:18" ht="15" x14ac:dyDescent="0.2">
      <c r="A22" s="24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</row>
    <row r="23" spans="1:18" ht="15" x14ac:dyDescent="0.2">
      <c r="A23" s="24" t="s">
        <v>117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</row>
    <row r="24" spans="1:18" ht="15" x14ac:dyDescent="0.2">
      <c r="A24" s="24" t="s">
        <v>118</v>
      </c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</row>
    <row r="25" spans="1:18" ht="15" x14ac:dyDescent="0.2">
      <c r="A25" s="24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</row>
    <row r="26" spans="1:18" ht="15" x14ac:dyDescent="0.2">
      <c r="A26" s="24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</row>
    <row r="27" spans="1:18" ht="15" x14ac:dyDescent="0.2">
      <c r="A27" s="24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</row>
    <row r="28" spans="1:18" ht="15" x14ac:dyDescent="0.2">
      <c r="A28" s="24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</row>
    <row r="29" spans="1:18" ht="15" x14ac:dyDescent="0.2">
      <c r="A29" s="24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</row>
    <row r="30" spans="1:18" ht="15" x14ac:dyDescent="0.2">
      <c r="A30" s="2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</row>
    <row r="31" spans="1:18" ht="15" x14ac:dyDescent="0.2">
      <c r="A31" s="24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</row>
    <row r="32" spans="1:18" ht="15" x14ac:dyDescent="0.2">
      <c r="A32" s="24" t="s">
        <v>123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</row>
    <row r="33" spans="1:18" ht="15" x14ac:dyDescent="0.2">
      <c r="A33" s="24" t="s">
        <v>124</v>
      </c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</row>
    <row r="34" spans="1:18" ht="15" x14ac:dyDescent="0.2">
      <c r="A34" s="24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</row>
    <row r="35" spans="1:18" ht="15" x14ac:dyDescent="0.2">
      <c r="A35" s="24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</row>
    <row r="36" spans="1:18" ht="15" x14ac:dyDescent="0.2">
      <c r="A36" s="2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</row>
    <row r="37" spans="1:18" ht="15" x14ac:dyDescent="0.2">
      <c r="A37" s="24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</row>
    <row r="38" spans="1:18" ht="15" x14ac:dyDescent="0.2">
      <c r="A38" s="2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</row>
    <row r="39" spans="1:18" ht="15" x14ac:dyDescent="0.2">
      <c r="A39" s="24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</row>
    <row r="40" spans="1:18" ht="15" x14ac:dyDescent="0.2">
      <c r="A40" s="24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</row>
    <row r="41" spans="1:18" ht="15" x14ac:dyDescent="0.2">
      <c r="A41" s="24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</row>
    <row r="42" spans="1:18" ht="15" x14ac:dyDescent="0.2">
      <c r="A42" s="24"/>
      <c r="B42" s="63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</row>
    <row r="43" spans="1:18" ht="15" x14ac:dyDescent="0.2">
      <c r="A43" s="24" t="s">
        <v>116</v>
      </c>
      <c r="B43" s="63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</row>
    <row r="44" spans="1:18" ht="15" x14ac:dyDescent="0.2">
      <c r="A44" s="24" t="s">
        <v>112</v>
      </c>
      <c r="B44" s="63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</row>
    <row r="45" spans="1:18" ht="15" x14ac:dyDescent="0.2">
      <c r="A45" s="24"/>
      <c r="B45" s="63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</row>
    <row r="46" spans="1:18" ht="15" x14ac:dyDescent="0.2">
      <c r="A46" s="24" t="s">
        <v>120</v>
      </c>
      <c r="B46" s="63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</row>
    <row r="47" spans="1:18" ht="15" x14ac:dyDescent="0.2">
      <c r="A47" s="24" t="s">
        <v>119</v>
      </c>
      <c r="B47" s="63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</row>
    <row r="48" spans="1:18" ht="15" x14ac:dyDescent="0.2">
      <c r="A48" s="24"/>
      <c r="B48" s="63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</row>
    <row r="49" spans="1:18" ht="15" x14ac:dyDescent="0.2">
      <c r="A49" s="24" t="s">
        <v>122</v>
      </c>
      <c r="B49" s="63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</row>
    <row r="50" spans="1:18" ht="15" x14ac:dyDescent="0.2">
      <c r="A50" s="24" t="s">
        <v>121</v>
      </c>
      <c r="B50" s="63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</row>
    <row r="51" spans="1:18" ht="15" x14ac:dyDescent="0.2">
      <c r="A51" s="24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</row>
    <row r="52" spans="1:18" ht="15" x14ac:dyDescent="0.2">
      <c r="A52" s="2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</row>
    <row r="53" spans="1:18" ht="15" x14ac:dyDescent="0.2">
      <c r="A53" s="24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</row>
    <row r="54" spans="1:18" ht="15" x14ac:dyDescent="0.2">
      <c r="A54" s="24"/>
      <c r="B54" s="62" t="s">
        <v>126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</row>
    <row r="55" spans="1:18" ht="15" x14ac:dyDescent="0.2">
      <c r="A55" s="24"/>
      <c r="B55" s="62"/>
      <c r="C55" s="62" t="s">
        <v>130</v>
      </c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</row>
    <row r="56" spans="1:18" ht="15" x14ac:dyDescent="0.2">
      <c r="A56" s="24"/>
      <c r="B56" s="62"/>
      <c r="C56" s="62"/>
      <c r="D56" s="62" t="s">
        <v>131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</row>
    <row r="57" spans="1:18" ht="15" x14ac:dyDescent="0.2">
      <c r="A57" s="24"/>
      <c r="B57" s="62"/>
      <c r="C57" s="62"/>
      <c r="D57" s="62" t="s">
        <v>132</v>
      </c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</row>
    <row r="58" spans="1:18" ht="15" x14ac:dyDescent="0.2">
      <c r="A58" s="24"/>
      <c r="B58" s="62"/>
      <c r="C58" s="62" t="s">
        <v>133</v>
      </c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</row>
    <row r="59" spans="1:18" ht="15" x14ac:dyDescent="0.2">
      <c r="A59" s="2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</row>
    <row r="60" spans="1:18" ht="15" x14ac:dyDescent="0.2">
      <c r="A60" s="78" t="s">
        <v>139</v>
      </c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</row>
    <row r="61" spans="1:18" ht="15" x14ac:dyDescent="0.2">
      <c r="A61" s="24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62"/>
      <c r="O61" s="62"/>
      <c r="P61" s="62"/>
      <c r="Q61" s="62"/>
      <c r="R61" s="62"/>
    </row>
    <row r="62" spans="1:18" ht="15" x14ac:dyDescent="0.2">
      <c r="A62" s="2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2"/>
      <c r="O62" s="62"/>
      <c r="P62" s="62"/>
      <c r="Q62" s="62"/>
      <c r="R62" s="62"/>
    </row>
    <row r="63" spans="1:18" ht="15" x14ac:dyDescent="0.2">
      <c r="A63" s="2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2"/>
      <c r="O63" s="62"/>
      <c r="P63" s="62"/>
      <c r="Q63" s="62"/>
      <c r="R63" s="62"/>
    </row>
    <row r="64" spans="1:18" ht="15" x14ac:dyDescent="0.2">
      <c r="A64" s="2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2"/>
      <c r="O64" s="62"/>
      <c r="P64" s="62"/>
      <c r="Q64" s="62"/>
      <c r="R64" s="62"/>
    </row>
    <row r="65" spans="1:18" ht="15" x14ac:dyDescent="0.2">
      <c r="A65" s="2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2"/>
      <c r="O65" s="62"/>
      <c r="P65" s="62"/>
      <c r="Q65" s="62"/>
      <c r="R65" s="62"/>
    </row>
    <row r="66" spans="1:18" ht="15" x14ac:dyDescent="0.2">
      <c r="A66" s="2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2"/>
      <c r="O66" s="62"/>
      <c r="P66" s="62"/>
      <c r="Q66" s="62"/>
      <c r="R66" s="62"/>
    </row>
    <row r="67" spans="1:18" ht="15" x14ac:dyDescent="0.2">
      <c r="A67" s="2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2"/>
      <c r="O67" s="62"/>
      <c r="P67" s="62"/>
      <c r="Q67" s="62"/>
      <c r="R67" s="62"/>
    </row>
    <row r="68" spans="1:18" ht="15" x14ac:dyDescent="0.2">
      <c r="A68" s="2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2"/>
      <c r="O68" s="62"/>
      <c r="P68" s="62"/>
      <c r="Q68" s="62"/>
      <c r="R68" s="62"/>
    </row>
    <row r="69" spans="1:18" ht="15" x14ac:dyDescent="0.2">
      <c r="A69" s="2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2"/>
      <c r="O69" s="62"/>
      <c r="P69" s="62"/>
      <c r="Q69" s="62"/>
      <c r="R69" s="62"/>
    </row>
    <row r="70" spans="1:18" ht="15" x14ac:dyDescent="0.2">
      <c r="A70" s="2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2"/>
      <c r="O70" s="62"/>
      <c r="P70" s="62"/>
      <c r="Q70" s="62"/>
      <c r="R70" s="62"/>
    </row>
    <row r="71" spans="1:18" ht="15" x14ac:dyDescent="0.2">
      <c r="A71" s="2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2"/>
      <c r="O71" s="62"/>
      <c r="P71" s="62"/>
      <c r="Q71" s="62"/>
      <c r="R71" s="62"/>
    </row>
    <row r="72" spans="1:18" ht="15" x14ac:dyDescent="0.2">
      <c r="A72" s="24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2"/>
      <c r="O72" s="62"/>
      <c r="P72" s="62"/>
      <c r="Q72" s="62"/>
      <c r="R72" s="62"/>
    </row>
    <row r="73" spans="1:18" ht="15" x14ac:dyDescent="0.2">
      <c r="A73" s="24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2"/>
      <c r="O73" s="62"/>
      <c r="P73" s="62"/>
      <c r="Q73" s="62"/>
      <c r="R73" s="62"/>
    </row>
    <row r="74" spans="1:18" ht="15" x14ac:dyDescent="0.2">
      <c r="A74" s="2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2"/>
      <c r="O74" s="62"/>
      <c r="P74" s="62"/>
      <c r="Q74" s="62"/>
      <c r="R74" s="62"/>
    </row>
    <row r="75" spans="1:18" ht="15" x14ac:dyDescent="0.2">
      <c r="A75" s="2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2"/>
      <c r="O75" s="62"/>
      <c r="P75" s="62"/>
      <c r="Q75" s="62"/>
      <c r="R75" s="62"/>
    </row>
    <row r="76" spans="1:18" ht="15" x14ac:dyDescent="0.2">
      <c r="A76" s="24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2"/>
      <c r="O76" s="62"/>
      <c r="P76" s="62"/>
      <c r="Q76" s="62"/>
      <c r="R76" s="62"/>
    </row>
    <row r="77" spans="1:18" ht="15" x14ac:dyDescent="0.2">
      <c r="A77" s="2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2"/>
      <c r="O77" s="62"/>
      <c r="P77" s="62"/>
      <c r="Q77" s="62"/>
      <c r="R77" s="62"/>
    </row>
    <row r="78" spans="1:18" ht="15" x14ac:dyDescent="0.2">
      <c r="A78" s="24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2"/>
      <c r="O78" s="62"/>
      <c r="P78" s="62"/>
      <c r="Q78" s="62"/>
      <c r="R78" s="62"/>
    </row>
    <row r="79" spans="1:18" ht="15" x14ac:dyDescent="0.2">
      <c r="A79" s="2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2"/>
      <c r="O79" s="62"/>
      <c r="P79" s="62"/>
      <c r="Q79" s="62"/>
      <c r="R79" s="62"/>
    </row>
    <row r="80" spans="1:18" ht="15" x14ac:dyDescent="0.2">
      <c r="A80" s="24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2"/>
      <c r="O80" s="62"/>
      <c r="P80" s="62"/>
      <c r="Q80" s="62"/>
      <c r="R80" s="62"/>
    </row>
    <row r="81" spans="1:18" ht="15" x14ac:dyDescent="0.2">
      <c r="A81" s="24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2"/>
      <c r="O81" s="62"/>
      <c r="P81" s="62"/>
      <c r="Q81" s="62"/>
      <c r="R81" s="62"/>
    </row>
    <row r="82" spans="1:18" ht="15" x14ac:dyDescent="0.2">
      <c r="A82" s="24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2"/>
      <c r="O82" s="62"/>
      <c r="P82" s="62"/>
      <c r="Q82" s="62"/>
      <c r="R82" s="62"/>
    </row>
    <row r="83" spans="1:18" ht="15" x14ac:dyDescent="0.2">
      <c r="A83" s="2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2"/>
      <c r="O83" s="62"/>
      <c r="P83" s="62"/>
      <c r="Q83" s="62"/>
      <c r="R83" s="62"/>
    </row>
    <row r="84" spans="1:18" ht="15" x14ac:dyDescent="0.2">
      <c r="A84" s="24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2"/>
      <c r="O84" s="62"/>
      <c r="P84" s="62"/>
      <c r="Q84" s="62"/>
      <c r="R84" s="62"/>
    </row>
    <row r="85" spans="1:18" ht="15" x14ac:dyDescent="0.2">
      <c r="A85" s="2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2"/>
      <c r="O85" s="62"/>
      <c r="P85" s="62"/>
      <c r="Q85" s="62"/>
      <c r="R85" s="62"/>
    </row>
    <row r="86" spans="1:18" ht="15" x14ac:dyDescent="0.2">
      <c r="A86" s="24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2"/>
      <c r="O86" s="62"/>
      <c r="P86" s="62"/>
      <c r="Q86" s="62"/>
      <c r="R86" s="62"/>
    </row>
    <row r="87" spans="1:18" ht="15" x14ac:dyDescent="0.2">
      <c r="A87" s="2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2"/>
      <c r="O87" s="62"/>
      <c r="P87" s="62"/>
      <c r="Q87" s="62"/>
      <c r="R87" s="62"/>
    </row>
    <row r="88" spans="1:18" ht="15" x14ac:dyDescent="0.2">
      <c r="A88" s="24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2"/>
      <c r="O88" s="62"/>
      <c r="P88" s="62"/>
      <c r="Q88" s="62"/>
      <c r="R88" s="62"/>
    </row>
    <row r="89" spans="1:18" ht="15" x14ac:dyDescent="0.2">
      <c r="A89" s="2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2"/>
      <c r="O89" s="62"/>
      <c r="P89" s="62"/>
      <c r="Q89" s="62"/>
      <c r="R89" s="62"/>
    </row>
    <row r="90" spans="1:18" ht="15" x14ac:dyDescent="0.2">
      <c r="A90" s="24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2"/>
      <c r="O90" s="62"/>
      <c r="P90" s="62"/>
      <c r="Q90" s="62"/>
      <c r="R90" s="62"/>
    </row>
    <row r="91" spans="1:18" ht="15" x14ac:dyDescent="0.2">
      <c r="A91" s="24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2"/>
      <c r="O91" s="62"/>
      <c r="P91" s="62"/>
      <c r="Q91" s="62"/>
      <c r="R91" s="62"/>
    </row>
    <row r="92" spans="1:18" ht="15" x14ac:dyDescent="0.2">
      <c r="A92" s="24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2"/>
      <c r="O92" s="62"/>
      <c r="P92" s="62"/>
      <c r="Q92" s="62"/>
      <c r="R92" s="62"/>
    </row>
    <row r="93" spans="1:18" ht="15" x14ac:dyDescent="0.2">
      <c r="A93" s="24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2"/>
      <c r="O93" s="62"/>
      <c r="P93" s="62"/>
      <c r="Q93" s="62"/>
      <c r="R93" s="62"/>
    </row>
    <row r="94" spans="1:18" ht="15" x14ac:dyDescent="0.2">
      <c r="A94" s="24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2"/>
      <c r="O94" s="62"/>
      <c r="P94" s="62"/>
      <c r="Q94" s="62"/>
      <c r="R94" s="62"/>
    </row>
    <row r="95" spans="1:18" ht="15" x14ac:dyDescent="0.2">
      <c r="A95" s="2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2"/>
      <c r="O95" s="62"/>
      <c r="P95" s="62"/>
      <c r="Q95" s="62"/>
      <c r="R95" s="62"/>
    </row>
    <row r="96" spans="1:18" ht="15" x14ac:dyDescent="0.2">
      <c r="A96" s="2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2"/>
      <c r="O96" s="62"/>
      <c r="P96" s="62"/>
      <c r="Q96" s="62"/>
      <c r="R96" s="62"/>
    </row>
    <row r="97" spans="1:18" ht="15" x14ac:dyDescent="0.2">
      <c r="A97" s="2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2"/>
      <c r="O97" s="62"/>
      <c r="P97" s="62"/>
      <c r="Q97" s="62"/>
      <c r="R97" s="62"/>
    </row>
    <row r="98" spans="1:18" ht="15" x14ac:dyDescent="0.2">
      <c r="A98" s="2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2"/>
      <c r="O98" s="62"/>
      <c r="P98" s="62"/>
      <c r="Q98" s="62"/>
      <c r="R98" s="62"/>
    </row>
    <row r="99" spans="1:18" ht="15" x14ac:dyDescent="0.2">
      <c r="A99" s="2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2"/>
      <c r="O99" s="62"/>
      <c r="P99" s="62"/>
      <c r="Q99" s="62"/>
      <c r="R99" s="62"/>
    </row>
  </sheetData>
  <sheetProtection selectLockedCells="1" selectUnlockedCells="1"/>
  <mergeCells count="3">
    <mergeCell ref="A2:R2"/>
    <mergeCell ref="A60:R60"/>
    <mergeCell ref="B61:M61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 x14ac:dyDescent="0.2">
      <c r="A2">
        <v>0.2</v>
      </c>
      <c r="C2">
        <v>1</v>
      </c>
      <c r="G2">
        <v>1.552E-3</v>
      </c>
      <c r="H2">
        <v>1.552E-3</v>
      </c>
      <c r="I2">
        <v>8.1000000000000006E-4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2022-08-30T01:04:54Z</dcterms:modified>
</cp:coreProperties>
</file>