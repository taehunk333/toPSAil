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6D1EEAB5-C408-E848-BF60-86C7762E274D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2" hidden="1">'Stream Properties'!$B$9:$K$10</definedName>
    <definedName name="_xlnm.Print_Area" localSheetId="0">'Revision History'!$C$3:$K$51</definedName>
    <definedName name="_xlnm.Print_Area" localSheetId="2">'Stream Properties'!$B$2:$K$15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39" l="1"/>
  <c r="I11" i="39"/>
  <c r="C12" i="39" l="1"/>
  <c r="Q1" i="41" l="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<sst xmlns="http://schemas.openxmlformats.org/spreadsheetml/2006/main" count="178" uniqueCount="126">
  <si>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</si>
  <si>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</si>
  <si>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</si>
  <si>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</si>
  <si>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</si>
  <si>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</si>
  <si>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</si>
  <si>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</si>
  <si>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</si>
  <si>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</si>
  <si>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</si>
  <si>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</si>
  <si>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</si>
  <si>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</si>
  <si>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</si>
  <si>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</si>
  <si>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</si>
  <si>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</si>
  <si>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</si>
  <si>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</si>
  <si>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</si>
  <si>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</si>
  <si>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</si>
  <si>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</si>
  <si>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</si>
  <si>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</si>
  <si>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</si>
  <si>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</si>
  <si>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</si>
  <si>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</si>
  <si>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</si>
  <si>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</si>
  <si>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</si>
  <si>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</si>
  <si>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</si>
  <si>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</si>
  <si>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</si>
  <si>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</si>
  <si>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</si>
  <si>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</si>
  <si>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</si>
  <si>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</si>
  <si>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</si>
  <si>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</si>
  <si>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</si>
  <si>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</si>
  <si>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</si>
  <si>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</si>
  <si>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</si>
  <si>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</si>
  <si>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</si>
  <si>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</si>
  <si>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</si>
  <si>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</si>
  <si>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</si>
  <si>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</si>
  <si>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</si>
  <si>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</si>
  <si>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</si>
  <si>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</si>
  <si>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</si>
  <si>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</si>
  <si>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</si>
  <si>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</si>
  <si>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</si>
  <si>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</si>
  <si>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</si>
  <si>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</si>
  <si>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</si>
  <si>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</si>
  <si>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</si>
  <si>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</si>
  <si>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</si>
  <si>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</si>
  <si>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</si>
  <si>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</si>
  <si>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</si>
  <si>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</si>
  <si>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</si>
  <si>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</si>
  <si>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</si>
  <si>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</si>
  <si>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</si>
  <si>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</si>
  <si>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</si>
  <si>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</si>
  <si>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</si>
  <si>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</si>
  <si>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</si>
  <si>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</si>
  <si>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</si>
  <si>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</si>
  <si>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feed mole fraction of ith component at a high pressure; the first component is the light key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</si>
  <si>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</si>
  <si>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</si>
  <si>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</si>
  <si>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</si>
  <si>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</si>
  <si>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</si>
  <si>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</si>
  <si>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</si>
  <si>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</si>
  <si>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</si>
  <si>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</si>
  <si>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</si>
  <si>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</si>
  <si>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</si>
  <si>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</si>
  <si>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</si>
  <si>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</si>
  <si>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</si>
  <si>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</si>
  <si>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Feed stream temperature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</si>
  <si>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</si>
  <si>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</si>
  <si>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</si>
  <si>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</si>
  <si>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</si>
  <si>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</si>
  <si>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</si>
  <si>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Initial development of the "cycle_organization.xlsm" sheet.</t>
  </si>
  <si>
    <t>REV. NO.1 (6/8/2022)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</si>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</sst>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5" totalsRowShown="0" headerRowDxfId="14" dataDxfId="12" headerRowBorderDxfId="13" tableBorderDxfId="11" totalsRowBorderDxfId="10">
  <autoFilter ref="B9:K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17" sqref="D17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53" t="s">
        <v>121</v>
      </c>
      <c r="E4" s="54"/>
      <c r="F4" s="55"/>
      <c r="G4" s="56"/>
      <c r="H4" s="56"/>
      <c r="I4" s="56"/>
      <c r="J4" s="36" t="s">
        <v>85</v>
      </c>
    </row>
    <row r="5" spans="4:10" ht="40" x14ac:dyDescent="0.2">
      <c r="D5" s="63" t="s">
        <v>37</v>
      </c>
      <c r="E5" s="63"/>
      <c r="F5" s="63"/>
      <c r="G5" s="63"/>
      <c r="H5" s="63"/>
      <c r="I5" s="63"/>
      <c r="J5" s="63"/>
    </row>
    <row r="6" spans="4:10" ht="20" x14ac:dyDescent="0.2">
      <c r="D6" s="46" t="s">
        <v>31</v>
      </c>
      <c r="E6" s="46" t="s">
        <v>119</v>
      </c>
      <c r="F6" s="46" t="s">
        <v>32</v>
      </c>
      <c r="G6" s="46" t="s">
        <v>33</v>
      </c>
      <c r="H6" s="46" t="s">
        <v>34</v>
      </c>
      <c r="I6" s="46" t="s">
        <v>35</v>
      </c>
      <c r="J6" s="46" t="s">
        <v>36</v>
      </c>
    </row>
    <row r="7" spans="4:10" ht="40" x14ac:dyDescent="0.2">
      <c r="D7" s="37">
        <v>1</v>
      </c>
      <c r="E7" s="50" t="s">
        <v>120</v>
      </c>
      <c r="F7" s="51">
        <v>44720</v>
      </c>
      <c r="G7" s="52" t="s">
        <v>38</v>
      </c>
      <c r="H7" s="37"/>
      <c r="I7" s="37"/>
      <c r="J7" s="38"/>
    </row>
    <row r="8" spans="4:10" ht="19" x14ac:dyDescent="0.2">
      <c r="D8" s="37">
        <v>2</v>
      </c>
      <c r="E8" s="38"/>
      <c r="F8" s="39"/>
      <c r="G8" s="37"/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93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100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101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2:11" ht="15" x14ac:dyDescent="0.2">
      <c r="B2" s="41" t="str">
        <f>'Revision History'!$D$4</f>
        <v>REV. NO.1 (6/8/2022)</v>
      </c>
      <c r="C2" s="42"/>
      <c r="D2" s="42"/>
      <c r="E2" s="42"/>
      <c r="F2" s="42"/>
      <c r="G2" s="42"/>
      <c r="H2" s="42"/>
      <c r="I2" s="42"/>
      <c r="J2" s="42"/>
      <c r="K2" s="43" t="str">
        <f>'Revision History'!$J$4</f>
        <v>Scott Research Group (jkscottresearchgroup.com)</v>
      </c>
    </row>
    <row r="3" spans="2:11" ht="19" x14ac:dyDescent="0.2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5" t="str">
        <f>IF(COUNTIF(Table11082[Test 3],1)=COUNTA(Table11082[Value]),"Ready","Not Ready")</f>
        <v>Ready</v>
      </c>
    </row>
    <row r="5" spans="2:11" ht="14.5" customHeight="1" x14ac:dyDescent="0.2">
      <c r="B5" s="17"/>
      <c r="C5" s="18"/>
      <c r="D5" s="49"/>
      <c r="E5" s="49"/>
      <c r="F5" s="49"/>
      <c r="G5" s="49"/>
      <c r="H5" s="19"/>
      <c r="I5" s="49"/>
      <c r="J5" s="49"/>
      <c r="K5" s="66"/>
    </row>
    <row r="6" spans="2:11" ht="14.5" customHeight="1" x14ac:dyDescent="0.2">
      <c r="B6" s="17"/>
      <c r="C6" s="18"/>
      <c r="D6" s="49"/>
      <c r="E6" s="49"/>
      <c r="F6" s="49"/>
      <c r="G6" s="49"/>
      <c r="H6" s="19"/>
      <c r="I6" s="49"/>
      <c r="J6" s="49"/>
      <c r="K6" s="66"/>
    </row>
    <row r="7" spans="2:11" ht="14.5" customHeight="1" x14ac:dyDescent="0.2">
      <c r="B7" s="17"/>
      <c r="C7" s="18"/>
      <c r="D7" s="49"/>
      <c r="E7" s="49"/>
      <c r="F7" s="49"/>
      <c r="G7" s="49"/>
      <c r="H7" s="19"/>
      <c r="I7" s="49"/>
      <c r="J7" s="49"/>
      <c r="K7" s="66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7"/>
    </row>
    <row r="9" spans="2:11" ht="16" x14ac:dyDescent="0.2">
      <c r="B9" s="26" t="s">
        <v>0</v>
      </c>
      <c r="C9" s="27" t="s">
        <v>1</v>
      </c>
      <c r="D9" s="27" t="s">
        <v>2</v>
      </c>
      <c r="E9" s="27" t="s">
        <v>14</v>
      </c>
      <c r="F9" s="27" t="s">
        <v>63</v>
      </c>
      <c r="G9" s="28" t="s">
        <v>39</v>
      </c>
      <c r="H9" s="28" t="s">
        <v>64</v>
      </c>
      <c r="I9" s="27" t="s">
        <v>65</v>
      </c>
      <c r="J9" s="29" t="s">
        <v>74</v>
      </c>
      <c r="K9" s="29" t="s">
        <v>12</v>
      </c>
    </row>
    <row r="10" spans="2:11" ht="16" x14ac:dyDescent="0.2">
      <c r="B10" s="48" t="s">
        <v>102</v>
      </c>
      <c r="C10" s="30">
        <v>318.14999999999998</v>
      </c>
      <c r="D10" s="32" t="s">
        <v>20</v>
      </c>
      <c r="E10" s="47" t="s">
        <v>17</v>
      </c>
      <c r="F10" s="47" t="s">
        <v>7</v>
      </c>
      <c r="G10" s="2" t="s">
        <v>47</v>
      </c>
      <c r="H10" s="47">
        <v>1</v>
      </c>
      <c r="I10" s="47">
        <v>1</v>
      </c>
      <c r="J10" s="6">
        <v>1</v>
      </c>
      <c r="K10" s="5" t="s">
        <v>112</v>
      </c>
    </row>
    <row r="11" spans="2:11" ht="32" x14ac:dyDescent="0.2">
      <c r="B11" s="4" t="s">
        <v>67</v>
      </c>
      <c r="C11" s="30">
        <v>0.21740000000000001</v>
      </c>
      <c r="D11" s="2" t="s">
        <v>3</v>
      </c>
      <c r="E11" s="47" t="s">
        <v>23</v>
      </c>
      <c r="F11" s="47" t="s">
        <v>7</v>
      </c>
      <c r="G11" s="2" t="s">
        <v>40</v>
      </c>
      <c r="H11" s="47">
        <v>1</v>
      </c>
      <c r="I11" s="47">
        <f>[1]Initialization!$C$10</f>
        <v>2</v>
      </c>
      <c r="J11" s="6">
        <v>1</v>
      </c>
      <c r="K11" s="5" t="s">
        <v>92</v>
      </c>
    </row>
    <row r="12" spans="2:11" ht="32" x14ac:dyDescent="0.2">
      <c r="B12" s="4" t="s">
        <v>68</v>
      </c>
      <c r="C12" s="30">
        <f>1-C11</f>
        <v>0.78259999999999996</v>
      </c>
      <c r="D12" s="2" t="s">
        <v>3</v>
      </c>
      <c r="E12" s="47" t="s">
        <v>23</v>
      </c>
      <c r="F12" s="47" t="s">
        <v>7</v>
      </c>
      <c r="G12" s="2" t="s">
        <v>40</v>
      </c>
      <c r="H12" s="47"/>
      <c r="I12" s="47">
        <f>[1]Initialization!$C$10</f>
        <v>2</v>
      </c>
      <c r="J12" s="6">
        <v>1</v>
      </c>
      <c r="K12" s="5" t="s">
        <v>92</v>
      </c>
    </row>
    <row r="13" spans="2:11" ht="16" x14ac:dyDescent="0.2">
      <c r="B13" s="48" t="s">
        <v>113</v>
      </c>
      <c r="C13" s="30">
        <v>1.1814E-3</v>
      </c>
      <c r="D13" s="32" t="s">
        <v>114</v>
      </c>
      <c r="E13" s="47" t="s">
        <v>27</v>
      </c>
      <c r="F13" s="47" t="s">
        <v>7</v>
      </c>
      <c r="G13" s="2" t="s">
        <v>48</v>
      </c>
      <c r="H13" s="47">
        <v>1</v>
      </c>
      <c r="I13" s="47">
        <v>1</v>
      </c>
      <c r="J13" s="6">
        <v>1</v>
      </c>
      <c r="K13" s="5" t="s">
        <v>115</v>
      </c>
    </row>
    <row r="14" spans="2:11" ht="16" x14ac:dyDescent="0.2">
      <c r="B14" s="48" t="s">
        <v>116</v>
      </c>
      <c r="C14" s="30">
        <v>1.8369999999999999E-5</v>
      </c>
      <c r="D14" s="32" t="s">
        <v>117</v>
      </c>
      <c r="E14" s="47" t="s">
        <v>27</v>
      </c>
      <c r="F14" s="47" t="s">
        <v>7</v>
      </c>
      <c r="G14" s="2" t="s">
        <v>48</v>
      </c>
      <c r="H14" s="47">
        <v>1</v>
      </c>
      <c r="I14" s="47">
        <v>1</v>
      </c>
      <c r="J14" s="6">
        <v>1</v>
      </c>
      <c r="K14" s="5" t="s">
        <v>118</v>
      </c>
    </row>
    <row r="15" spans="2:11" ht="16" x14ac:dyDescent="0.2">
      <c r="B15" s="8" t="s">
        <v>78</v>
      </c>
      <c r="C15" s="31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79</v>
      </c>
    </row>
  </sheetData>
  <sheetProtection algorithmName="SHA-512" hashValue="DAnBbUVSKoJeiOijrNWtkVOxF3tj8ovskoDbBbctWzExFHChGYdB9dmUmDUGTxW8B3SIALtCoVnTE8RIqvNeAg==" saltValue="2xi9NzaiiTcFQTw5GEqmyw==" spinCount="100000" sheet="1" objects="1" scenarios="1" selectLockedCells="1"/>
  <mergeCells count="2">
    <mergeCell ref="B3:K3"/>
    <mergeCell ref="K4:K8"/>
  </mergeCells>
  <conditionalFormatting sqref="C10:C15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85">
      <formula>IF(COUNTA($C$10:$C$15)&lt;&gt;COUNTIF($J$10:$J$15,1),1,0)</formula>
    </cfRule>
    <cfRule type="expression" dxfId="15" priority="86">
      <formula>IF(COUNTA($C$10:$C$15)=COUNTIF($J$10:$J$15,1),1,0)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baseColWidth="10" defaultColWidth="0" defaultRowHeight="0" customHeight="1" zeroHeight="1" x14ac:dyDescent="0.2"/>
  <cols>
    <col min="1" max="2" width="8.83203125" style="60" customWidth="1"/>
    <col min="3" max="3" width="13.1640625" style="60" customWidth="1"/>
    <col min="4" max="4" width="13.5" style="60" customWidth="1"/>
    <col min="5" max="6" width="8.83203125" style="60" customWidth="1"/>
    <col min="7" max="7" width="14.83203125" style="60" customWidth="1"/>
    <col min="8" max="8" width="11.6640625" style="60" customWidth="1"/>
    <col min="9" max="9" width="10.33203125" style="60" customWidth="1"/>
    <col min="10" max="10" width="5.6640625" style="60" customWidth="1"/>
    <col min="11" max="11" width="10.5" style="60" customWidth="1"/>
    <col min="12" max="17" width="8.83203125" style="60" customWidth="1"/>
    <col min="18" max="16384" width="8.83203125" style="60" hidden="1"/>
  </cols>
  <sheetData>
    <row r="1" spans="1:17" ht="15" x14ac:dyDescent="0.2">
      <c r="A1" s="57" t="str">
        <f>'[2]Revision History'!D4</f>
        <v>REV. NO.1 (6/8/2022)</v>
      </c>
      <c r="B1" s="58"/>
      <c r="C1" s="58"/>
      <c r="D1" s="58"/>
      <c r="E1" s="58"/>
      <c r="F1" s="58"/>
      <c r="G1" s="58"/>
      <c r="H1" s="58"/>
      <c r="I1" s="59"/>
      <c r="J1" s="59"/>
      <c r="K1" s="59"/>
      <c r="L1" s="59"/>
      <c r="M1" s="59"/>
      <c r="N1" s="59"/>
      <c r="O1" s="59"/>
      <c r="P1" s="59"/>
      <c r="Q1" s="59" t="str">
        <f>'[3]Revision History'!$J$4</f>
        <v>Scott Research Group (jkscottresearchgroup.com)</v>
      </c>
    </row>
    <row r="2" spans="1:17" ht="15" x14ac:dyDescent="0.2">
      <c r="A2" s="68" t="s">
        <v>122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5" x14ac:dyDescent="0.2">
      <c r="A3" s="24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</row>
    <row r="4" spans="1:17" ht="15" x14ac:dyDescent="0.2">
      <c r="A4" s="24"/>
      <c r="B4" s="61" t="s">
        <v>123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</row>
    <row r="5" spans="1:17" ht="15" x14ac:dyDescent="0.2">
      <c r="A5" s="24"/>
      <c r="B5" s="61"/>
      <c r="C5" s="61" t="s">
        <v>94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</row>
    <row r="6" spans="1:17" ht="15" x14ac:dyDescent="0.2">
      <c r="A6" s="24"/>
      <c r="B6" s="61"/>
      <c r="C6" s="61"/>
      <c r="D6" s="45" t="s">
        <v>95</v>
      </c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</row>
    <row r="7" spans="1:17" ht="15" x14ac:dyDescent="0.2">
      <c r="A7" s="24"/>
      <c r="B7" s="61"/>
      <c r="C7" s="61" t="s">
        <v>96</v>
      </c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</row>
    <row r="8" spans="1:17" ht="15" x14ac:dyDescent="0.2">
      <c r="A8" s="24"/>
      <c r="B8" s="61"/>
      <c r="C8" s="61"/>
      <c r="D8" s="44" t="s">
        <v>97</v>
      </c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</row>
    <row r="9" spans="1:17" ht="15" x14ac:dyDescent="0.2">
      <c r="A9" s="24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</row>
    <row r="10" spans="1:17" ht="15" x14ac:dyDescent="0.2">
      <c r="A10" s="24"/>
      <c r="B10" s="61" t="s">
        <v>124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</row>
    <row r="11" spans="1:17" ht="15" x14ac:dyDescent="0.2">
      <c r="A11" s="24"/>
      <c r="B11" s="61"/>
      <c r="C11" s="61" t="s">
        <v>125</v>
      </c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</row>
    <row r="12" spans="1:17" ht="15" x14ac:dyDescent="0.2">
      <c r="A12" s="24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</row>
    <row r="13" spans="1:17" ht="15" x14ac:dyDescent="0.2">
      <c r="A13" s="24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</row>
    <row r="14" spans="1:17" ht="15" x14ac:dyDescent="0.2">
      <c r="A14" s="24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</row>
    <row r="15" spans="1:17" ht="15" x14ac:dyDescent="0.2">
      <c r="A15" s="24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</row>
    <row r="16" spans="1:17" ht="15" x14ac:dyDescent="0.2">
      <c r="A16" s="24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</row>
    <row r="17" spans="1:17" ht="15" x14ac:dyDescent="0.2">
      <c r="A17" s="24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</row>
    <row r="18" spans="1:17" ht="15" x14ac:dyDescent="0.2">
      <c r="A18" s="24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</row>
    <row r="19" spans="1:17" ht="15" x14ac:dyDescent="0.2">
      <c r="A19" s="24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</row>
    <row r="20" spans="1:17" ht="15" x14ac:dyDescent="0.2">
      <c r="A20" s="24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</row>
    <row r="21" spans="1:17" ht="15" x14ac:dyDescent="0.2">
      <c r="A21" s="24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</row>
    <row r="22" spans="1:17" ht="15" x14ac:dyDescent="0.2">
      <c r="A22" s="24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</row>
    <row r="23" spans="1:17" ht="15" x14ac:dyDescent="0.2">
      <c r="A23" s="24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</row>
    <row r="24" spans="1:17" ht="15" x14ac:dyDescent="0.2">
      <c r="A24" s="24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</row>
    <row r="25" spans="1:17" ht="15" x14ac:dyDescent="0.2">
      <c r="A25" s="24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</row>
    <row r="26" spans="1:17" ht="15" x14ac:dyDescent="0.2">
      <c r="A26" s="24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</row>
    <row r="27" spans="1:17" ht="15" x14ac:dyDescent="0.2">
      <c r="A27" s="24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</row>
    <row r="28" spans="1:17" ht="15" x14ac:dyDescent="0.2">
      <c r="A28" s="24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</row>
    <row r="29" spans="1:17" ht="15" x14ac:dyDescent="0.2">
      <c r="A29" s="24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</row>
    <row r="30" spans="1:17" ht="15" x14ac:dyDescent="0.2">
      <c r="A30" s="24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</row>
    <row r="31" spans="1:17" ht="15" x14ac:dyDescent="0.2">
      <c r="A31" s="24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</row>
    <row r="32" spans="1:17" ht="15" x14ac:dyDescent="0.2">
      <c r="A32" s="24"/>
      <c r="B32" s="62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</row>
    <row r="33" spans="1:17" ht="15" x14ac:dyDescent="0.2">
      <c r="A33" s="24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</row>
    <row r="34" spans="1:17" ht="15" x14ac:dyDescent="0.2">
      <c r="A34" s="24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102</v>
      </c>
      <c r="B1" t="s">
        <v>67</v>
      </c>
      <c r="C1" t="s">
        <v>68</v>
      </c>
      <c r="D1" t="s">
        <v>113</v>
      </c>
      <c r="E1" t="s">
        <v>116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102</v>
      </c>
      <c r="B1" t="s">
        <v>67</v>
      </c>
      <c r="C1" t="s">
        <v>68</v>
      </c>
      <c r="D1" t="s">
        <v>113</v>
      </c>
      <c r="E1" t="s">
        <v>116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Reference</vt:lpstr>
      <vt:lpstr>Stream Properties</vt:lpstr>
      <vt:lpstr>Help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2022-08-28T01:10:51Z</dcterms:modified>
</cp:coreProperties>
</file>