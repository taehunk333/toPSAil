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F8F28BEA-3263-7744-A1A9-FF48CA99D21F}" xr6:coauthVersionLast="47" xr6:coauthVersionMax="47" xr10:uidLastSave="{00000000-0000-0000-0000-000000000000}"/>
  <bookViews>
    <workbookView xWindow="0" yWindow="640" windowWidth="23260" windowHeight="1318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r:id="rId4"/>
    <sheet name="PFD" sheetId="41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1" hidden="1">Initialization!$B$9:$K$25</definedName>
    <definedName name="_xlnm._FilterDatabase" localSheetId="2" hidden="1">'Model Selection'!$B$9:$K$20</definedName>
    <definedName name="_xlnm.Print_Area" localSheetId="1">Initialization!$B$2:$K$25</definedName>
    <definedName name="_xlnm.Print_Area" localSheetId="2">'Model Selection'!$B$2:$K$20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" i="41" l="1"/>
  <c r="A1" i="41"/>
  <c r="Q1" i="40"/>
  <c r="A1" i="40"/>
  <c r="K4" i="39"/>
  <c r="K2" i="39"/>
  <c r="B2" i="39"/>
  <c r="K2" i="10" l="1"/>
  <c r="K4" i="10" l="1"/>
  <c r="B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H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H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<sst xmlns="http://schemas.openxmlformats.org/spreadsheetml/2006/main" count="346" uniqueCount="140">
  <si>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</si>
  <si>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</si>
  <si>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</si>
  <si>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</si>
  <si>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</si>
  <si>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</si>
  <si>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</si>
  <si>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</si>
  <si>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</si>
  <si>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</si>
  <si>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</si>
  <si>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</si>
  <si>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</si>
  <si>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</si>
  <si>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</si>
  <si>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</si>
  <si>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</si>
  <si>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</si>
  <si>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</si>
  <si>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</si>
  <si>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0 = isothermal column,
1 = non-isothermal column.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</si>
  <si>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</si>
  <si>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</si>
  <si>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</si>
  <si>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</si>
  <si>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</si>
  <si>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</si>
  <si>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</si>
  <si>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</si>
  <si>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</si>
  <si>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</si>
  <si>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</si>
  <si>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</si>
  <si>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</si>
  <si>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</si>
  <si>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</si>
  <si>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</si>
  <si>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</si>
  <si>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</si>
  <si>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</si>
  <si>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0 = explicit isotherm model,
1 = implicit isotherm model.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</si>
  <si>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</si>
  <si>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</si>
  <si>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</si>
  <si>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</si>
  <si>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</si>
  <si>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</si>
  <si>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</si>
  <si>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</si>
  <si>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</si>
  <si>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</si>
  <si>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</si>
  <si>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</si>
  <si>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</si>
  <si>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</si>
  <si>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</si>
  <si>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</si>
  <si>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</si>
  <si>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</si>
  <si>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</si>
  <si>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time driven mode,
1 = event driven mode.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</si>
  <si>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</si>
  <si>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</si>
  <si>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</si>
  <si>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</si>
  <si>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</si>
  <si>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</si>
  <si>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</si>
  <si>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</si>
  <si>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</si>
  <si>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</si>
  <si>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</si>
  <si>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</si>
  <si>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</si>
  <si>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</si>
  <si>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</si>
  <si>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</si>
  <si>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</si>
  <si>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</si>
  <si>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</si>
  <si>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</si>
  <si>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0 = explicit rate model,
1 = implicit rate model.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</si>
  <si>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</si>
  <si>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</si>
  <si>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</si>
  <si>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</si>
  <si>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</si>
  <si>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</si>
  <si>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</si>
  <si>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</si>
  <si>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</si>
  <si>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</si>
  <si>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modSp8</t>
  </si>
  <si>
    <t>modSp9</t>
  </si>
  <si>
    <t>modSp10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</si>
  <si>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</si>
  <si>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</si>
  <si>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</si>
  <si>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</si>
  <si>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</si>
  <si>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</si>
  <si>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</si>
  <si>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</si>
  <si>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</si>
  <si>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</si>
  <si>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</si>
  <si>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</si>
  <si>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no axial dispersion,
1 = axial dispersion.</t>
  </si>
  <si>
    <t>0 = ideal gas law,
1 = other equation of state.</t>
  </si>
  <si>
    <t>0 = only recover the raffinate product,
1 = recover raffinate and extract products.</t>
  </si>
  <si>
    <t>0 = a single layered adsorbent bed,
1 = a multi-layered adsorbent bed.</t>
  </si>
  <si>
    <t>0 = a uni-bed PSA process,
1 = a multi-bed PSA process.</t>
  </si>
  <si>
    <t>0 = pressure driven operation,
1 = controlled operation.</t>
  </si>
  <si>
    <t>0 = no axial pressure drop,
1 = axial pressure drop.</t>
  </si>
  <si>
    <t>0 = feed already available at a high pressure,
1 = feed compression required.</t>
  </si>
  <si>
    <t>0 = depressurization to the ambient pressure,
1 = vacuum pump is used for de-pressurization.</t>
  </si>
  <si>
    <t>Specify an equation of states:
0 = custom EOS,
1 = ideal gas law,
2 = TBD,
3 = TBD,
4 = TBD,
5 = TBD, 
6 = TBD, 
7 = TBD, 
8 = TBD, 
9 = TBD.</t>
  </si>
  <si>
    <t>Specify an adsorption rate model:
0 = custom rate model,
1 = LDF adsorption kinetics model,
2 = TBD,
3 = TBD,
4 = TBD,
5 = TBD, 
6 = TBD, 
7 = TBD, 
8 = TBD, 
9 = TBD.</t>
  </si>
  <si>
    <t>Specify an adsorption isotherm model:
0 = custom isotherm,
1 = linear isotherm,
2 = extended Langmuir isotherm,
3 = TBD,
4 = TBD,
5 = TBD, 
6 = TBD, 
7 = TBD, 
8 = TBD, 
9 = TBD.</t>
  </si>
  <si>
    <t>Specify a valve model:
0 = custom valve,
1 = a linear valve, 
2 = TBD,
3 = TBD,
4 = TBD,
5 = TBD,
6 = TBD,
7 = TBD,
8 = TBD,
9 = TBD.</t>
  </si>
  <si>
    <t xml:space="preserve">Specify a heat capacity model: 
0 = a constant heat capacity model,
1 = a temperature dependent polynomial model,
2 = TBD,
3 = TBD,
4 = TBD,
5 = TBD,
6 = TBD,
7 = TBD, 
8 = TBD, 
9 = TBD.
</t>
  </si>
  <si>
    <t>TBD:
0 = TBD,
1 = TBD,
2 = TBD,
3 = TBD, 
4 = TBD, 
5 = TBD, 
6 = TBD, 
7 = TBD,
8 = TBD,
9 = TBD.</t>
  </si>
  <si>
    <t>0 = TBD,
1 = TBD.</t>
  </si>
  <si>
    <t>Specify a momentum balance model:
0 = no axial pressure drop, 
1 = Karman-Kozeny equation,
2 = Ergun equation,
3 = TBD,
4 = TBD, 
5 = TBD,
6 = TBD, 
7 = TBD,
8 = TBD,
9 = TBD.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</si>
  <si>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</si>
  <si>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</si>
  <si>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</si>
  <si>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</si>
  <si>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</si>
  <si>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</si>
  <si>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</si>
  <si>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</si>
  <si>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Specify a cyclic steady state (CSS) convergence model: 
0 = overall states,
1 = 1st column ststes,
2 = all column states,
3 = the raffinate product tank states,
4 = TBD,
5 = TBD,
6 = TBD,
7 = TBD,
8 = TBD,
9 = TBD.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</si>
  <si>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</si>
  <si>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</si>
  <si>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</si>
  <si>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</si>
  <si>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TBD</t>
  </si>
  <si>
    <t>Initialization of the Simulation Environment</t>
  </si>
  <si>
    <t>Information on Model 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</si>
</sst>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3" xfId="0" applyFont="1" applyFill="1" applyBorder="1"/>
    <xf numFmtId="0" fontId="5" fillId="0" borderId="2" xfId="1" applyFont="1" applyBorder="1" applyAlignment="1" applyProtection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B9:K25" totalsRowShown="0" headerRowDxfId="34" dataDxfId="32" headerRowBorderDxfId="33" tableBorderDxfId="31" totalsRowBorderDxfId="30">
  <autoFilter ref="B9:K25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B9:K20" totalsRowShown="0" headerRowDxfId="14" dataDxfId="12" headerRowBorderDxfId="13" tableBorderDxfId="11" totalsRowBorderDxfId="10">
  <autoFilter ref="B9:K20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2098560F-C92A-4527-B73B-CDE0FA861BCD}">
    <text>place 1 if we want to keep the row when re-initializing. Otherwise, leave it as a blank.</text>
  </threadedComment>
  <threadedComment ref="I9" dT="2020-11-26T18:35:03.27" personId="{7F98AE94-13FB-49E1-9262-339C11E0EDB4}" id="{02C02106-AE8E-4FEF-8B35-8F0B8F7C1FE9}">
    <text>supply a value greater than 1 if you want to duplicate the row</text>
  </threadedComment>
  <threadedComment ref="J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J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ABAAE104-1442-420E-AD26-C6CAD21BF900}">
    <text>place 1 if we want to keep the row when re-initializing. Otherwise, leave it as a blank.</text>
  </threadedComment>
  <threadedComment ref="I9" dT="2020-11-26T18:35:03.27" personId="{7F98AE94-13FB-49E1-9262-339C11E0EDB4}" id="{74D95228-D979-4953-A89D-649833238ADF}">
    <text>supply a value greater than 1 if you want to duplicate the row</text>
  </threadedComment>
  <threadedComment ref="J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J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9" sqref="E9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45" t="s">
        <v>135</v>
      </c>
      <c r="E4" s="46"/>
      <c r="F4" s="47"/>
      <c r="G4" s="48"/>
      <c r="H4" s="48"/>
      <c r="I4" s="48"/>
      <c r="J4" s="32" t="s">
        <v>89</v>
      </c>
    </row>
    <row r="5" spans="4:10" ht="40" x14ac:dyDescent="0.2">
      <c r="D5" s="63" t="s">
        <v>37</v>
      </c>
      <c r="E5" s="63"/>
      <c r="F5" s="63"/>
      <c r="G5" s="63"/>
      <c r="H5" s="63"/>
      <c r="I5" s="63"/>
      <c r="J5" s="63"/>
    </row>
    <row r="6" spans="4:10" ht="20" x14ac:dyDescent="0.2">
      <c r="D6" s="41" t="s">
        <v>31</v>
      </c>
      <c r="E6" s="41" t="s">
        <v>133</v>
      </c>
      <c r="F6" s="41" t="s">
        <v>32</v>
      </c>
      <c r="G6" s="41" t="s">
        <v>33</v>
      </c>
      <c r="H6" s="41" t="s">
        <v>34</v>
      </c>
      <c r="I6" s="41" t="s">
        <v>35</v>
      </c>
      <c r="J6" s="41" t="s">
        <v>36</v>
      </c>
    </row>
    <row r="7" spans="4:10" ht="40" x14ac:dyDescent="0.2">
      <c r="D7" s="33">
        <v>1</v>
      </c>
      <c r="E7" s="42" t="s">
        <v>134</v>
      </c>
      <c r="F7" s="43">
        <v>44720</v>
      </c>
      <c r="G7" s="44" t="s">
        <v>38</v>
      </c>
      <c r="H7" s="33"/>
      <c r="I7" s="33"/>
      <c r="J7" s="34"/>
    </row>
    <row r="8" spans="4:10" ht="19" x14ac:dyDescent="0.2">
      <c r="D8" s="33">
        <v>2</v>
      </c>
      <c r="E8" s="34"/>
      <c r="F8" s="35"/>
      <c r="G8" s="33"/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abSelected="1" topLeftCell="B2" zoomScale="85" zoomScaleNormal="85" zoomScaleSheetLayoutView="70" workbookViewId="0">
      <pane ySplit="8" topLeftCell="A10" activePane="bottomLeft" state="frozen"/>
      <selection activeCell="B2" sqref="B2"/>
      <selection pane="bottomLeft" activeCell="C15" sqref="C15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ht="15" x14ac:dyDescent="0.2">
      <c r="B2" s="20" t="str">
        <f>'Revision History'!$D$4</f>
        <v>REV. NO.1 (6/8/2022)</v>
      </c>
      <c r="C2" s="21"/>
      <c r="D2" s="21"/>
      <c r="E2" s="21"/>
      <c r="F2" s="21"/>
      <c r="G2" s="21"/>
      <c r="H2" s="21"/>
      <c r="I2" s="21"/>
      <c r="J2" s="21"/>
      <c r="K2" s="22" t="str">
        <f>'Revision History'!$J$4</f>
        <v>Scott Research Group (jkscottresearchgroup.com)</v>
      </c>
    </row>
    <row r="3" spans="2:11" ht="19" x14ac:dyDescent="0.2">
      <c r="B3" s="64" t="s">
        <v>30</v>
      </c>
      <c r="C3" s="64"/>
      <c r="D3" s="64"/>
      <c r="E3" s="64"/>
      <c r="F3" s="64"/>
      <c r="G3" s="64"/>
      <c r="H3" s="64"/>
      <c r="I3" s="64"/>
      <c r="J3" s="64"/>
      <c r="K3" s="64"/>
    </row>
    <row r="4" spans="2:11" ht="14.5" customHeight="1" x14ac:dyDescent="0.2">
      <c r="B4" s="13"/>
      <c r="C4" s="14"/>
      <c r="D4" s="40"/>
      <c r="E4" s="15"/>
      <c r="F4" s="15"/>
      <c r="G4" s="15"/>
      <c r="H4" s="15"/>
      <c r="I4" s="15"/>
      <c r="J4" s="14"/>
      <c r="K4" s="65" t="str">
        <f>IF(COUNTIF(Table132[Test 3],1)=COUNTA(Table132[Value]),"Ready","Not Ready")</f>
        <v>Ready</v>
      </c>
    </row>
    <row r="5" spans="2:11" ht="14.5" customHeight="1" x14ac:dyDescent="0.2">
      <c r="B5" s="13"/>
      <c r="C5" s="14"/>
      <c r="D5" s="40"/>
      <c r="E5" s="15"/>
      <c r="F5" s="15"/>
      <c r="G5" s="15"/>
      <c r="H5" s="15"/>
      <c r="I5" s="15"/>
      <c r="J5" s="15"/>
      <c r="K5" s="66"/>
    </row>
    <row r="6" spans="2:11" ht="14.5" customHeight="1" x14ac:dyDescent="0.2">
      <c r="B6" s="13"/>
      <c r="C6" s="14"/>
      <c r="D6" s="40"/>
      <c r="E6" s="15"/>
      <c r="F6" s="15"/>
      <c r="G6" s="15"/>
      <c r="H6" s="15"/>
      <c r="I6" s="15"/>
      <c r="J6" s="15"/>
      <c r="K6" s="66"/>
    </row>
    <row r="7" spans="2:11" ht="14.5" customHeight="1" x14ac:dyDescent="0.2">
      <c r="B7" s="13"/>
      <c r="C7" s="14"/>
      <c r="D7" s="40"/>
      <c r="E7" s="15"/>
      <c r="F7" s="15"/>
      <c r="G7" s="15"/>
      <c r="H7" s="15"/>
      <c r="I7" s="15"/>
      <c r="J7" s="15"/>
      <c r="K7" s="66"/>
    </row>
    <row r="8" spans="2:11" ht="14.5" customHeight="1" x14ac:dyDescent="0.2">
      <c r="B8" s="16"/>
      <c r="C8" s="17"/>
      <c r="D8" s="18"/>
      <c r="E8" s="19"/>
      <c r="F8" s="19"/>
      <c r="G8" s="19"/>
      <c r="H8" s="19"/>
      <c r="I8" s="19"/>
      <c r="J8" s="19"/>
      <c r="K8" s="67"/>
    </row>
    <row r="9" spans="2:11" ht="16" x14ac:dyDescent="0.2">
      <c r="B9" s="23" t="s">
        <v>0</v>
      </c>
      <c r="C9" s="24" t="s">
        <v>1</v>
      </c>
      <c r="D9" s="24" t="s">
        <v>2</v>
      </c>
      <c r="E9" s="24" t="s">
        <v>14</v>
      </c>
      <c r="F9" s="24" t="s">
        <v>66</v>
      </c>
      <c r="G9" s="25" t="s">
        <v>39</v>
      </c>
      <c r="H9" s="25" t="s">
        <v>67</v>
      </c>
      <c r="I9" s="24" t="s">
        <v>68</v>
      </c>
      <c r="J9" s="26" t="s">
        <v>77</v>
      </c>
      <c r="K9" s="26" t="s">
        <v>12</v>
      </c>
    </row>
    <row r="10" spans="2:11" ht="32" x14ac:dyDescent="0.2">
      <c r="B10" s="4" t="s">
        <v>45</v>
      </c>
      <c r="C10" s="27">
        <v>0</v>
      </c>
      <c r="D10" s="2" t="s">
        <v>3</v>
      </c>
      <c r="E10" s="39" t="s">
        <v>59</v>
      </c>
      <c r="F10" s="39" t="s">
        <v>6</v>
      </c>
      <c r="G10" s="2" t="s">
        <v>41</v>
      </c>
      <c r="H10" s="39">
        <v>1</v>
      </c>
      <c r="I10" s="39">
        <v>1</v>
      </c>
      <c r="J10" s="6">
        <v>1</v>
      </c>
      <c r="K10" s="5" t="s">
        <v>111</v>
      </c>
    </row>
    <row r="11" spans="2:11" ht="32" x14ac:dyDescent="0.2">
      <c r="B11" s="4" t="s">
        <v>44</v>
      </c>
      <c r="C11" s="27">
        <v>0</v>
      </c>
      <c r="D11" s="2" t="s">
        <v>3</v>
      </c>
      <c r="E11" s="39" t="s">
        <v>59</v>
      </c>
      <c r="F11" s="39" t="s">
        <v>6</v>
      </c>
      <c r="G11" s="2" t="s">
        <v>41</v>
      </c>
      <c r="H11" s="39">
        <v>1</v>
      </c>
      <c r="I11" s="39">
        <v>1</v>
      </c>
      <c r="J11" s="6">
        <v>1</v>
      </c>
      <c r="K11" s="5" t="s">
        <v>61</v>
      </c>
    </row>
    <row r="12" spans="2:11" ht="32" x14ac:dyDescent="0.2">
      <c r="B12" s="4" t="s">
        <v>46</v>
      </c>
      <c r="C12" s="27">
        <v>0</v>
      </c>
      <c r="D12" s="2" t="s">
        <v>3</v>
      </c>
      <c r="E12" s="39" t="s">
        <v>59</v>
      </c>
      <c r="F12" s="39" t="s">
        <v>6</v>
      </c>
      <c r="G12" s="2" t="s">
        <v>41</v>
      </c>
      <c r="H12" s="39">
        <v>1</v>
      </c>
      <c r="I12" s="39">
        <v>1</v>
      </c>
      <c r="J12" s="6">
        <v>1</v>
      </c>
      <c r="K12" s="5" t="s">
        <v>112</v>
      </c>
    </row>
    <row r="13" spans="2:11" ht="32" x14ac:dyDescent="0.2">
      <c r="B13" s="4" t="s">
        <v>47</v>
      </c>
      <c r="C13" s="27">
        <v>1</v>
      </c>
      <c r="D13" s="2" t="s">
        <v>3</v>
      </c>
      <c r="E13" s="39" t="s">
        <v>59</v>
      </c>
      <c r="F13" s="39" t="s">
        <v>6</v>
      </c>
      <c r="G13" s="2" t="s">
        <v>41</v>
      </c>
      <c r="H13" s="39">
        <v>1</v>
      </c>
      <c r="I13" s="39">
        <v>1</v>
      </c>
      <c r="J13" s="6">
        <v>1</v>
      </c>
      <c r="K13" s="5" t="s">
        <v>60</v>
      </c>
    </row>
    <row r="14" spans="2:11" ht="32" x14ac:dyDescent="0.2">
      <c r="B14" s="4" t="s">
        <v>48</v>
      </c>
      <c r="C14" s="27">
        <v>1</v>
      </c>
      <c r="D14" s="2" t="s">
        <v>3</v>
      </c>
      <c r="E14" s="39" t="s">
        <v>59</v>
      </c>
      <c r="F14" s="39" t="s">
        <v>6</v>
      </c>
      <c r="G14" s="2" t="s">
        <v>41</v>
      </c>
      <c r="H14" s="39">
        <v>1</v>
      </c>
      <c r="I14" s="39">
        <v>1</v>
      </c>
      <c r="J14" s="6">
        <v>1</v>
      </c>
      <c r="K14" s="5" t="s">
        <v>20</v>
      </c>
    </row>
    <row r="15" spans="2:11" ht="32" x14ac:dyDescent="0.2">
      <c r="B15" s="4" t="s">
        <v>49</v>
      </c>
      <c r="C15" s="27">
        <v>0</v>
      </c>
      <c r="D15" s="2" t="s">
        <v>3</v>
      </c>
      <c r="E15" s="39" t="s">
        <v>59</v>
      </c>
      <c r="F15" s="39" t="s">
        <v>6</v>
      </c>
      <c r="G15" s="2" t="s">
        <v>41</v>
      </c>
      <c r="H15" s="39">
        <v>1</v>
      </c>
      <c r="I15" s="39">
        <v>1</v>
      </c>
      <c r="J15" s="6">
        <v>1</v>
      </c>
      <c r="K15" s="5" t="s">
        <v>113</v>
      </c>
    </row>
    <row r="16" spans="2:11" ht="32" x14ac:dyDescent="0.2">
      <c r="B16" s="4" t="s">
        <v>50</v>
      </c>
      <c r="C16" s="27">
        <v>0</v>
      </c>
      <c r="D16" s="2" t="s">
        <v>3</v>
      </c>
      <c r="E16" s="39" t="s">
        <v>59</v>
      </c>
      <c r="F16" s="39" t="s">
        <v>6</v>
      </c>
      <c r="G16" s="2" t="s">
        <v>41</v>
      </c>
      <c r="H16" s="39">
        <v>1</v>
      </c>
      <c r="I16" s="39">
        <v>1</v>
      </c>
      <c r="J16" s="6">
        <v>1</v>
      </c>
      <c r="K16" s="5" t="s">
        <v>108</v>
      </c>
    </row>
    <row r="17" spans="2:11" ht="32" x14ac:dyDescent="0.2">
      <c r="B17" s="4" t="s">
        <v>51</v>
      </c>
      <c r="C17" s="27">
        <v>0</v>
      </c>
      <c r="D17" s="2" t="s">
        <v>3</v>
      </c>
      <c r="E17" s="39" t="s">
        <v>59</v>
      </c>
      <c r="F17" s="39" t="s">
        <v>6</v>
      </c>
      <c r="G17" s="2" t="s">
        <v>41</v>
      </c>
      <c r="H17" s="39">
        <v>1</v>
      </c>
      <c r="I17" s="39">
        <v>1</v>
      </c>
      <c r="J17" s="6">
        <v>1</v>
      </c>
      <c r="K17" s="5" t="s">
        <v>40</v>
      </c>
    </row>
    <row r="18" spans="2:11" ht="32" x14ac:dyDescent="0.2">
      <c r="B18" s="4" t="s">
        <v>52</v>
      </c>
      <c r="C18" s="27">
        <v>0</v>
      </c>
      <c r="D18" s="2" t="s">
        <v>3</v>
      </c>
      <c r="E18" s="39" t="s">
        <v>59</v>
      </c>
      <c r="F18" s="39" t="s">
        <v>6</v>
      </c>
      <c r="G18" s="2" t="s">
        <v>41</v>
      </c>
      <c r="H18" s="39">
        <v>1</v>
      </c>
      <c r="I18" s="39">
        <v>1</v>
      </c>
      <c r="J18" s="6">
        <v>1</v>
      </c>
      <c r="K18" s="5" t="s">
        <v>81</v>
      </c>
    </row>
    <row r="19" spans="2:11" ht="32" x14ac:dyDescent="0.2">
      <c r="B19" s="4" t="s">
        <v>53</v>
      </c>
      <c r="C19" s="27">
        <v>0</v>
      </c>
      <c r="D19" s="2" t="s">
        <v>3</v>
      </c>
      <c r="E19" s="39" t="s">
        <v>59</v>
      </c>
      <c r="F19" s="39" t="s">
        <v>6</v>
      </c>
      <c r="G19" s="2" t="s">
        <v>41</v>
      </c>
      <c r="H19" s="39">
        <v>1</v>
      </c>
      <c r="I19" s="39">
        <v>1</v>
      </c>
      <c r="J19" s="6">
        <v>1</v>
      </c>
      <c r="K19" s="5" t="s">
        <v>107</v>
      </c>
    </row>
    <row r="20" spans="2:11" ht="32" x14ac:dyDescent="0.2">
      <c r="B20" s="4" t="s">
        <v>54</v>
      </c>
      <c r="C20" s="27">
        <v>1</v>
      </c>
      <c r="D20" s="2" t="s">
        <v>3</v>
      </c>
      <c r="E20" s="39" t="s">
        <v>59</v>
      </c>
      <c r="F20" s="39" t="s">
        <v>6</v>
      </c>
      <c r="G20" s="2" t="s">
        <v>41</v>
      </c>
      <c r="H20" s="39">
        <v>1</v>
      </c>
      <c r="I20" s="39">
        <v>1</v>
      </c>
      <c r="J20" s="6">
        <v>1</v>
      </c>
      <c r="K20" s="5" t="s">
        <v>114</v>
      </c>
    </row>
    <row r="21" spans="2:11" ht="32" x14ac:dyDescent="0.2">
      <c r="B21" s="4" t="s">
        <v>55</v>
      </c>
      <c r="C21" s="27">
        <v>1</v>
      </c>
      <c r="D21" s="2" t="s">
        <v>3</v>
      </c>
      <c r="E21" s="39" t="s">
        <v>59</v>
      </c>
      <c r="F21" s="39" t="s">
        <v>6</v>
      </c>
      <c r="G21" s="2" t="s">
        <v>41</v>
      </c>
      <c r="H21" s="39">
        <v>1</v>
      </c>
      <c r="I21" s="39">
        <v>1</v>
      </c>
      <c r="J21" s="6">
        <v>1</v>
      </c>
      <c r="K21" s="5" t="s">
        <v>115</v>
      </c>
    </row>
    <row r="22" spans="2:11" ht="32" x14ac:dyDescent="0.2">
      <c r="B22" s="4" t="s">
        <v>56</v>
      </c>
      <c r="C22" s="27">
        <v>0</v>
      </c>
      <c r="D22" s="2" t="s">
        <v>3</v>
      </c>
      <c r="E22" s="39" t="s">
        <v>59</v>
      </c>
      <c r="F22" s="39" t="s">
        <v>6</v>
      </c>
      <c r="G22" s="2" t="s">
        <v>41</v>
      </c>
      <c r="H22" s="39">
        <v>1</v>
      </c>
      <c r="I22" s="39">
        <v>1</v>
      </c>
      <c r="J22" s="6">
        <v>1</v>
      </c>
      <c r="K22" s="5" t="s">
        <v>109</v>
      </c>
    </row>
    <row r="23" spans="2:11" ht="32" x14ac:dyDescent="0.2">
      <c r="B23" s="4" t="s">
        <v>57</v>
      </c>
      <c r="C23" s="27">
        <v>0</v>
      </c>
      <c r="D23" s="2" t="s">
        <v>3</v>
      </c>
      <c r="E23" s="39" t="s">
        <v>59</v>
      </c>
      <c r="F23" s="39" t="s">
        <v>6</v>
      </c>
      <c r="G23" s="2" t="s">
        <v>41</v>
      </c>
      <c r="H23" s="39">
        <v>1</v>
      </c>
      <c r="I23" s="39">
        <v>1</v>
      </c>
      <c r="J23" s="6">
        <v>1</v>
      </c>
      <c r="K23" s="5" t="s">
        <v>110</v>
      </c>
    </row>
    <row r="24" spans="2:11" ht="32" x14ac:dyDescent="0.2">
      <c r="B24" s="4" t="s">
        <v>58</v>
      </c>
      <c r="C24" s="27"/>
      <c r="D24" s="2" t="s">
        <v>3</v>
      </c>
      <c r="E24" s="39" t="s">
        <v>59</v>
      </c>
      <c r="F24" s="39" t="s">
        <v>6</v>
      </c>
      <c r="G24" s="2" t="s">
        <v>41</v>
      </c>
      <c r="H24" s="39">
        <v>1</v>
      </c>
      <c r="I24" s="39">
        <v>1</v>
      </c>
      <c r="J24" s="6">
        <v>0</v>
      </c>
      <c r="K24" s="5" t="s">
        <v>122</v>
      </c>
    </row>
    <row r="25" spans="2:11" ht="16" x14ac:dyDescent="0.2">
      <c r="B25" s="8" t="s">
        <v>82</v>
      </c>
      <c r="C25" s="28"/>
      <c r="D25" s="9"/>
      <c r="E25" s="10"/>
      <c r="F25" s="10"/>
      <c r="G25" s="9"/>
      <c r="H25" s="10">
        <v>1</v>
      </c>
      <c r="I25" s="10">
        <v>1</v>
      </c>
      <c r="J25" s="11">
        <v>0</v>
      </c>
      <c r="K25" s="12" t="s">
        <v>83</v>
      </c>
    </row>
  </sheetData>
  <sheetProtection algorithmName="SHA-512" hashValue="zk2ALqTANCthLgu66+mFctAa7C0/RFMynhRLuihhMUyB39LzheXkez8o7BUTXRpgEgNVhj79to/FnF/6DRK+fw==" saltValue="VjtAORqF7kukZOymkEU6pw==" spinCount="100000" sheet="1" objects="1" scenarios="1" selectLockedCells="1"/>
  <mergeCells count="2">
    <mergeCell ref="B3:K3"/>
    <mergeCell ref="K4:K8"/>
  </mergeCells>
  <conditionalFormatting sqref="C10:C25">
    <cfRule type="expression" dxfId="39" priority="1">
      <formula>IF(AND($C10&lt;&gt;"",$J10=0),1,0)</formula>
    </cfRule>
    <cfRule type="expression" dxfId="38" priority="2">
      <formula>IF($C10&lt;&gt;"",1,0)</formula>
    </cfRule>
    <cfRule type="expression" dxfId="37" priority="3">
      <formula>$J10 = 0</formula>
    </cfRule>
  </conditionalFormatting>
  <conditionalFormatting sqref="K4">
    <cfRule type="expression" dxfId="36" priority="1908">
      <formula>IF(COUNTA($C$10:$C$25)&lt;&gt;COUNTIF($J$10:$J$25,1),1,0)</formula>
    </cfRule>
    <cfRule type="expression" dxfId="35" priority="1909">
      <formula>IF(COUNTA($C$10:$C$25)=COUNTIF($J$10:$J$25,1),1,0)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C16</xm:sqref>
        </x14:dataValidation>
        <x14:dataValidation type="list" allowBlank="1" showInputMessage="1" showErrorMessage="1" promptTitle="Axial Pressure Drop" prompt="0 = No, _x000a_1 = Yes." xr:uid="{14002D7A-CD8D-40E9-95A0-99DD5DD575E0}">
          <x14:formula1>
            <xm:f>Reference!$K$2:$K$4</xm:f>
          </x14:formula1>
          <xm:sqref>C15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C14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C13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C12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C11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C10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C17:C24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G10:G25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E10:E25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F10:F25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K20"/>
  <sheetViews>
    <sheetView showGridLines="0" topLeftCell="B2" zoomScale="85" zoomScaleNormal="85" zoomScaleSheetLayoutView="70" workbookViewId="0">
      <pane ySplit="8" topLeftCell="A15" activePane="bottomLeft" state="frozen"/>
      <selection activeCell="B2" sqref="B2"/>
      <selection pane="bottomLeft" activeCell="C15" sqref="C15"/>
    </sheetView>
  </sheetViews>
  <sheetFormatPr baseColWidth="10" defaultColWidth="0" defaultRowHeight="15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x14ac:dyDescent="0.2">
      <c r="B2" s="20" t="str">
        <f>'Revision History'!$D$4</f>
        <v>REV. NO.1 (6/8/2022)</v>
      </c>
      <c r="C2" s="21"/>
      <c r="D2" s="21"/>
      <c r="E2" s="21"/>
      <c r="F2" s="21"/>
      <c r="G2" s="21"/>
      <c r="H2" s="21"/>
      <c r="I2" s="21"/>
      <c r="J2" s="21"/>
      <c r="K2" s="22" t="str">
        <f>'Revision History'!$J$4</f>
        <v>Scott Research Group (jkscottresearchgroup.com)</v>
      </c>
    </row>
    <row r="3" spans="2:11" ht="19" x14ac:dyDescent="0.2">
      <c r="B3" s="64" t="s">
        <v>30</v>
      </c>
      <c r="C3" s="64"/>
      <c r="D3" s="64"/>
      <c r="E3" s="64"/>
      <c r="F3" s="64"/>
      <c r="G3" s="64"/>
      <c r="H3" s="64"/>
      <c r="I3" s="64"/>
      <c r="J3" s="64"/>
      <c r="K3" s="64"/>
    </row>
    <row r="4" spans="2:11" ht="14.5" customHeight="1" x14ac:dyDescent="0.2">
      <c r="B4" s="13"/>
      <c r="C4" s="14"/>
      <c r="D4" s="37"/>
      <c r="E4" s="15"/>
      <c r="F4" s="15"/>
      <c r="G4" s="15"/>
      <c r="H4" s="15"/>
      <c r="I4" s="15"/>
      <c r="J4" s="14"/>
      <c r="K4" s="65" t="str">
        <f>IF(COUNTIF(Table13[Test 3],1)=COUNTA(Table13[Value]),"Ready","Not Ready")</f>
        <v>Ready</v>
      </c>
    </row>
    <row r="5" spans="2:11" ht="14.5" customHeight="1" x14ac:dyDescent="0.2">
      <c r="B5" s="13"/>
      <c r="C5" s="14"/>
      <c r="D5" s="37"/>
      <c r="E5" s="15"/>
      <c r="F5" s="15"/>
      <c r="G5" s="15"/>
      <c r="H5" s="15"/>
      <c r="I5" s="15"/>
      <c r="J5" s="15"/>
      <c r="K5" s="66"/>
    </row>
    <row r="6" spans="2:11" ht="14.5" customHeight="1" x14ac:dyDescent="0.2">
      <c r="B6" s="13"/>
      <c r="C6" s="14"/>
      <c r="D6" s="37"/>
      <c r="E6" s="15"/>
      <c r="F6" s="15"/>
      <c r="G6" s="15"/>
      <c r="H6" s="15"/>
      <c r="I6" s="15"/>
      <c r="J6" s="15"/>
      <c r="K6" s="66"/>
    </row>
    <row r="7" spans="2:11" ht="14.5" customHeight="1" x14ac:dyDescent="0.2">
      <c r="B7" s="13"/>
      <c r="C7" s="14"/>
      <c r="D7" s="37"/>
      <c r="E7" s="15"/>
      <c r="F7" s="15"/>
      <c r="G7" s="15"/>
      <c r="H7" s="15"/>
      <c r="I7" s="15"/>
      <c r="J7" s="15"/>
      <c r="K7" s="66"/>
    </row>
    <row r="8" spans="2:11" ht="14.5" customHeight="1" x14ac:dyDescent="0.2">
      <c r="B8" s="16"/>
      <c r="C8" s="17"/>
      <c r="D8" s="18"/>
      <c r="E8" s="19"/>
      <c r="F8" s="19"/>
      <c r="G8" s="19"/>
      <c r="H8" s="19"/>
      <c r="I8" s="19"/>
      <c r="J8" s="19"/>
      <c r="K8" s="67"/>
    </row>
    <row r="9" spans="2:11" ht="16" x14ac:dyDescent="0.2">
      <c r="B9" s="23" t="s">
        <v>0</v>
      </c>
      <c r="C9" s="24" t="s">
        <v>1</v>
      </c>
      <c r="D9" s="24" t="s">
        <v>2</v>
      </c>
      <c r="E9" s="24" t="s">
        <v>14</v>
      </c>
      <c r="F9" s="24" t="s">
        <v>66</v>
      </c>
      <c r="G9" s="25" t="s">
        <v>39</v>
      </c>
      <c r="H9" s="25" t="s">
        <v>67</v>
      </c>
      <c r="I9" s="24" t="s">
        <v>68</v>
      </c>
      <c r="J9" s="26" t="s">
        <v>77</v>
      </c>
      <c r="K9" s="26" t="s">
        <v>12</v>
      </c>
    </row>
    <row r="10" spans="2:11" ht="176" x14ac:dyDescent="0.2">
      <c r="B10" s="4" t="s">
        <v>72</v>
      </c>
      <c r="C10" s="27">
        <v>1</v>
      </c>
      <c r="D10" s="2" t="s">
        <v>3</v>
      </c>
      <c r="E10" s="38" t="s">
        <v>59</v>
      </c>
      <c r="F10" s="38" t="s">
        <v>86</v>
      </c>
      <c r="G10" s="2" t="s">
        <v>41</v>
      </c>
      <c r="H10" s="38">
        <v>1</v>
      </c>
      <c r="I10" s="38">
        <v>1</v>
      </c>
      <c r="J10" s="6">
        <v>1</v>
      </c>
      <c r="K10" s="5" t="s">
        <v>118</v>
      </c>
    </row>
    <row r="11" spans="2:11" ht="176" x14ac:dyDescent="0.2">
      <c r="B11" s="4" t="s">
        <v>73</v>
      </c>
      <c r="C11" s="27">
        <v>1</v>
      </c>
      <c r="D11" s="2" t="s">
        <v>3</v>
      </c>
      <c r="E11" s="38" t="s">
        <v>59</v>
      </c>
      <c r="F11" s="38" t="s">
        <v>86</v>
      </c>
      <c r="G11" s="2" t="s">
        <v>41</v>
      </c>
      <c r="H11" s="38">
        <v>1</v>
      </c>
      <c r="I11" s="38">
        <v>1</v>
      </c>
      <c r="J11" s="6">
        <v>1</v>
      </c>
      <c r="K11" s="5" t="s">
        <v>117</v>
      </c>
    </row>
    <row r="12" spans="2:11" ht="176" x14ac:dyDescent="0.2">
      <c r="B12" s="4" t="s">
        <v>74</v>
      </c>
      <c r="C12" s="27">
        <v>1</v>
      </c>
      <c r="D12" s="2" t="s">
        <v>3</v>
      </c>
      <c r="E12" s="38" t="s">
        <v>59</v>
      </c>
      <c r="F12" s="38" t="s">
        <v>86</v>
      </c>
      <c r="G12" s="2" t="s">
        <v>41</v>
      </c>
      <c r="H12" s="38">
        <v>1</v>
      </c>
      <c r="I12" s="38">
        <v>1</v>
      </c>
      <c r="J12" s="6">
        <v>1</v>
      </c>
      <c r="K12" s="5" t="s">
        <v>116</v>
      </c>
    </row>
    <row r="13" spans="2:11" ht="176" x14ac:dyDescent="0.2">
      <c r="B13" s="4" t="s">
        <v>75</v>
      </c>
      <c r="C13" s="27">
        <v>1</v>
      </c>
      <c r="D13" s="2" t="s">
        <v>3</v>
      </c>
      <c r="E13" s="38" t="s">
        <v>59</v>
      </c>
      <c r="F13" s="38" t="s">
        <v>86</v>
      </c>
      <c r="G13" s="2" t="s">
        <v>41</v>
      </c>
      <c r="H13" s="38">
        <v>1</v>
      </c>
      <c r="I13" s="38">
        <v>1</v>
      </c>
      <c r="J13" s="6">
        <v>1</v>
      </c>
      <c r="K13" s="5" t="s">
        <v>119</v>
      </c>
    </row>
    <row r="14" spans="2:11" ht="192" x14ac:dyDescent="0.2">
      <c r="B14" s="4" t="s">
        <v>76</v>
      </c>
      <c r="C14" s="27">
        <v>0</v>
      </c>
      <c r="D14" s="2" t="s">
        <v>3</v>
      </c>
      <c r="E14" s="38" t="s">
        <v>59</v>
      </c>
      <c r="F14" s="38" t="s">
        <v>86</v>
      </c>
      <c r="G14" s="2" t="s">
        <v>41</v>
      </c>
      <c r="H14" s="38">
        <v>1</v>
      </c>
      <c r="I14" s="38">
        <v>1</v>
      </c>
      <c r="J14" s="6">
        <v>1</v>
      </c>
      <c r="K14" s="5" t="s">
        <v>120</v>
      </c>
    </row>
    <row r="15" spans="2:11" ht="176" x14ac:dyDescent="0.2">
      <c r="B15" s="4" t="s">
        <v>90</v>
      </c>
      <c r="C15" s="27">
        <v>0</v>
      </c>
      <c r="D15" s="2" t="s">
        <v>3</v>
      </c>
      <c r="E15" s="38" t="s">
        <v>59</v>
      </c>
      <c r="F15" s="38" t="s">
        <v>86</v>
      </c>
      <c r="G15" s="2" t="s">
        <v>41</v>
      </c>
      <c r="H15" s="38">
        <v>1</v>
      </c>
      <c r="I15" s="38">
        <v>1</v>
      </c>
      <c r="J15" s="6">
        <v>1</v>
      </c>
      <c r="K15" s="5" t="s">
        <v>123</v>
      </c>
    </row>
    <row r="16" spans="2:11" ht="192" x14ac:dyDescent="0.2">
      <c r="B16" s="4" t="s">
        <v>91</v>
      </c>
      <c r="C16" s="27">
        <v>1</v>
      </c>
      <c r="D16" s="2"/>
      <c r="E16" s="38" t="s">
        <v>59</v>
      </c>
      <c r="F16" s="38" t="s">
        <v>86</v>
      </c>
      <c r="G16" s="2" t="s">
        <v>41</v>
      </c>
      <c r="H16" s="38">
        <v>1</v>
      </c>
      <c r="I16" s="38">
        <v>1</v>
      </c>
      <c r="J16" s="6">
        <v>1</v>
      </c>
      <c r="K16" s="5" t="s">
        <v>132</v>
      </c>
    </row>
    <row r="17" spans="2:11" ht="176" x14ac:dyDescent="0.2">
      <c r="B17" s="4" t="s">
        <v>92</v>
      </c>
      <c r="C17" s="27"/>
      <c r="D17" s="2"/>
      <c r="E17" s="38" t="s">
        <v>59</v>
      </c>
      <c r="F17" s="38" t="s">
        <v>86</v>
      </c>
      <c r="G17" s="2" t="s">
        <v>41</v>
      </c>
      <c r="H17" s="38">
        <v>1</v>
      </c>
      <c r="I17" s="38">
        <v>1</v>
      </c>
      <c r="J17" s="6">
        <v>0</v>
      </c>
      <c r="K17" s="5" t="s">
        <v>121</v>
      </c>
    </row>
    <row r="18" spans="2:11" ht="176" x14ac:dyDescent="0.2">
      <c r="B18" s="4" t="s">
        <v>93</v>
      </c>
      <c r="C18" s="27"/>
      <c r="D18" s="2"/>
      <c r="E18" s="38" t="s">
        <v>59</v>
      </c>
      <c r="F18" s="38" t="s">
        <v>86</v>
      </c>
      <c r="G18" s="2" t="s">
        <v>41</v>
      </c>
      <c r="H18" s="38">
        <v>1</v>
      </c>
      <c r="I18" s="38">
        <v>1</v>
      </c>
      <c r="J18" s="6">
        <v>0</v>
      </c>
      <c r="K18" s="5" t="s">
        <v>121</v>
      </c>
    </row>
    <row r="19" spans="2:11" ht="176" x14ac:dyDescent="0.2">
      <c r="B19" s="4" t="s">
        <v>94</v>
      </c>
      <c r="C19" s="27"/>
      <c r="D19" s="2"/>
      <c r="E19" s="38" t="s">
        <v>59</v>
      </c>
      <c r="F19" s="38" t="s">
        <v>86</v>
      </c>
      <c r="G19" s="2" t="s">
        <v>41</v>
      </c>
      <c r="H19" s="38">
        <v>1</v>
      </c>
      <c r="I19" s="38">
        <v>1</v>
      </c>
      <c r="J19" s="6">
        <v>0</v>
      </c>
      <c r="K19" s="5" t="s">
        <v>121</v>
      </c>
    </row>
    <row r="20" spans="2:11" ht="16" x14ac:dyDescent="0.2">
      <c r="B20" s="8" t="s">
        <v>82</v>
      </c>
      <c r="C20" s="28"/>
      <c r="D20" s="9"/>
      <c r="E20" s="10"/>
      <c r="F20" s="10"/>
      <c r="G20" s="9"/>
      <c r="H20" s="10">
        <v>1</v>
      </c>
      <c r="I20" s="10">
        <v>1</v>
      </c>
      <c r="J20" s="11">
        <v>0</v>
      </c>
      <c r="K20" s="12" t="s">
        <v>83</v>
      </c>
    </row>
  </sheetData>
  <sheetProtection selectLockedCells="1"/>
  <mergeCells count="2">
    <mergeCell ref="B3:K3"/>
    <mergeCell ref="K4:K8"/>
  </mergeCells>
  <phoneticPr fontId="1" type="noConversion"/>
  <conditionalFormatting sqref="C10:C20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8">
      <formula>$J10 = 0</formula>
    </cfRule>
  </conditionalFormatting>
  <conditionalFormatting sqref="K4">
    <cfRule type="expression" dxfId="16" priority="1910">
      <formula>IF(COUNTA($C$10:$C$20)&lt;&gt;COUNTIF($J$10:$J$20,1),1,0)</formula>
    </cfRule>
    <cfRule type="expression" dxfId="15" priority="1911">
      <formula>IF(COUNTA($C$10:$C$20)=COUNTIF($J$10:$J$20,1),1,0)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C14:C19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C10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C11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C12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C13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F10:F20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E10:E20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G10:G20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52" customWidth="1"/>
    <col min="3" max="3" width="13.1640625" style="52" customWidth="1"/>
    <col min="4" max="4" width="13.5" style="52" customWidth="1"/>
    <col min="5" max="6" width="8.83203125" style="52" customWidth="1"/>
    <col min="7" max="7" width="14.83203125" style="52" customWidth="1"/>
    <col min="8" max="8" width="11.6640625" style="52" customWidth="1"/>
    <col min="9" max="9" width="10.33203125" style="52" customWidth="1"/>
    <col min="10" max="10" width="5.6640625" style="52" customWidth="1"/>
    <col min="11" max="11" width="10.5" style="52" customWidth="1"/>
    <col min="12" max="17" width="8.83203125" style="52" customWidth="1"/>
    <col min="18" max="16384" width="8.83203125" style="52" hidden="1"/>
  </cols>
  <sheetData>
    <row r="1" spans="1:17" ht="15" x14ac:dyDescent="0.2">
      <c r="A1" s="49" t="str">
        <f>'[1]Revision History'!D4</f>
        <v>REV. NO.1 (6/8/2022)</v>
      </c>
      <c r="B1" s="50"/>
      <c r="C1" s="50"/>
      <c r="D1" s="50"/>
      <c r="E1" s="50"/>
      <c r="F1" s="50"/>
      <c r="G1" s="50"/>
      <c r="H1" s="50"/>
      <c r="I1" s="51"/>
      <c r="J1" s="51"/>
      <c r="K1" s="51"/>
      <c r="L1" s="51"/>
      <c r="M1" s="51"/>
      <c r="N1" s="51"/>
      <c r="O1" s="51"/>
      <c r="P1" s="51"/>
      <c r="Q1" s="51" t="str">
        <f>'[2]Revision History'!$J$4</f>
        <v>Scott Research Group (jkscottresearchgroup.com)</v>
      </c>
    </row>
    <row r="2" spans="1:17" ht="15" x14ac:dyDescent="0.2">
      <c r="A2" s="68" t="s">
        <v>138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5" x14ac:dyDescent="0.2">
      <c r="A3" s="53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</row>
    <row r="4" spans="1:17" ht="15" x14ac:dyDescent="0.2">
      <c r="A4" s="53"/>
      <c r="B4" s="54" t="s">
        <v>137</v>
      </c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</row>
    <row r="5" spans="1:17" ht="15" x14ac:dyDescent="0.2">
      <c r="A5" s="53"/>
      <c r="B5" s="55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</row>
    <row r="6" spans="1:17" ht="15" x14ac:dyDescent="0.2">
      <c r="A6" s="53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</row>
    <row r="7" spans="1:17" ht="15" x14ac:dyDescent="0.2">
      <c r="A7" s="53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</row>
    <row r="8" spans="1:17" ht="15" x14ac:dyDescent="0.2">
      <c r="A8" s="53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</row>
    <row r="9" spans="1:17" ht="15" x14ac:dyDescent="0.2">
      <c r="A9" s="53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</row>
    <row r="10" spans="1:17" ht="15" x14ac:dyDescent="0.2">
      <c r="A10" s="53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</row>
    <row r="11" spans="1:17" ht="15" x14ac:dyDescent="0.2">
      <c r="A11" s="53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</row>
    <row r="12" spans="1:17" ht="15" x14ac:dyDescent="0.2">
      <c r="A12" s="53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</row>
    <row r="13" spans="1:17" ht="15" x14ac:dyDescent="0.2">
      <c r="A13" s="53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</row>
    <row r="14" spans="1:17" ht="15" x14ac:dyDescent="0.2">
      <c r="A14" s="53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</row>
    <row r="15" spans="1:17" ht="15" x14ac:dyDescent="0.2">
      <c r="A15" s="53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</row>
    <row r="16" spans="1:17" ht="15" x14ac:dyDescent="0.2">
      <c r="A16" s="53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</row>
    <row r="17" spans="1:17" ht="15" x14ac:dyDescent="0.2">
      <c r="A17" s="53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</row>
    <row r="18" spans="1:17" ht="15" x14ac:dyDescent="0.2">
      <c r="A18" s="68" t="s">
        <v>139</v>
      </c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</row>
    <row r="19" spans="1:17" ht="15" x14ac:dyDescent="0.2">
      <c r="A19" s="53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</row>
    <row r="20" spans="1:17" ht="15" x14ac:dyDescent="0.2">
      <c r="A20" s="53"/>
      <c r="B20" s="54" t="s">
        <v>137</v>
      </c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</row>
    <row r="21" spans="1:17" ht="15" x14ac:dyDescent="0.2">
      <c r="A21" s="53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</row>
    <row r="22" spans="1:17" ht="15" x14ac:dyDescent="0.2">
      <c r="A22" s="53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</row>
    <row r="23" spans="1:17" ht="15" x14ac:dyDescent="0.2">
      <c r="A23" s="53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</row>
    <row r="24" spans="1:17" ht="15" x14ac:dyDescent="0.2">
      <c r="A24" s="53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</row>
    <row r="25" spans="1:17" ht="15" x14ac:dyDescent="0.2">
      <c r="A25" s="53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</row>
    <row r="26" spans="1:17" ht="15" x14ac:dyDescent="0.2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</row>
    <row r="27" spans="1:17" ht="15" x14ac:dyDescent="0.2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</row>
    <row r="28" spans="1:17" ht="15" x14ac:dyDescent="0.2">
      <c r="A28" s="53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</row>
    <row r="29" spans="1:17" ht="15" x14ac:dyDescent="0.2">
      <c r="A29" s="53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</row>
    <row r="30" spans="1:17" ht="15" x14ac:dyDescent="0.2">
      <c r="A30" s="53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</row>
    <row r="31" spans="1:17" ht="15" x14ac:dyDescent="0.2">
      <c r="A31" s="53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</row>
    <row r="32" spans="1:17" ht="15" x14ac:dyDescent="0.2">
      <c r="A32" s="53"/>
      <c r="B32" s="55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</row>
    <row r="33" spans="1:17" ht="15" x14ac:dyDescent="0.2">
      <c r="A33" s="53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</row>
    <row r="34" spans="1:17" ht="15" x14ac:dyDescent="0.2">
      <c r="A34" s="53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AE03C-2F03-42EB-A4DF-DAB1EBCA33EA}">
  <sheetPr codeName="Sheet2">
    <tabColor rgb="FF00B050"/>
  </sheetPr>
  <dimension ref="A1:AV52"/>
  <sheetViews>
    <sheetView showGridLines="0" topLeftCell="A4" zoomScale="85" zoomScaleNormal="85" zoomScaleSheetLayoutView="55" workbookViewId="0">
      <selection activeCell="D4" sqref="D4:J4"/>
    </sheetView>
  </sheetViews>
  <sheetFormatPr baseColWidth="10" defaultColWidth="0" defaultRowHeight="14.5" customHeight="1" zeroHeight="1" x14ac:dyDescent="0.2"/>
  <cols>
    <col min="1" max="18" width="8.83203125" style="56" customWidth="1"/>
    <col min="19" max="48" width="0" style="56" hidden="1" customWidth="1"/>
    <col min="49" max="16384" width="8.83203125" style="56" hidden="1"/>
  </cols>
  <sheetData>
    <row r="1" spans="1:18" ht="15" x14ac:dyDescent="0.2">
      <c r="A1" s="49" t="str">
        <f>'[1]Revision History'!D4</f>
        <v>REV. NO.1 (6/8/2022)</v>
      </c>
      <c r="B1" s="50"/>
      <c r="C1" s="50"/>
      <c r="D1" s="50"/>
      <c r="E1" s="50"/>
      <c r="F1" s="50"/>
      <c r="G1" s="50"/>
      <c r="H1" s="50"/>
      <c r="I1" s="50"/>
      <c r="J1" s="51"/>
      <c r="K1" s="51"/>
      <c r="L1" s="51"/>
      <c r="M1" s="51"/>
      <c r="N1" s="51"/>
      <c r="O1" s="51"/>
      <c r="P1" s="51"/>
      <c r="Q1" s="51"/>
      <c r="R1" s="51" t="str">
        <f>'[2]Revision History'!$J$4</f>
        <v>Scott Research Group (jkscottresearchgroup.com)</v>
      </c>
    </row>
    <row r="2" spans="1:18" ht="15" x14ac:dyDescent="0.2">
      <c r="A2" s="57" t="s">
        <v>136</v>
      </c>
      <c r="B2" s="58"/>
      <c r="C2" s="58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</row>
    <row r="3" spans="1:18" ht="15" x14ac:dyDescent="0.2">
      <c r="A3" s="53"/>
      <c r="B3" s="54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2"/>
    </row>
    <row r="4" spans="1:18" ht="15" x14ac:dyDescent="0.2">
      <c r="A4" s="53"/>
      <c r="B4" s="54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2"/>
    </row>
    <row r="5" spans="1:18" ht="15" x14ac:dyDescent="0.2">
      <c r="A5" s="53"/>
      <c r="B5" s="54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2"/>
    </row>
    <row r="6" spans="1:18" ht="15" x14ac:dyDescent="0.2">
      <c r="A6" s="53"/>
      <c r="B6" s="54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2"/>
    </row>
    <row r="7" spans="1:18" ht="15" x14ac:dyDescent="0.2">
      <c r="A7" s="53"/>
      <c r="B7" s="54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2"/>
    </row>
    <row r="8" spans="1:18" ht="15" x14ac:dyDescent="0.2">
      <c r="A8" s="53"/>
      <c r="B8" s="54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2"/>
    </row>
    <row r="9" spans="1:18" ht="15" x14ac:dyDescent="0.2">
      <c r="A9" s="53"/>
      <c r="B9" s="54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2"/>
    </row>
    <row r="10" spans="1:18" ht="15" x14ac:dyDescent="0.2">
      <c r="A10" s="53"/>
      <c r="B10" s="54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2"/>
    </row>
    <row r="11" spans="1:18" ht="15" x14ac:dyDescent="0.2">
      <c r="A11" s="53"/>
      <c r="B11" s="54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2"/>
    </row>
    <row r="12" spans="1:18" ht="15" x14ac:dyDescent="0.2">
      <c r="A12" s="53"/>
      <c r="B12" s="54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2"/>
    </row>
    <row r="13" spans="1:18" ht="15" x14ac:dyDescent="0.2">
      <c r="A13" s="53"/>
      <c r="B13" s="54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2"/>
    </row>
    <row r="14" spans="1:18" ht="15" x14ac:dyDescent="0.2">
      <c r="A14" s="53"/>
      <c r="B14" s="54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2"/>
    </row>
    <row r="15" spans="1:18" ht="15" x14ac:dyDescent="0.2">
      <c r="A15" s="53"/>
      <c r="B15" s="54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2"/>
    </row>
    <row r="16" spans="1:18" ht="15" x14ac:dyDescent="0.2">
      <c r="A16" s="53"/>
      <c r="B16" s="54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2"/>
    </row>
    <row r="17" spans="1:18" ht="15" x14ac:dyDescent="0.2">
      <c r="A17" s="53"/>
      <c r="B17" s="54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2"/>
    </row>
    <row r="18" spans="1:18" ht="15" x14ac:dyDescent="0.2">
      <c r="A18" s="53"/>
      <c r="B18" s="54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2"/>
    </row>
    <row r="19" spans="1:18" ht="15" x14ac:dyDescent="0.2">
      <c r="A19" s="53"/>
      <c r="B19" s="54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2"/>
    </row>
    <row r="20" spans="1:18" ht="15" x14ac:dyDescent="0.2">
      <c r="A20" s="53"/>
      <c r="B20" s="54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2"/>
    </row>
    <row r="21" spans="1:18" ht="15" x14ac:dyDescent="0.2">
      <c r="A21" s="53"/>
      <c r="B21" s="54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2"/>
    </row>
    <row r="22" spans="1:18" ht="15" x14ac:dyDescent="0.2">
      <c r="A22" s="53"/>
      <c r="B22" s="54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2"/>
    </row>
    <row r="23" spans="1:18" ht="15" x14ac:dyDescent="0.2">
      <c r="A23" s="53"/>
      <c r="B23" s="54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2"/>
    </row>
    <row r="24" spans="1:18" ht="15" x14ac:dyDescent="0.2">
      <c r="A24" s="53"/>
      <c r="B24" s="54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2"/>
    </row>
    <row r="25" spans="1:18" ht="15" x14ac:dyDescent="0.2">
      <c r="A25" s="53"/>
      <c r="B25" s="54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2"/>
    </row>
    <row r="26" spans="1:18" ht="15" x14ac:dyDescent="0.2">
      <c r="A26" s="53"/>
      <c r="B26" s="54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2"/>
    </row>
    <row r="27" spans="1:18" ht="15" x14ac:dyDescent="0.2">
      <c r="A27" s="53"/>
      <c r="B27" s="54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2"/>
    </row>
    <row r="28" spans="1:18" ht="15" x14ac:dyDescent="0.2">
      <c r="A28" s="53"/>
      <c r="B28" s="54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2"/>
    </row>
    <row r="29" spans="1:18" ht="15" x14ac:dyDescent="0.2">
      <c r="A29" s="53"/>
      <c r="B29" s="54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2"/>
    </row>
    <row r="30" spans="1:18" ht="15" x14ac:dyDescent="0.2">
      <c r="A30" s="53"/>
      <c r="B30" s="54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2"/>
    </row>
    <row r="31" spans="1:18" ht="15" x14ac:dyDescent="0.2">
      <c r="A31" s="53"/>
      <c r="B31" s="54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2"/>
    </row>
    <row r="32" spans="1:18" ht="15" x14ac:dyDescent="0.2">
      <c r="A32" s="53"/>
      <c r="B32" s="54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2"/>
    </row>
    <row r="33" spans="1:18" ht="15" x14ac:dyDescent="0.2">
      <c r="A33" s="53"/>
      <c r="B33" s="54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2"/>
    </row>
    <row r="34" spans="1:18" ht="15" x14ac:dyDescent="0.2">
      <c r="A34" s="53"/>
      <c r="B34" s="54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2"/>
    </row>
    <row r="35" spans="1:18" ht="15" x14ac:dyDescent="0.2">
      <c r="A35" s="53"/>
      <c r="B35" s="54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2"/>
    </row>
    <row r="36" spans="1:18" ht="15" x14ac:dyDescent="0.2">
      <c r="A36" s="53"/>
      <c r="B36" s="54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2"/>
    </row>
    <row r="37" spans="1:18" ht="15" x14ac:dyDescent="0.2">
      <c r="A37" s="53"/>
      <c r="B37" s="54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2"/>
    </row>
    <row r="38" spans="1:18" ht="15" x14ac:dyDescent="0.2">
      <c r="A38" s="53"/>
      <c r="B38" s="54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2"/>
    </row>
    <row r="39" spans="1:18" ht="15" x14ac:dyDescent="0.2">
      <c r="A39" s="53"/>
      <c r="B39" s="54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2"/>
    </row>
    <row r="40" spans="1:18" ht="15" x14ac:dyDescent="0.2">
      <c r="A40" s="53"/>
      <c r="B40" s="54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2"/>
    </row>
    <row r="41" spans="1:18" ht="15" x14ac:dyDescent="0.2">
      <c r="A41" s="53"/>
      <c r="B41" s="54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2"/>
    </row>
    <row r="42" spans="1:18" ht="15" x14ac:dyDescent="0.2">
      <c r="A42" s="53"/>
      <c r="B42" s="54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2"/>
    </row>
    <row r="43" spans="1:18" ht="15" x14ac:dyDescent="0.2">
      <c r="A43" s="53"/>
      <c r="B43" s="54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2"/>
    </row>
    <row r="44" spans="1:18" ht="15" x14ac:dyDescent="0.2">
      <c r="A44" s="53"/>
      <c r="B44" s="54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2"/>
    </row>
    <row r="45" spans="1:18" ht="15" x14ac:dyDescent="0.2">
      <c r="A45" s="53"/>
      <c r="B45" s="54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2"/>
    </row>
    <row r="46" spans="1:18" ht="15" x14ac:dyDescent="0.2">
      <c r="A46" s="53"/>
      <c r="B46" s="54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2"/>
    </row>
    <row r="47" spans="1:18" ht="15" x14ac:dyDescent="0.2">
      <c r="A47" s="53"/>
      <c r="B47" s="54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2"/>
    </row>
    <row r="48" spans="1:18" ht="15" x14ac:dyDescent="0.2">
      <c r="A48" s="53"/>
      <c r="B48" s="54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2"/>
    </row>
    <row r="49" spans="1:18" ht="15" x14ac:dyDescent="0.2">
      <c r="A49" s="53"/>
      <c r="B49" s="54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2"/>
    </row>
    <row r="50" spans="1:18" ht="15" x14ac:dyDescent="0.2">
      <c r="A50" s="53"/>
      <c r="B50" s="54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2"/>
    </row>
    <row r="51" spans="1:18" ht="15" x14ac:dyDescent="0.2">
      <c r="A51" s="53"/>
      <c r="B51" s="54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2"/>
    </row>
    <row r="52" spans="1:18" ht="15" x14ac:dyDescent="0.2">
      <c r="A52" s="53"/>
      <c r="B52" s="54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2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69</v>
      </c>
      <c r="E1" t="s">
        <v>70</v>
      </c>
      <c r="F1" t="s">
        <v>71</v>
      </c>
      <c r="G1" s="1" t="s">
        <v>74</v>
      </c>
      <c r="H1" s="1" t="s">
        <v>75</v>
      </c>
      <c r="I1" s="1" t="s">
        <v>76</v>
      </c>
      <c r="J1" s="7" t="s">
        <v>78</v>
      </c>
      <c r="K1" s="7" t="s">
        <v>6</v>
      </c>
      <c r="L1" t="s">
        <v>87</v>
      </c>
      <c r="M1" t="s">
        <v>84</v>
      </c>
      <c r="N1" t="s">
        <v>85</v>
      </c>
      <c r="O1" t="s">
        <v>88</v>
      </c>
      <c r="P1" t="s">
        <v>98</v>
      </c>
      <c r="Q1" t="s">
        <v>101</v>
      </c>
      <c r="R1" t="s">
        <v>102</v>
      </c>
      <c r="S1" t="s">
        <v>103</v>
      </c>
      <c r="T1" t="s">
        <v>106</v>
      </c>
      <c r="U1" t="s">
        <v>124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41</v>
      </c>
      <c r="D3" t="s">
        <v>79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125</v>
      </c>
    </row>
    <row r="4" spans="1:21" x14ac:dyDescent="0.2">
      <c r="A4" t="s">
        <v>86</v>
      </c>
      <c r="B4" t="s">
        <v>22</v>
      </c>
      <c r="C4" t="s">
        <v>45</v>
      </c>
      <c r="D4" t="s">
        <v>80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126</v>
      </c>
    </row>
    <row r="5" spans="1:21" x14ac:dyDescent="0.2">
      <c r="A5" t="s">
        <v>10</v>
      </c>
      <c r="B5" t="s">
        <v>23</v>
      </c>
      <c r="C5" t="s">
        <v>44</v>
      </c>
      <c r="D5" t="s">
        <v>65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127</v>
      </c>
    </row>
    <row r="6" spans="1:21" x14ac:dyDescent="0.2">
      <c r="A6" t="s">
        <v>6</v>
      </c>
      <c r="B6" t="s">
        <v>24</v>
      </c>
      <c r="C6" t="s">
        <v>46</v>
      </c>
      <c r="D6" t="s">
        <v>62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128</v>
      </c>
    </row>
    <row r="7" spans="1:21" x14ac:dyDescent="0.2">
      <c r="A7" t="s">
        <v>9</v>
      </c>
      <c r="B7" t="s">
        <v>26</v>
      </c>
      <c r="C7" t="s">
        <v>47</v>
      </c>
      <c r="D7" t="s">
        <v>63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129</v>
      </c>
    </row>
    <row r="8" spans="1:21" x14ac:dyDescent="0.2">
      <c r="A8" t="s">
        <v>11</v>
      </c>
      <c r="B8" t="s">
        <v>27</v>
      </c>
      <c r="C8" t="s">
        <v>48</v>
      </c>
      <c r="D8" t="s">
        <v>64</v>
      </c>
      <c r="E8">
        <v>6</v>
      </c>
      <c r="F8">
        <v>6</v>
      </c>
      <c r="G8">
        <v>5</v>
      </c>
      <c r="H8">
        <v>5</v>
      </c>
      <c r="I8">
        <v>5</v>
      </c>
      <c r="U8" t="s">
        <v>130</v>
      </c>
    </row>
    <row r="9" spans="1:21" x14ac:dyDescent="0.2">
      <c r="B9" t="s">
        <v>99</v>
      </c>
      <c r="C9" t="s">
        <v>49</v>
      </c>
      <c r="E9">
        <v>7</v>
      </c>
      <c r="F9">
        <v>7</v>
      </c>
      <c r="G9">
        <v>6</v>
      </c>
      <c r="H9">
        <v>6</v>
      </c>
      <c r="I9">
        <v>6</v>
      </c>
      <c r="U9" t="s">
        <v>131</v>
      </c>
    </row>
    <row r="10" spans="1:21" x14ac:dyDescent="0.2">
      <c r="B10" t="s">
        <v>28</v>
      </c>
      <c r="C10" t="s">
        <v>50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51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100</v>
      </c>
      <c r="C12" t="s">
        <v>52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53</v>
      </c>
      <c r="J13">
        <v>1</v>
      </c>
    </row>
    <row r="14" spans="1:21" x14ac:dyDescent="0.2">
      <c r="B14" t="s">
        <v>21</v>
      </c>
      <c r="C14" t="s">
        <v>54</v>
      </c>
      <c r="J14">
        <v>2</v>
      </c>
    </row>
    <row r="15" spans="1:21" x14ac:dyDescent="0.2">
      <c r="B15" t="s">
        <v>15</v>
      </c>
      <c r="C15" t="s">
        <v>55</v>
      </c>
    </row>
    <row r="16" spans="1:21" x14ac:dyDescent="0.2">
      <c r="B16" t="s">
        <v>59</v>
      </c>
      <c r="C16" t="s">
        <v>56</v>
      </c>
      <c r="J16" t="s">
        <v>105</v>
      </c>
    </row>
    <row r="17" spans="2:10" x14ac:dyDescent="0.2">
      <c r="B17" t="s">
        <v>18</v>
      </c>
      <c r="C17" t="s">
        <v>57</v>
      </c>
      <c r="J17" t="s">
        <v>8</v>
      </c>
    </row>
    <row r="18" spans="2:10" x14ac:dyDescent="0.2">
      <c r="B18" t="s">
        <v>19</v>
      </c>
      <c r="C18" t="s">
        <v>58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43</v>
      </c>
      <c r="J21">
        <v>4</v>
      </c>
    </row>
    <row r="22" spans="2:10" x14ac:dyDescent="0.2">
      <c r="C22" t="s">
        <v>42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A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7" x14ac:dyDescent="0.2">
      <c r="A1" t="s">
        <v>45</v>
      </c>
      <c r="B1" t="s">
        <v>44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82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82</v>
      </c>
    </row>
    <row r="2" spans="1:27" x14ac:dyDescent="0.2">
      <c r="A2">
        <v>0</v>
      </c>
      <c r="B2">
        <v>0</v>
      </c>
      <c r="C2">
        <v>0</v>
      </c>
      <c r="D2">
        <v>1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1</v>
      </c>
      <c r="M2">
        <v>0</v>
      </c>
      <c r="N2">
        <v>0</v>
      </c>
      <c r="Q2">
        <v>1</v>
      </c>
      <c r="R2">
        <v>1</v>
      </c>
      <c r="S2">
        <v>1</v>
      </c>
      <c r="T2">
        <v>1</v>
      </c>
      <c r="U2">
        <v>0</v>
      </c>
      <c r="V2">
        <v>0</v>
      </c>
      <c r="W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A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7" x14ac:dyDescent="0.2">
      <c r="A1" t="s">
        <v>45</v>
      </c>
      <c r="B1" t="s">
        <v>44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82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82</v>
      </c>
    </row>
    <row r="2" spans="1:27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0</v>
      </c>
      <c r="P2">
        <v>0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0</v>
      </c>
      <c r="Y2">
        <v>0</v>
      </c>
      <c r="Z2">
        <v>0</v>
      </c>
      <c r="AA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Revision History</vt:lpstr>
      <vt:lpstr>Initialization</vt:lpstr>
      <vt:lpstr>Model Selection</vt:lpstr>
      <vt:lpstr>Help</vt:lpstr>
      <vt:lpstr>PFD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2022-07-29T18:51:23Z</dcterms:modified>
</cp:coreProperties>
</file>