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development/1_simulation_inputs/"/>
    </mc:Choice>
  </mc:AlternateContent>
  <xr:revisionPtr revIDLastSave="0" documentId="13_ncr:1_{841F4B8D-EAD8-034D-AF90-86E5871E76E7}" xr6:coauthVersionLast="47" xr6:coauthVersionMax="47" xr10:uidLastSave="{00000000-0000-0000-0000-000000000000}"/>
  <bookViews>
    <workbookView xWindow="0" yWindow="0" windowWidth="28800" windowHeight="18000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22" r:id="rId3"/>
    <sheet name="Geometry" sheetId="40" r:id="rId4"/>
    <sheet name="Adsorber Packing" sheetId="41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  <externalReference r:id="rId14"/>
    <externalReference r:id="rId15"/>
  </externalReferences>
  <definedNames>
    <definedName name="_xlnm._FilterDatabase" localSheetId="5" hidden="1">'Adsorber Design'!$B$8:$K$8</definedName>
    <definedName name="_xlnm._FilterDatabase" localSheetId="4" hidden="1">'Adsorber Packing'!$B$8:$K$8</definedName>
    <definedName name="_xlnm._FilterDatabase" localSheetId="3" hidden="1">Geometry!$B$8:$K$8</definedName>
    <definedName name="_xlnm._FilterDatabase" localSheetId="2" hidden="1">Initialization!$B$8:$K$8</definedName>
    <definedName name="_xlnm._FilterDatabase" localSheetId="6" hidden="1">'Physical Properties'!$B$8:$K$8</definedName>
    <definedName name="_xlnm.Print_Area" localSheetId="5">'Adsorber Design'!$B$1:$K$16</definedName>
    <definedName name="_xlnm.Print_Area" localSheetId="4">'Adsorber Packing'!$B$1:$K$11</definedName>
    <definedName name="_xlnm.Print_Area" localSheetId="3">Geometry!$B$1:$K$12</definedName>
    <definedName name="_xlnm.Print_Area" localSheetId="2">Initialization!$B$1:$K$11</definedName>
    <definedName name="_xlnm.Print_Area" localSheetId="6">'Physical Properties'!$B$1:$K$13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4" i="43" l="1" a="1"/>
  <c r="J14" i="43" s="1"/>
  <c r="J12" i="43" a="1"/>
  <c r="J12" i="43" s="1"/>
  <c r="J11" i="43" a="1"/>
  <c r="J11" i="43" s="1"/>
  <c r="J9" i="43" a="1"/>
  <c r="J9" i="43" s="1"/>
  <c r="I10" i="22" l="1"/>
  <c r="I9" i="22"/>
  <c r="Q1" i="44"/>
  <c r="A1" i="44"/>
  <c r="K3" i="43"/>
  <c r="K1" i="43"/>
  <c r="B1" i="43"/>
  <c r="K3" i="42"/>
  <c r="K1" i="42"/>
  <c r="B1" i="42"/>
  <c r="K3" i="41"/>
  <c r="K1" i="41"/>
  <c r="B1" i="41"/>
  <c r="K3" i="40"/>
  <c r="K1" i="40"/>
  <c r="B1" i="40"/>
  <c r="K1" i="22" l="1"/>
  <c r="K3" i="22" l="1"/>
  <c r="B1" i="2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tc={E652796B-8466-4220-A8BE-EF50C3D6D6B9}</author>
    <author>tc={8AAAFA1E-2A22-4485-86C4-0A31CC8818DB}</author>
    <author>tc={569C7D1D-1B96-4A2D-8128-0D89BE316B8E}</author>
  </authors>
  <commentList>
    <comment ref="H8" authorId="0" shapeId="0" xr:uid="{E652796B-8466-4220-A8BE-EF50C3D6D6B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8" authorId="1" shapeId="0" xr:uid="{8AAAFA1E-2A22-4485-86C4-0A31CC8818D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8" authorId="2" shapeId="0" xr:uid="{569C7D1D-1B96-4A2D-8128-0D89BE316B8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tc={93F965E2-06AB-4688-AE64-7D035E18A84D}</author>
    <author>tc={D9050D71-A75A-4740-BDD5-E722DC26ACC6}</author>
    <author>tc={166A3969-E716-4658-8BE3-8C97E46BB89B}</author>
  </authors>
  <commentList>
    <comment ref="H8" authorId="0" shapeId="0" xr:uid="{93F965E2-06AB-4688-AE64-7D035E18A84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8" authorId="1" shapeId="0" xr:uid="{D9050D71-A75A-4740-BDD5-E722DC26ACC6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8" authorId="2" shapeId="0" xr:uid="{166A3969-E716-4658-8BE3-8C97E46BB89B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tc={1BCDEAB6-02C5-42F9-8D23-6294D5D2D196}</author>
    <author>tc={0B40D3E0-8749-41E4-8892-40EC8BEC364E}</author>
    <author>tc={0D4D05CD-114F-49A8-9DD6-E5C0B9590623}</author>
  </authors>
  <commentList>
    <comment ref="H8" authorId="0" shapeId="0" xr:uid="{1BCDEAB6-02C5-42F9-8D23-6294D5D2D19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8" authorId="1" shapeId="0" xr:uid="{0B40D3E0-8749-41E4-8892-40EC8BEC364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8" authorId="2" shapeId="0" xr:uid="{0D4D05CD-114F-49A8-9DD6-E5C0B959062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H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H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<sst xmlns="http://schemas.openxmlformats.org/spreadsheetml/2006/main" count="334" uniqueCount="148">
  <si>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</si>
  <si>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</si>
  <si>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</si>
  <si>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</si>
  <si>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</si>
  <si>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</si>
  <si>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</si>
  <si>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</si>
  <si>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</si>
  <si>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</si>
  <si>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</si>
  <si>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</si>
  <si>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</si>
  <si>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</si>
  <si>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</si>
  <si>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</si>
  <si>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</si>
  <si>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</si>
  <si>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</si>
  <si>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</si>
  <si>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</si>
  <si>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</si>
  <si>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</si>
  <si>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</si>
  <si>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</si>
  <si>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</si>
  <si>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</si>
  <si>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</si>
  <si>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</si>
  <si>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</si>
  <si>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</si>
  <si>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</si>
  <si>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</si>
  <si>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</si>
  <si>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</si>
  <si>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</si>
  <si>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</si>
  <si>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</si>
  <si>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</si>
  <si>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</si>
  <si>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</si>
  <si>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</si>
  <si>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</si>
  <si>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</si>
  <si>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</si>
  <si>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</si>
  <si>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</si>
  <si>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</si>
  <si>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</si>
  <si>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</si>
  <si>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</si>
  <si>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</si>
  <si>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</si>
  <si>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</si>
  <si>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</si>
  <si>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</si>
  <si>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</si>
  <si>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</si>
  <si>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</si>
  <si>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</si>
  <si>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</si>
  <si>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</si>
  <si>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</si>
  <si>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</si>
  <si>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</si>
  <si>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</si>
  <si>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</si>
  <si>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</si>
  <si>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</si>
  <si>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</si>
  <si>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</si>
  <si>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</si>
  <si>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</si>
  <si>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</si>
  <si>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</si>
  <si>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</si>
  <si>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</si>
  <si>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</si>
  <si>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</si>
  <si>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</si>
  <si>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</si>
  <si>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</si>
  <si>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</si>
  <si>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</si>
  <si>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</si>
  <si>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</si>
  <si>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</si>
  <si>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</si>
  <si>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</si>
  <si>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</si>
  <si>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</si>
  <si>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</si>
  <si>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</si>
  <si>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</si>
  <si>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</si>
  <si>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</si>
  <si>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</si>
  <si>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</si>
  <si>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</si>
  <si>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</si>
  <si>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</si>
  <si>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</si>
  <si>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</si>
  <si>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</si>
  <si>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</si>
  <si>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</si>
  <si>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</si>
  <si>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</si>
  <si>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</si>
  <si>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</si>
  <si>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</si>
  <si>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</si>
  <si>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</si>
  <si>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</si>
  <si>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</si>
  <si>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1 = saturation with a feed at a high pressure
2 = saturation with a raffinate product at a high pressure
3 = saturation with an extract product at a high pressure
4 = saturation with a feed at a low pressure
5 = saturation with a raffinate product at a low pressure
6 = saturation with an extract product at a low pressure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</si>
  <si>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</si>
  <si>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</si>
  <si>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</si>
  <si>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</si>
  <si>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</si>
  <si>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</si>
  <si>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</si>
  <si>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</si>
  <si>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</si>
  <si>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</si>
  <si>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</si>
  <si>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</si>
  <si>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</si>
  <si>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</si>
  <si>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</si>
  <si>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</si>
  <si>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REV. NO.1 (6/8/2022)</t>
  </si>
  <si>
    <t>Initial development of the "cycle_organization.xlsm" sheet.</t>
  </si>
  <si>
    <t>The high pressure for an adsorption column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</si>
  <si>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</si>
  <si>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</si>
  <si>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</si>
  <si>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</si>
  <si>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</si>
  <si>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</si>
  <si>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presBeHiSet</t>
  </si>
  <si>
    <t>valBeHiFull</t>
  </si>
  <si>
    <t>presBeHiFull</t>
  </si>
  <si>
    <t>presBeLoSet</t>
  </si>
  <si>
    <t>valBeLoFull</t>
  </si>
  <si>
    <t>kmol/bar-sec</t>
  </si>
  <si>
    <t>presBeLoFull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</si>
</sst>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12" fillId="5" borderId="6" xfId="0" applyFont="1" applyFill="1" applyBorder="1" applyAlignment="1" applyProtection="1">
      <alignment horizontal="left" vertical="center"/>
    </xf>
    <xf numFmtId="0" fontId="9" fillId="5" borderId="7" xfId="0" applyFont="1" applyFill="1" applyBorder="1" applyAlignment="1" applyProtection="1">
      <alignment horizontal="center" vertical="center"/>
    </xf>
    <xf numFmtId="0" fontId="12" fillId="5" borderId="8" xfId="0" applyFont="1" applyFill="1" applyBorder="1" applyAlignment="1" applyProtection="1">
      <alignment horizontal="right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left" vertical="center" indent="1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14" fillId="5" borderId="0" xfId="1" applyFont="1" applyFill="1" applyAlignment="1" applyProtection="1">
      <alignment vertical="center" wrapText="1"/>
    </xf>
    <xf numFmtId="0" fontId="14" fillId="5" borderId="0" xfId="1" applyFont="1" applyFill="1" applyAlignment="1" applyProtection="1">
      <alignment horizontal="center" vertical="center"/>
    </xf>
    <xf numFmtId="0" fontId="14" fillId="5" borderId="0" xfId="1" applyFont="1" applyFill="1" applyProtection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4" fillId="4" borderId="0" xfId="0" applyFont="1" applyFill="1" applyBorder="1" applyAlignment="1" applyProtection="1">
      <alignment horizontal="left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6" fillId="3" borderId="1" xfId="1" applyFont="1" applyFill="1" applyBorder="1" applyAlignment="1" applyProtection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13" fillId="5" borderId="0" xfId="1" applyFont="1" applyFill="1" applyAlignment="1">
      <alignment horizontal="left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 applyProtection="1">
      <alignment horizontal="center" vertical="center"/>
    </xf>
    <xf numFmtId="0" fontId="6" fillId="4" borderId="6" xfId="0" applyFont="1" applyFill="1" applyBorder="1" applyAlignment="1" applyProtection="1">
      <alignment horizontal="center" vertical="center"/>
    </xf>
    <xf numFmtId="0" fontId="6" fillId="4" borderId="7" xfId="0" applyFont="1" applyFill="1" applyBorder="1" applyAlignment="1" applyProtection="1">
      <alignment horizontal="center" vertical="center"/>
    </xf>
    <xf numFmtId="0" fontId="6" fillId="4" borderId="8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9"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3</xdr:row>
      <xdr:rowOff>0</xdr:rowOff>
    </xdr:from>
    <xdr:to>
      <xdr:col>5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3" name="Button 1" hidden="1">
                <a:extLst>
                  <a:ext uri="{63B3BB69-23CF-44E3-9099-C40C66FF867C}">
                    <a14:compatExt spid="_x0000_s33793"/>
                  </a:ext>
                  <a:ext uri="{FF2B5EF4-FFF2-40B4-BE49-F238E27FC236}">
                    <a16:creationId xmlns:a16="http://schemas.microsoft.com/office/drawing/2014/main" id="{00000000-0008-0000-0200-00000184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4" name="Button 2" hidden="1">
                <a:extLst>
                  <a:ext uri="{63B3BB69-23CF-44E3-9099-C40C66FF867C}">
                    <a14:compatExt spid="_x0000_s33794"/>
                  </a:ext>
                  <a:ext uri="{FF2B5EF4-FFF2-40B4-BE49-F238E27FC236}">
                    <a16:creationId xmlns:a16="http://schemas.microsoft.com/office/drawing/2014/main" id="{00000000-0008-0000-0200-0000028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5" name="Button 3" hidden="1">
                <a:extLst>
                  <a:ext uri="{63B3BB69-23CF-44E3-9099-C40C66FF867C}">
                    <a14:compatExt spid="_x0000_s33795"/>
                  </a:ext>
                  <a:ext uri="{FF2B5EF4-FFF2-40B4-BE49-F238E27FC236}">
                    <a16:creationId xmlns:a16="http://schemas.microsoft.com/office/drawing/2014/main" id="{00000000-0008-0000-0200-0000038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3</xdr:row>
      <xdr:rowOff>0</xdr:rowOff>
    </xdr:from>
    <xdr:to>
      <xdr:col>5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300-0000015C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3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3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3</xdr:row>
      <xdr:rowOff>0</xdr:rowOff>
    </xdr:from>
    <xdr:to>
      <xdr:col>5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3" name="Button 1" hidden="1">
                <a:extLst>
                  <a:ext uri="{63B3BB69-23CF-44E3-9099-C40C66FF867C}">
                    <a14:compatExt spid="_x0000_s90113"/>
                  </a:ext>
                  <a:ext uri="{FF2B5EF4-FFF2-40B4-BE49-F238E27FC236}">
                    <a16:creationId xmlns:a16="http://schemas.microsoft.com/office/drawing/2014/main" id="{00000000-0008-0000-0400-00000160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4" name="Button 2" hidden="1">
                <a:extLst>
                  <a:ext uri="{63B3BB69-23CF-44E3-9099-C40C66FF867C}">
                    <a14:compatExt spid="_x0000_s90114"/>
                  </a:ext>
                  <a:ext uri="{FF2B5EF4-FFF2-40B4-BE49-F238E27FC236}">
                    <a16:creationId xmlns:a16="http://schemas.microsoft.com/office/drawing/2014/main" id="{00000000-0008-0000-0400-0000026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5" name="Button 3" hidden="1">
                <a:extLst>
                  <a:ext uri="{63B3BB69-23CF-44E3-9099-C40C66FF867C}">
                    <a14:compatExt spid="_x0000_s90115"/>
                  </a:ext>
                  <a:ext uri="{FF2B5EF4-FFF2-40B4-BE49-F238E27FC236}">
                    <a16:creationId xmlns:a16="http://schemas.microsoft.com/office/drawing/2014/main" id="{00000000-0008-0000-0400-0000036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3</xdr:row>
      <xdr:rowOff>0</xdr:rowOff>
    </xdr:from>
    <xdr:to>
      <xdr:col>5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3</xdr:row>
      <xdr:rowOff>0</xdr:rowOff>
    </xdr:from>
    <xdr:to>
      <xdr:col>5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aehunkim/Library/Containers/com.microsoft.Excel/Data/Documents/C:\Users\tkim333\Desktop\RAPID%20Model%20Release\v3.0\Test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4_cycle_organization/4.1_cycle_organizatio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 Estimator"/>
      <sheetName val="Events"/>
      <sheetName val="maintenance check list"/>
      <sheetName val="Data(Transposed)"/>
      <sheetName val="Data(Test)"/>
    </sheetNames>
    <sheetDataSet>
      <sheetData sheetId="0" refreshError="1"/>
      <sheetData sheetId="1">
        <row r="10">
          <cell r="C10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maintenance check list"/>
      <sheetName val="Data(Transposed)"/>
      <sheetName val="Data(Test)"/>
      <sheetName val="Cv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  <sheetName val="PFD"/>
    </sheetNames>
    <sheetDataSet>
      <sheetData sheetId="0"/>
      <sheetData sheetId="1">
        <row r="15">
          <cell r="C15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118E22-6B97-4050-BEA5-FD187B57FD53}" name="Table1102" displayName="Table1102" ref="B8:K11" totalsRowShown="0" headerRowDxfId="108" dataDxfId="106" headerRowBorderDxfId="107" tableBorderDxfId="105" totalsRowBorderDxfId="104">
  <autoFilter ref="B8:K11" xr:uid="{B089C5C3-2CCE-4800-96CA-2131BB6E3E4F}"/>
  <tableColumns count="10">
    <tableColumn id="1" xr3:uid="{DF90FBAE-2FE2-4EF6-B9EF-275B3796AEEB}" name="Variable" dataDxfId="103"/>
    <tableColumn id="4" xr3:uid="{0389FCE2-DF59-447F-B68F-108D6445084D}" name="Value" dataDxfId="102"/>
    <tableColumn id="5" xr3:uid="{F4EFCD46-6F61-4144-97AB-37E6D30AE6D4}" name="Unit" dataDxfId="101"/>
    <tableColumn id="6" xr3:uid="{13EC0408-58C5-4FDD-B561-294E8738DC68}" name="Comparisons" dataDxfId="100"/>
    <tableColumn id="7" xr3:uid="{BF1B3BF0-6191-44CC-AF6B-7F41972DEF86}" name="Variable Type" dataDxfId="99"/>
    <tableColumn id="8" xr3:uid="{38416F33-2817-41C6-8F60-9C8868DFD40F}" name="Dependency" dataDxfId="98"/>
    <tableColumn id="12" xr3:uid="{212A5270-D9C2-477A-8DBC-F77DAC062C67}" name="Test 1" dataDxfId="97"/>
    <tableColumn id="10" xr3:uid="{06FFA778-D744-477C-927B-1BAA2F4DD149}" name="Test 2" dataDxfId="96"/>
    <tableColumn id="2" xr3:uid="{C0032BA4-2111-4FE1-A6F7-8A96150C92AF}" name="Test 3" dataDxfId="95"/>
    <tableColumn id="9" xr3:uid="{87AA86BA-9226-4FD0-BE95-3F0C0D4637BF}" name="Description" dataDxfId="9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DDE77F-5B1B-417E-A77C-15A4813640F3}" name="Table110234" displayName="Table110234" ref="B8:K12" totalsRowShown="0" headerRowDxfId="93" dataDxfId="91" headerRowBorderDxfId="92" tableBorderDxfId="90" totalsRowBorderDxfId="89">
  <autoFilter ref="B8:K12" xr:uid="{B089C5C3-2CCE-4800-96CA-2131BB6E3E4F}"/>
  <tableColumns count="10">
    <tableColumn id="1" xr3:uid="{7E976C6B-50FF-4DF8-968D-BD2213457D8E}" name="Variable" dataDxfId="88"/>
    <tableColumn id="4" xr3:uid="{36EE36A9-EB3A-4D9F-87A6-29402D8F2BBF}" name="Value" dataDxfId="87"/>
    <tableColumn id="5" xr3:uid="{0BEBFFE1-D011-4506-B2BE-A23189C3171B}" name="Unit" dataDxfId="86"/>
    <tableColumn id="6" xr3:uid="{FD2D7E65-7CC1-4CB0-AC4F-8241F01D8137}" name="Comparisons" dataDxfId="85"/>
    <tableColumn id="7" xr3:uid="{1CAE321A-54EE-49C2-80B2-6E9ED68096B7}" name="Variable Type" dataDxfId="84"/>
    <tableColumn id="8" xr3:uid="{524D804C-F242-4918-942F-25C0E3FE4293}" name="Dependency" dataDxfId="83"/>
    <tableColumn id="12" xr3:uid="{246C8080-AD0A-42DE-9683-C493E6DBCF45}" name="Test 1" dataDxfId="82"/>
    <tableColumn id="10" xr3:uid="{EC07D584-71B2-4B20-A730-90845F6A7618}" name="Test 2" dataDxfId="81"/>
    <tableColumn id="2" xr3:uid="{BC4BD7F4-9059-4A16-AED5-A5500F840F0A}" name="Test 3" dataDxfId="80"/>
    <tableColumn id="9" xr3:uid="{E043131C-B524-4DE4-8666-7F2CB0974117}" name="Description" dataDxfId="7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177B9D-B017-4424-8005-D13DEA9FDE3C}" name="Table110235" displayName="Table110235" ref="B8:K11" totalsRowShown="0" headerRowDxfId="78" dataDxfId="76" headerRowBorderDxfId="77" tableBorderDxfId="75" totalsRowBorderDxfId="74">
  <autoFilter ref="B8:K11" xr:uid="{B089C5C3-2CCE-4800-96CA-2131BB6E3E4F}"/>
  <tableColumns count="10">
    <tableColumn id="1" xr3:uid="{9F0173FD-162A-43A8-B238-CB3C186D557E}" name="Variable" dataDxfId="73"/>
    <tableColumn id="4" xr3:uid="{93B43561-581D-43D1-9628-DBD5BACDCA75}" name="Value" dataDxfId="72"/>
    <tableColumn id="5" xr3:uid="{93068CD2-A433-4BAE-BA07-8B5B262A8175}" name="Unit" dataDxfId="71"/>
    <tableColumn id="6" xr3:uid="{C71F0136-1C7B-45D7-BD4F-FF50A9F828B9}" name="Comparisons" dataDxfId="70"/>
    <tableColumn id="7" xr3:uid="{094945F8-2D9D-4417-949D-B54D471BDD33}" name="Variable Type" dataDxfId="69"/>
    <tableColumn id="8" xr3:uid="{335D4B33-363E-4AC8-90F8-65784056E1CD}" name="Dependency" dataDxfId="68"/>
    <tableColumn id="12" xr3:uid="{A8ADB954-9430-4B28-AA5F-F57F0739046D}" name="Test 1" dataDxfId="67"/>
    <tableColumn id="10" xr3:uid="{35B1EC5E-AC9B-43DE-A22B-C20F1350F075}" name="Test 2" dataDxfId="66"/>
    <tableColumn id="2" xr3:uid="{72D4D093-B485-49CC-9E25-6B4F0CBBAF39}" name="Test 3" dataDxfId="65"/>
    <tableColumn id="9" xr3:uid="{39D8E831-0873-4135-8194-32EC426F366B}" name="Description" dataDxfId="6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B8:K16" totalsRowShown="0" headerRowDxfId="63" dataDxfId="61" headerRowBorderDxfId="62" tableBorderDxfId="60" totalsRowBorderDxfId="59">
  <autoFilter ref="B8:K16" xr:uid="{B089C5C3-2CCE-4800-96CA-2131BB6E3E4F}"/>
  <tableColumns count="10">
    <tableColumn id="1" xr3:uid="{649A7866-80DF-41E6-B30C-D79515D3A794}" name="Variable" dataDxfId="58"/>
    <tableColumn id="4" xr3:uid="{1B7C9099-8547-4DD7-A9E2-B725774B3278}" name="Value" dataDxfId="57"/>
    <tableColumn id="5" xr3:uid="{DE8E51CF-F39A-49BE-8ADB-006A27BF49D1}" name="Unit" dataDxfId="56"/>
    <tableColumn id="6" xr3:uid="{1E18E5A8-84AE-4BCE-A03C-6EB014B6C0A8}" name="Comparisons" dataDxfId="55"/>
    <tableColumn id="7" xr3:uid="{27BDE7AA-390E-4E0E-B228-55927BB9787E}" name="Variable Type" dataDxfId="54"/>
    <tableColumn id="8" xr3:uid="{01F08440-7AF0-4C09-89BF-A8CA2A509379}" name="Dependency" dataDxfId="53"/>
    <tableColumn id="12" xr3:uid="{A8F75C8D-4415-418C-8B4C-053532C2C537}" name="Test 1" dataDxfId="52"/>
    <tableColumn id="10" xr3:uid="{C8785F39-41F6-4DF0-A4EE-89820B845800}" name="Test 2" dataDxfId="51"/>
    <tableColumn id="2" xr3:uid="{FEF9A6BC-BB9A-4929-BA3A-474EB9BB7CF1}" name="Test 3" dataDxfId="50"/>
    <tableColumn id="9" xr3:uid="{99B9FDBF-9DA8-4356-865C-410432D0F6B7}" name="Description" dataDxfId="4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B8:K13" totalsRowShown="0" headerRowDxfId="48" dataDxfId="46" headerRowBorderDxfId="47" tableBorderDxfId="45" totalsRowBorderDxfId="44">
  <autoFilter ref="B8:K13" xr:uid="{B089C5C3-2CCE-4800-96CA-2131BB6E3E4F}"/>
  <tableColumns count="10">
    <tableColumn id="1" xr3:uid="{3E862B60-96F3-4457-8596-3DCA37BD39D6}" name="Variable" dataDxfId="43"/>
    <tableColumn id="4" xr3:uid="{664B7B39-0A9C-4666-8675-DB2C0B5C05DC}" name="Value" dataDxfId="42"/>
    <tableColumn id="5" xr3:uid="{0D5B0BC8-30B6-4778-A5F9-DAE48CF1B50B}" name="Unit" dataDxfId="41"/>
    <tableColumn id="6" xr3:uid="{EB5AFC2B-0570-478F-900A-245CE1E2ACC4}" name="Comparisons" dataDxfId="40"/>
    <tableColumn id="7" xr3:uid="{DD0B2A4A-5D8A-4AC0-8DD1-DDC1EE553BCC}" name="Variable Type" dataDxfId="39"/>
    <tableColumn id="8" xr3:uid="{4715F5BD-270D-4CA4-A95C-8CF1A5273635}" name="Dependency" dataDxfId="38"/>
    <tableColumn id="12" xr3:uid="{5B091011-3849-4251-9869-40293301771A}" name="Test 1" dataDxfId="37"/>
    <tableColumn id="10" xr3:uid="{794FDB6F-AB9D-42B3-A19B-E1E54E1B62D6}" name="Test 2" dataDxfId="36"/>
    <tableColumn id="2" xr3:uid="{1750D95A-F5C8-483F-95EC-EDCC8913D886}" name="Test 3" dataDxfId="35"/>
    <tableColumn id="9" xr3:uid="{443478B3-66F2-447E-9CA5-5D827478F1B2}" name="Description" dataDxfId="3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8" dT="2020-11-26T20:01:15.60" personId="{7F98AE94-13FB-49E1-9262-339C11E0EDB4}" id="{E652796B-8466-4220-A8BE-EF50C3D6D6B9}">
    <text>place 1 if we want to keep the row when re-initializing. Otherwise, leave it as a blank.</text>
  </threadedComment>
  <threadedComment ref="I8" dT="2020-11-26T18:35:03.27" personId="{7F98AE94-13FB-49E1-9262-339C11E0EDB4}" id="{8AAAFA1E-2A22-4485-86C4-0A31CC8818DB}">
    <text>supply a value greater than 1 if you want to duplicate the row</text>
  </threadedComment>
  <threadedComment ref="J8" dT="2020-11-28T01:53:47.29" personId="{7F98AE94-13FB-49E1-9262-339C11E0EDB4}" id="{569C7D1D-1B96-4A2D-8128-0D89BE316B8E}">
    <text>1 means we need to have the variable specified; 0 means we need not have the variable specified</text>
  </threadedComment>
  <threadedComment ref="J8" dT="2020-11-28T01:56:42.32" personId="{7F98AE94-13FB-49E1-9262-339C11E0EDB4}" id="{E3DE4135-48F9-401A-9397-2991093434F1}" parentId="{569C7D1D-1B96-4A2D-8128-0D89BE316B8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8" dT="2020-11-26T20:01:15.60" personId="{7F98AE94-13FB-49E1-9262-339C11E0EDB4}" id="{93F965E2-06AB-4688-AE64-7D035E18A84D}">
    <text>place 1 if we want to keep the row when re-initializing. Otherwise, leave it as a blank.</text>
  </threadedComment>
  <threadedComment ref="I8" dT="2020-11-26T18:35:03.27" personId="{7F98AE94-13FB-49E1-9262-339C11E0EDB4}" id="{D9050D71-A75A-4740-BDD5-E722DC26ACC6}">
    <text>supply a value greater than 1 if you want to duplicate the row</text>
  </threadedComment>
  <threadedComment ref="J8" dT="2020-11-28T01:53:47.29" personId="{7F98AE94-13FB-49E1-9262-339C11E0EDB4}" id="{166A3969-E716-4658-8BE3-8C97E46BB89B}">
    <text>1 means we need to have the variable specified; 0 means we need not have the variable specified</text>
  </threadedComment>
  <threadedComment ref="J8" dT="2020-11-28T01:56:42.32" personId="{7F98AE94-13FB-49E1-9262-339C11E0EDB4}" id="{50574FE6-0C57-44C3-B939-E4DFBAF77FEF}" parentId="{166A3969-E716-4658-8BE3-8C97E46BB89B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8" dT="2020-11-26T20:01:15.60" personId="{7F98AE94-13FB-49E1-9262-339C11E0EDB4}" id="{1BCDEAB6-02C5-42F9-8D23-6294D5D2D196}">
    <text>place 1 if we want to keep the row when re-initializing. Otherwise, leave it as a blank.</text>
  </threadedComment>
  <threadedComment ref="I8" dT="2020-11-26T18:35:03.27" personId="{7F98AE94-13FB-49E1-9262-339C11E0EDB4}" id="{0B40D3E0-8749-41E4-8892-40EC8BEC364E}">
    <text>supply a value greater than 1 if you want to duplicate the row</text>
  </threadedComment>
  <threadedComment ref="J8" dT="2020-11-28T01:53:47.29" personId="{7F98AE94-13FB-49E1-9262-339C11E0EDB4}" id="{0D4D05CD-114F-49A8-9DD6-E5C0B9590623}">
    <text>1 means we need to have the variable specified; 0 means we need not have the variable specified</text>
  </threadedComment>
  <threadedComment ref="J8" dT="2020-11-28T01:56:42.32" personId="{7F98AE94-13FB-49E1-9262-339C11E0EDB4}" id="{9797C057-0E43-4D2B-AC7C-F72D68CA5183}" parentId="{0D4D05CD-114F-49A8-9DD6-E5C0B9590623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H8" dT="2020-11-26T20:01:15.60" personId="{7F98AE94-13FB-49E1-9262-339C11E0EDB4}" id="{9C094753-09F5-4AE4-818D-B8A8B3AE571B}">
    <text>place 1 if we want to keep the row when re-initializing. Otherwise, leave it as a blank.</text>
  </threadedComment>
  <threadedComment ref="I8" dT="2020-11-26T18:35:03.27" personId="{7F98AE94-13FB-49E1-9262-339C11E0EDB4}" id="{6C278506-3489-4911-8C75-B1A34FB6DB6D}">
    <text>supply a value greater than 1 if you want to duplicate the row</text>
  </threadedComment>
  <threadedComment ref="J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J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H8" dT="2020-11-26T20:01:15.60" personId="{7F98AE94-13FB-49E1-9262-339C11E0EDB4}" id="{B33F54E8-F5DD-4FD7-827E-56A8D3D93CF9}">
    <text>place 1 if we want to keep the row when re-initializing. Otherwise, leave it as a blank.</text>
  </threadedComment>
  <threadedComment ref="I8" dT="2020-11-26T18:35:03.27" personId="{7F98AE94-13FB-49E1-9262-339C11E0EDB4}" id="{C37A90FE-2888-4963-8404-F359F50F80AE}">
    <text>supply a value greater than 1 if you want to duplicate the row</text>
  </threadedComment>
  <threadedComment ref="J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J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E10" sqref="E10"/>
    </sheetView>
  </sheetViews>
  <sheetFormatPr baseColWidth="10" defaultColWidth="0" defaultRowHeight="15" zeroHeight="1" x14ac:dyDescent="0.2"/>
  <cols>
    <col min="1" max="2" width="3.33203125" style="35" hidden="1" customWidth="1"/>
    <col min="3" max="3" width="2.5" style="35" customWidth="1"/>
    <col min="4" max="4" width="13.83203125" style="35" customWidth="1"/>
    <col min="5" max="5" width="51.33203125" style="36" bestFit="1" customWidth="1"/>
    <col min="6" max="6" width="15.83203125" style="37" bestFit="1" customWidth="1"/>
    <col min="7" max="9" width="13.33203125" style="35" customWidth="1"/>
    <col min="10" max="10" width="48.83203125" style="35" customWidth="1"/>
    <col min="11" max="11" width="2.5" style="35" customWidth="1"/>
    <col min="12" max="12" width="0" style="35" hidden="1" customWidth="1"/>
    <col min="13" max="16384" width="9" style="35" hidden="1"/>
  </cols>
  <sheetData>
    <row r="3" spans="4:10" x14ac:dyDescent="0.2"/>
    <row r="4" spans="4:10" ht="19" x14ac:dyDescent="0.25">
      <c r="D4" s="53" t="s">
        <v>132</v>
      </c>
      <c r="E4" s="38"/>
      <c r="F4" s="39"/>
      <c r="G4" s="40"/>
      <c r="H4" s="40"/>
      <c r="I4" s="40"/>
      <c r="J4" s="41" t="s">
        <v>94</v>
      </c>
    </row>
    <row r="5" spans="4:10" ht="40" x14ac:dyDescent="0.2">
      <c r="D5" s="64" t="s">
        <v>41</v>
      </c>
      <c r="E5" s="64"/>
      <c r="F5" s="64"/>
      <c r="G5" s="64"/>
      <c r="H5" s="64"/>
      <c r="I5" s="64"/>
      <c r="J5" s="64"/>
    </row>
    <row r="6" spans="4:10" ht="20" x14ac:dyDescent="0.2">
      <c r="D6" s="49" t="s">
        <v>35</v>
      </c>
      <c r="E6" s="49" t="s">
        <v>131</v>
      </c>
      <c r="F6" s="49" t="s">
        <v>36</v>
      </c>
      <c r="G6" s="49" t="s">
        <v>37</v>
      </c>
      <c r="H6" s="49" t="s">
        <v>38</v>
      </c>
      <c r="I6" s="49" t="s">
        <v>39</v>
      </c>
      <c r="J6" s="49" t="s">
        <v>40</v>
      </c>
    </row>
    <row r="7" spans="4:10" ht="40" x14ac:dyDescent="0.2">
      <c r="D7" s="42">
        <v>1</v>
      </c>
      <c r="E7" s="54" t="s">
        <v>133</v>
      </c>
      <c r="F7" s="55">
        <v>44720</v>
      </c>
      <c r="G7" s="56" t="s">
        <v>42</v>
      </c>
      <c r="H7" s="42"/>
      <c r="I7" s="42"/>
      <c r="J7" s="43"/>
    </row>
    <row r="8" spans="4:10" ht="19" x14ac:dyDescent="0.2">
      <c r="D8" s="42">
        <v>2</v>
      </c>
      <c r="E8" s="43"/>
      <c r="F8" s="44"/>
      <c r="G8" s="42"/>
      <c r="H8" s="42"/>
      <c r="I8" s="42"/>
      <c r="J8" s="43"/>
    </row>
    <row r="9" spans="4:10" ht="19" x14ac:dyDescent="0.2">
      <c r="D9" s="42">
        <v>3</v>
      </c>
      <c r="E9" s="43"/>
      <c r="F9" s="44"/>
      <c r="G9" s="42"/>
      <c r="H9" s="42"/>
      <c r="I9" s="42"/>
      <c r="J9" s="43"/>
    </row>
    <row r="10" spans="4:10" ht="19" x14ac:dyDescent="0.2">
      <c r="D10" s="42">
        <v>4</v>
      </c>
      <c r="E10" s="43"/>
      <c r="F10" s="44"/>
      <c r="G10" s="42"/>
      <c r="H10" s="42"/>
      <c r="I10" s="42"/>
      <c r="J10" s="43"/>
    </row>
    <row r="11" spans="4:10" ht="19" x14ac:dyDescent="0.2">
      <c r="D11" s="42">
        <v>5</v>
      </c>
      <c r="E11" s="43"/>
      <c r="F11" s="44"/>
      <c r="G11" s="42"/>
      <c r="H11" s="42"/>
      <c r="I11" s="42"/>
      <c r="J11" s="43"/>
    </row>
    <row r="12" spans="4:10" ht="19" x14ac:dyDescent="0.2">
      <c r="D12" s="42">
        <v>6</v>
      </c>
      <c r="E12" s="43"/>
      <c r="F12" s="44"/>
      <c r="G12" s="42"/>
      <c r="H12" s="42"/>
      <c r="I12" s="42"/>
      <c r="J12" s="43"/>
    </row>
    <row r="13" spans="4:10" ht="19" x14ac:dyDescent="0.2">
      <c r="D13" s="42">
        <v>7</v>
      </c>
      <c r="E13" s="43"/>
      <c r="F13" s="44"/>
      <c r="G13" s="42"/>
      <c r="H13" s="42"/>
      <c r="I13" s="42"/>
      <c r="J13" s="43"/>
    </row>
    <row r="14" spans="4:10" ht="19" x14ac:dyDescent="0.2">
      <c r="D14" s="42">
        <v>8</v>
      </c>
      <c r="E14" s="43"/>
      <c r="F14" s="44"/>
      <c r="G14" s="42"/>
      <c r="H14" s="42"/>
      <c r="I14" s="42"/>
      <c r="J14" s="43"/>
    </row>
    <row r="15" spans="4:10" ht="19" x14ac:dyDescent="0.2">
      <c r="D15" s="42">
        <v>9</v>
      </c>
      <c r="E15" s="43"/>
      <c r="F15" s="44"/>
      <c r="G15" s="42"/>
      <c r="H15" s="42"/>
      <c r="I15" s="42"/>
      <c r="J15" s="43"/>
    </row>
    <row r="16" spans="4:10" ht="19" x14ac:dyDescent="0.2">
      <c r="D16" s="42">
        <v>10</v>
      </c>
      <c r="E16" s="43"/>
      <c r="F16" s="44"/>
      <c r="G16" s="42"/>
      <c r="H16" s="42"/>
      <c r="I16" s="42"/>
      <c r="J16" s="4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121</v>
      </c>
      <c r="U1" t="s">
        <v>122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123</v>
      </c>
    </row>
    <row r="4" spans="1:21" x14ac:dyDescent="0.2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124</v>
      </c>
    </row>
    <row r="5" spans="1:21" x14ac:dyDescent="0.2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125</v>
      </c>
    </row>
    <row r="6" spans="1:21" x14ac:dyDescent="0.2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126</v>
      </c>
    </row>
    <row r="7" spans="1:21" x14ac:dyDescent="0.2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127</v>
      </c>
    </row>
    <row r="8" spans="1:21" x14ac:dyDescent="0.2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U8" t="s">
        <v>128</v>
      </c>
    </row>
    <row r="9" spans="1:21" x14ac:dyDescent="0.2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U9" t="s">
        <v>129</v>
      </c>
    </row>
    <row r="10" spans="1:21" x14ac:dyDescent="0.2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116</v>
      </c>
    </row>
    <row r="12" spans="1:21" x14ac:dyDescent="0.2">
      <c r="B12" t="s">
        <v>100</v>
      </c>
      <c r="C12" t="s">
        <v>55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56</v>
      </c>
      <c r="J13">
        <v>1</v>
      </c>
    </row>
    <row r="14" spans="1:21" x14ac:dyDescent="0.2">
      <c r="B14" t="s">
        <v>24</v>
      </c>
      <c r="C14" t="s">
        <v>57</v>
      </c>
      <c r="J14">
        <v>2</v>
      </c>
    </row>
    <row r="15" spans="1:21" x14ac:dyDescent="0.2">
      <c r="B15" t="s">
        <v>15</v>
      </c>
      <c r="C15" t="s">
        <v>58</v>
      </c>
    </row>
    <row r="16" spans="1:21" x14ac:dyDescent="0.2">
      <c r="B16" t="s">
        <v>62</v>
      </c>
      <c r="C16" t="s">
        <v>59</v>
      </c>
      <c r="J16" t="s">
        <v>117</v>
      </c>
    </row>
    <row r="17" spans="2:10" x14ac:dyDescent="0.2">
      <c r="B17" t="s">
        <v>18</v>
      </c>
      <c r="C17" t="s">
        <v>60</v>
      </c>
      <c r="J17" t="s">
        <v>8</v>
      </c>
    </row>
    <row r="18" spans="2:10" x14ac:dyDescent="0.2">
      <c r="B18" t="s">
        <v>19</v>
      </c>
      <c r="C18" t="s">
        <v>61</v>
      </c>
      <c r="J18">
        <v>1</v>
      </c>
    </row>
    <row r="19" spans="2:10" x14ac:dyDescent="0.2">
      <c r="C19" t="s">
        <v>32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46</v>
      </c>
      <c r="J21">
        <v>4</v>
      </c>
    </row>
    <row r="22" spans="2:10" x14ac:dyDescent="0.2">
      <c r="C22" t="s">
        <v>45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BC0FE-BA67-4AA8-BC84-104EBCACDCEA}">
  <sheetPr codeName="Sheet13">
    <tabColor rgb="FF00B050"/>
  </sheetPr>
  <dimension ref="A1:XEY11"/>
  <sheetViews>
    <sheetView showGridLines="0" topLeftCell="B1" zoomScale="85" zoomScaleNormal="85" zoomScaleSheetLayoutView="85" workbookViewId="0">
      <pane ySplit="8" topLeftCell="A9" activePane="bottomLeft" state="frozen"/>
      <selection activeCell="C24" sqref="C24"/>
      <selection pane="bottomLeft" activeCell="C11" sqref="C11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75" width="8.83203125" style="3" hidden="1"/>
    <col min="16376" max="16379" width="0" style="3" hidden="1"/>
    <col min="16380" max="16384" width="8.83203125" style="3" hidden="1"/>
  </cols>
  <sheetData>
    <row r="1" spans="2:11" ht="15" x14ac:dyDescent="0.2">
      <c r="B1" s="24" t="str">
        <f>'Revision History'!$D$4</f>
        <v>REV. NO.1 (6/8/2022)</v>
      </c>
      <c r="C1" s="25"/>
      <c r="D1" s="25"/>
      <c r="E1" s="25"/>
      <c r="F1" s="25"/>
      <c r="G1" s="25"/>
      <c r="H1" s="25"/>
      <c r="I1" s="25"/>
      <c r="J1" s="25"/>
      <c r="K1" s="26" t="str">
        <f>'Revision History'!$J$4</f>
        <v>Scott Research Group (jkscottresearchgroup.com)</v>
      </c>
    </row>
    <row r="2" spans="2:11" ht="19" x14ac:dyDescent="0.2">
      <c r="B2" s="65" t="s">
        <v>34</v>
      </c>
      <c r="C2" s="66"/>
      <c r="D2" s="66"/>
      <c r="E2" s="66"/>
      <c r="F2" s="66"/>
      <c r="G2" s="66"/>
      <c r="H2" s="66"/>
      <c r="I2" s="66"/>
      <c r="J2" s="66"/>
      <c r="K2" s="67"/>
    </row>
    <row r="3" spans="2:11" ht="14.5" customHeight="1" x14ac:dyDescent="0.2">
      <c r="B3" s="13"/>
      <c r="C3" s="14"/>
      <c r="D3" s="15"/>
      <c r="E3" s="16"/>
      <c r="F3" s="16"/>
      <c r="G3" s="16"/>
      <c r="H3" s="16"/>
      <c r="I3" s="16"/>
      <c r="J3" s="16"/>
      <c r="K3" s="68" t="str">
        <f>IF(COUNTIF(Table1102[Test 3],1)=COUNTA(Table1102[Value]),"Ready","Not Ready")</f>
        <v>Ready</v>
      </c>
    </row>
    <row r="4" spans="2:11" ht="14.5" customHeight="1" x14ac:dyDescent="0.2">
      <c r="B4" s="17"/>
      <c r="C4" s="18"/>
      <c r="D4" s="46"/>
      <c r="E4" s="46"/>
      <c r="F4" s="46"/>
      <c r="G4" s="46"/>
      <c r="H4" s="19"/>
      <c r="I4" s="46"/>
      <c r="J4" s="46"/>
      <c r="K4" s="69"/>
    </row>
    <row r="5" spans="2:11" ht="14.5" customHeight="1" x14ac:dyDescent="0.2">
      <c r="B5" s="17"/>
      <c r="C5" s="18"/>
      <c r="D5" s="46"/>
      <c r="E5" s="46"/>
      <c r="F5" s="46"/>
      <c r="G5" s="46"/>
      <c r="H5" s="19"/>
      <c r="I5" s="46"/>
      <c r="J5" s="46"/>
      <c r="K5" s="69"/>
    </row>
    <row r="6" spans="2:11" ht="14.5" customHeight="1" x14ac:dyDescent="0.2">
      <c r="B6" s="17"/>
      <c r="C6" s="18"/>
      <c r="D6" s="46"/>
      <c r="E6" s="46"/>
      <c r="F6" s="46"/>
      <c r="G6" s="46"/>
      <c r="H6" s="19"/>
      <c r="I6" s="46"/>
      <c r="J6" s="46"/>
      <c r="K6" s="69"/>
    </row>
    <row r="7" spans="2:11" ht="14.5" customHeight="1" x14ac:dyDescent="0.2">
      <c r="B7" s="20"/>
      <c r="C7" s="21"/>
      <c r="D7" s="22"/>
      <c r="E7" s="22"/>
      <c r="F7" s="22"/>
      <c r="G7" s="22"/>
      <c r="H7" s="23"/>
      <c r="I7" s="22"/>
      <c r="J7" s="22"/>
      <c r="K7" s="70"/>
    </row>
    <row r="8" spans="2:11" ht="16" x14ac:dyDescent="0.2">
      <c r="B8" s="27" t="s">
        <v>0</v>
      </c>
      <c r="C8" s="28" t="s">
        <v>1</v>
      </c>
      <c r="D8" s="28" t="s">
        <v>2</v>
      </c>
      <c r="E8" s="28" t="s">
        <v>14</v>
      </c>
      <c r="F8" s="28" t="s">
        <v>67</v>
      </c>
      <c r="G8" s="29" t="s">
        <v>43</v>
      </c>
      <c r="H8" s="29" t="s">
        <v>72</v>
      </c>
      <c r="I8" s="28" t="s">
        <v>73</v>
      </c>
      <c r="J8" s="30" t="s">
        <v>82</v>
      </c>
      <c r="K8" s="30" t="s">
        <v>12</v>
      </c>
    </row>
    <row r="9" spans="2:11" ht="160" x14ac:dyDescent="0.2">
      <c r="B9" s="4" t="s">
        <v>106</v>
      </c>
      <c r="C9" s="31">
        <v>5</v>
      </c>
      <c r="D9" s="2" t="s">
        <v>3</v>
      </c>
      <c r="E9" s="47" t="s">
        <v>31</v>
      </c>
      <c r="F9" s="48" t="s">
        <v>91</v>
      </c>
      <c r="G9" s="2" t="s">
        <v>45</v>
      </c>
      <c r="H9" s="47">
        <v>1</v>
      </c>
      <c r="I9" s="47">
        <f>[1]Initialization!$C$10</f>
        <v>2</v>
      </c>
      <c r="J9" s="6">
        <v>1</v>
      </c>
      <c r="K9" s="5" t="s">
        <v>115</v>
      </c>
    </row>
    <row r="10" spans="2:11" ht="160" x14ac:dyDescent="0.2">
      <c r="B10" s="4" t="s">
        <v>139</v>
      </c>
      <c r="C10" s="31">
        <v>1</v>
      </c>
      <c r="D10" s="2" t="s">
        <v>3</v>
      </c>
      <c r="E10" s="50" t="s">
        <v>31</v>
      </c>
      <c r="F10" s="50" t="s">
        <v>91</v>
      </c>
      <c r="G10" s="2" t="s">
        <v>45</v>
      </c>
      <c r="H10" s="50"/>
      <c r="I10" s="50">
        <f>[1]Initialization!$C$10</f>
        <v>2</v>
      </c>
      <c r="J10" s="6">
        <v>1</v>
      </c>
      <c r="K10" s="5" t="s">
        <v>115</v>
      </c>
    </row>
    <row r="11" spans="2:11" ht="16" x14ac:dyDescent="0.2">
      <c r="B11" s="8" t="s">
        <v>86</v>
      </c>
      <c r="C11" s="32"/>
      <c r="D11" s="9"/>
      <c r="E11" s="10"/>
      <c r="F11" s="10"/>
      <c r="G11" s="9"/>
      <c r="H11" s="10">
        <v>1</v>
      </c>
      <c r="I11" s="10">
        <v>1</v>
      </c>
      <c r="J11" s="11">
        <v>0</v>
      </c>
      <c r="K11" s="12" t="s">
        <v>87</v>
      </c>
    </row>
  </sheetData>
  <sheetProtection algorithmName="SHA-512" hashValue="cu6/5U6ZQxhJxgnHdsHI6Frcx3QK0PkC4OPVVUd7yDR7OwcLz5xn2rIBR+g5da3cnyt7LQ10C5HY5swplMwnAw==" saltValue="djgm0WKdt7IfAag1uqgRJA==" spinCount="100000" sheet="1" objects="1" scenarios="1" selectLockedCells="1"/>
  <mergeCells count="2">
    <mergeCell ref="B2:K2"/>
    <mergeCell ref="K3:K7"/>
  </mergeCells>
  <conditionalFormatting sqref="C11">
    <cfRule type="expression" dxfId="33" priority="16">
      <formula>IF(AND($C11&lt;&gt;"",$J11=0),1,0)</formula>
    </cfRule>
    <cfRule type="expression" dxfId="32" priority="17">
      <formula>IF($C11&lt;&gt;"",1,0)</formula>
    </cfRule>
    <cfRule type="expression" dxfId="31" priority="18">
      <formula>$J11=0</formula>
    </cfRule>
  </conditionalFormatting>
  <conditionalFormatting sqref="C9:C10">
    <cfRule type="expression" dxfId="30" priority="13">
      <formula>IF(AND($C9&lt;&gt;"",$J9=0),1,0)</formula>
    </cfRule>
    <cfRule type="expression" dxfId="29" priority="14">
      <formula>IF($C9&lt;&gt;"",1,0)</formula>
    </cfRule>
    <cfRule type="expression" dxfId="28" priority="15">
      <formula>$J9=0</formula>
    </cfRule>
  </conditionalFormatting>
  <conditionalFormatting sqref="K3">
    <cfRule type="expression" dxfId="27" priority="2377">
      <formula>IF(COUNTA($C$9:$C$11)&lt;&gt;COUNTIF($J$9:$J$11,1),1,0)</formula>
    </cfRule>
    <cfRule type="expression" dxfId="26" priority="2378">
      <formula>IF(COUNTA($C$9:$C$11)=COUNTIF($J$9:$J$11,1),1,0)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3</xdr:row>
                    <xdr:rowOff>76200</xdr:rowOff>
                  </from>
                  <to>
                    <xdr:col>2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3</xdr:row>
                    <xdr:rowOff>76200</xdr:rowOff>
                  </from>
                  <to>
                    <xdr:col>3</xdr:col>
                    <xdr:colOff>1524000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3</xdr:row>
                    <xdr:rowOff>76200</xdr:rowOff>
                  </from>
                  <to>
                    <xdr:col>5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00F78D8-7CBC-416B-BF8F-16F86E79595D}">
          <x14:formula1>
            <xm:f>Reference!$J$2:$J$7</xm:f>
          </x14:formula1>
          <xm:sqref>C9:C10</xm:sqref>
        </x14:dataValidation>
        <x14:dataValidation type="list" allowBlank="1" showInputMessage="1" showErrorMessage="1" xr:uid="{AB0DFED5-7007-40C4-A20A-4EB483A187A5}">
          <x14:formula1>
            <xm:f>Reference!$A$2:$A$8</xm:f>
          </x14:formula1>
          <xm:sqref>F9:F11</xm:sqref>
        </x14:dataValidation>
        <x14:dataValidation type="list" allowBlank="1" showInputMessage="1" showErrorMessage="1" xr:uid="{577DDA83-B2B6-4016-B2CF-1564CB9BE2F2}">
          <x14:formula1>
            <xm:f>Reference!$C$2:$C$23</xm:f>
          </x14:formula1>
          <xm:sqref>G9:G11</xm:sqref>
        </x14:dataValidation>
        <x14:dataValidation type="list" allowBlank="1" showInputMessage="1" showErrorMessage="1" xr:uid="{B5D072AB-35BF-448E-8A00-FA96E8BD689F}">
          <x14:formula1>
            <xm:f>Reference!$B$2:$B$18</xm:f>
          </x14:formula1>
          <xm:sqref>E9:E11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D73F8E-F005-450F-BBFC-F4694AF57EBE}">
  <sheetPr codeName="Sheet15">
    <tabColor rgb="FF00B050"/>
  </sheetPr>
  <dimension ref="A1:XEY12"/>
  <sheetViews>
    <sheetView showGridLines="0" topLeftCell="B1" zoomScale="85" zoomScaleNormal="85" zoomScaleSheetLayoutView="85" workbookViewId="0">
      <pane ySplit="8" topLeftCell="A9" activePane="bottomLeft" state="frozen"/>
      <selection activeCell="C24" sqref="C24"/>
      <selection pane="bottomLeft" activeCell="C11" sqref="C11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75" width="8.83203125" style="3" hidden="1"/>
    <col min="16376" max="16379" width="0" style="3" hidden="1"/>
    <col min="16380" max="16384" width="8.83203125" style="3" hidden="1"/>
  </cols>
  <sheetData>
    <row r="1" spans="2:11" ht="15" x14ac:dyDescent="0.2">
      <c r="B1" s="24" t="str">
        <f>'Revision History'!$D$4</f>
        <v>REV. NO.1 (6/8/2022)</v>
      </c>
      <c r="C1" s="25"/>
      <c r="D1" s="25"/>
      <c r="E1" s="25"/>
      <c r="F1" s="25"/>
      <c r="G1" s="25"/>
      <c r="H1" s="25"/>
      <c r="I1" s="25"/>
      <c r="J1" s="25"/>
      <c r="K1" s="26" t="str">
        <f>'Revision History'!$J$4</f>
        <v>Scott Research Group (jkscottresearchgroup.com)</v>
      </c>
    </row>
    <row r="2" spans="2:11" ht="19" x14ac:dyDescent="0.2">
      <c r="B2" s="65" t="s">
        <v>34</v>
      </c>
      <c r="C2" s="66"/>
      <c r="D2" s="66"/>
      <c r="E2" s="66"/>
      <c r="F2" s="66"/>
      <c r="G2" s="66"/>
      <c r="H2" s="66"/>
      <c r="I2" s="66"/>
      <c r="J2" s="66"/>
      <c r="K2" s="67"/>
    </row>
    <row r="3" spans="2:11" ht="14.5" customHeight="1" x14ac:dyDescent="0.2">
      <c r="B3" s="13"/>
      <c r="C3" s="14"/>
      <c r="D3" s="15"/>
      <c r="E3" s="16"/>
      <c r="F3" s="16"/>
      <c r="G3" s="16"/>
      <c r="H3" s="16"/>
      <c r="I3" s="16"/>
      <c r="J3" s="16"/>
      <c r="K3" s="68" t="str">
        <f>IF(COUNTIF(Table110234[Test 3],1)=COUNTA(Table110234[Value]),"Ready","Not Ready")</f>
        <v>Ready</v>
      </c>
    </row>
    <row r="4" spans="2:11" ht="14.5" customHeight="1" x14ac:dyDescent="0.2">
      <c r="B4" s="17"/>
      <c r="C4" s="18"/>
      <c r="D4" s="52"/>
      <c r="E4" s="52"/>
      <c r="F4" s="52"/>
      <c r="G4" s="52"/>
      <c r="H4" s="19"/>
      <c r="I4" s="52"/>
      <c r="J4" s="52"/>
      <c r="K4" s="69"/>
    </row>
    <row r="5" spans="2:11" ht="14.5" customHeight="1" x14ac:dyDescent="0.2">
      <c r="B5" s="17"/>
      <c r="C5" s="18"/>
      <c r="D5" s="52"/>
      <c r="E5" s="52"/>
      <c r="F5" s="52"/>
      <c r="G5" s="52"/>
      <c r="H5" s="19"/>
      <c r="I5" s="52"/>
      <c r="J5" s="52"/>
      <c r="K5" s="69"/>
    </row>
    <row r="6" spans="2:11" ht="14.5" customHeight="1" x14ac:dyDescent="0.2">
      <c r="B6" s="17"/>
      <c r="C6" s="18"/>
      <c r="D6" s="52"/>
      <c r="E6" s="52"/>
      <c r="F6" s="52"/>
      <c r="G6" s="52"/>
      <c r="H6" s="19"/>
      <c r="I6" s="52"/>
      <c r="J6" s="52"/>
      <c r="K6" s="69"/>
    </row>
    <row r="7" spans="2:11" ht="14.5" customHeight="1" x14ac:dyDescent="0.2">
      <c r="B7" s="20"/>
      <c r="C7" s="21"/>
      <c r="D7" s="22"/>
      <c r="E7" s="22"/>
      <c r="F7" s="22"/>
      <c r="G7" s="22"/>
      <c r="H7" s="23"/>
      <c r="I7" s="22"/>
      <c r="J7" s="22"/>
      <c r="K7" s="70"/>
    </row>
    <row r="8" spans="2:11" ht="16" x14ac:dyDescent="0.2">
      <c r="B8" s="27" t="s">
        <v>0</v>
      </c>
      <c r="C8" s="28" t="s">
        <v>1</v>
      </c>
      <c r="D8" s="28" t="s">
        <v>2</v>
      </c>
      <c r="E8" s="28" t="s">
        <v>14</v>
      </c>
      <c r="F8" s="28" t="s">
        <v>67</v>
      </c>
      <c r="G8" s="29" t="s">
        <v>43</v>
      </c>
      <c r="H8" s="29" t="s">
        <v>72</v>
      </c>
      <c r="I8" s="28" t="s">
        <v>73</v>
      </c>
      <c r="J8" s="30" t="s">
        <v>82</v>
      </c>
      <c r="K8" s="30" t="s">
        <v>12</v>
      </c>
    </row>
    <row r="9" spans="2:11" ht="16" x14ac:dyDescent="0.2">
      <c r="B9" s="4" t="s">
        <v>130</v>
      </c>
      <c r="C9" s="31">
        <v>76.2</v>
      </c>
      <c r="D9" s="2" t="s">
        <v>75</v>
      </c>
      <c r="E9" s="50" t="s">
        <v>16</v>
      </c>
      <c r="F9" s="50" t="s">
        <v>7</v>
      </c>
      <c r="G9" s="2" t="s">
        <v>44</v>
      </c>
      <c r="H9" s="50">
        <v>1</v>
      </c>
      <c r="I9" s="50">
        <v>1</v>
      </c>
      <c r="J9" s="6">
        <v>1</v>
      </c>
      <c r="K9" s="5" t="s">
        <v>88</v>
      </c>
    </row>
    <row r="10" spans="2:11" ht="32" x14ac:dyDescent="0.2">
      <c r="B10" s="4" t="s">
        <v>102</v>
      </c>
      <c r="C10" s="31">
        <v>1.143</v>
      </c>
      <c r="D10" s="2" t="s">
        <v>75</v>
      </c>
      <c r="E10" s="50" t="s">
        <v>16</v>
      </c>
      <c r="F10" s="50" t="s">
        <v>7</v>
      </c>
      <c r="G10" s="2" t="s">
        <v>51</v>
      </c>
      <c r="H10" s="50">
        <v>1</v>
      </c>
      <c r="I10" s="50">
        <v>1</v>
      </c>
      <c r="J10" s="6">
        <v>1</v>
      </c>
      <c r="K10" s="5" t="s">
        <v>68</v>
      </c>
    </row>
    <row r="11" spans="2:11" ht="32" x14ac:dyDescent="0.2">
      <c r="B11" s="4" t="s">
        <v>103</v>
      </c>
      <c r="C11" s="31">
        <v>1.643</v>
      </c>
      <c r="D11" s="2" t="s">
        <v>75</v>
      </c>
      <c r="E11" s="50" t="s">
        <v>16</v>
      </c>
      <c r="F11" s="50" t="s">
        <v>7</v>
      </c>
      <c r="G11" s="2" t="s">
        <v>51</v>
      </c>
      <c r="H11" s="50">
        <v>1</v>
      </c>
      <c r="I11" s="50">
        <v>1</v>
      </c>
      <c r="J11" s="6">
        <v>1</v>
      </c>
      <c r="K11" s="5" t="s">
        <v>69</v>
      </c>
    </row>
    <row r="12" spans="2:11" ht="16" x14ac:dyDescent="0.2">
      <c r="B12" s="8" t="s">
        <v>86</v>
      </c>
      <c r="C12" s="32"/>
      <c r="D12" s="9"/>
      <c r="E12" s="10"/>
      <c r="F12" s="10"/>
      <c r="G12" s="9"/>
      <c r="H12" s="10">
        <v>1</v>
      </c>
      <c r="I12" s="10">
        <v>1</v>
      </c>
      <c r="J12" s="11">
        <v>0</v>
      </c>
      <c r="K12" s="12" t="s">
        <v>87</v>
      </c>
    </row>
  </sheetData>
  <sheetProtection algorithmName="SHA-512" hashValue="OQHlDPFqlz6M1XVWNMK6R+l2eku20get9xWx52MN6dQW6g47xUzT+Tg5l49iKCJvypdyaFK64rCLY+hVbi10ew==" saltValue="bUleT9EFVcjIhttLjvQ0qQ==" spinCount="100000" sheet="1" objects="1" scenarios="1" selectLockedCells="1"/>
  <mergeCells count="2">
    <mergeCell ref="B2:K2"/>
    <mergeCell ref="K3:K7"/>
  </mergeCells>
  <conditionalFormatting sqref="C9:C12">
    <cfRule type="expression" dxfId="25" priority="10">
      <formula>IF(AND($C9&lt;&gt;"",$J9=0),1,0)</formula>
    </cfRule>
    <cfRule type="expression" dxfId="24" priority="11">
      <formula>IF($C9&lt;&gt;"",1,0)</formula>
    </cfRule>
    <cfRule type="expression" dxfId="23" priority="12">
      <formula>$J9=0</formula>
    </cfRule>
  </conditionalFormatting>
  <conditionalFormatting sqref="K3">
    <cfRule type="expression" dxfId="22" priority="2375">
      <formula>IF(COUNTA($C$9:$C$12)&lt;&gt;COUNTIF($J$9:$J$12,1),1,0)</formula>
    </cfRule>
    <cfRule type="expression" dxfId="21" priority="2376">
      <formula>IF(COUNTA($C$9:$C$12)=COUNTIF($J$9:$J$12,1),1,0)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3</xdr:row>
                    <xdr:rowOff>76200</xdr:rowOff>
                  </from>
                  <to>
                    <xdr:col>2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3</xdr:row>
                    <xdr:rowOff>76200</xdr:rowOff>
                  </from>
                  <to>
                    <xdr:col>3</xdr:col>
                    <xdr:colOff>1524000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3</xdr:row>
                    <xdr:rowOff>76200</xdr:rowOff>
                  </from>
                  <to>
                    <xdr:col>5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3F31DE6-4912-4DCD-A0E5-0C265F1EB724}">
          <x14:formula1>
            <xm:f>Reference!$A$2:$A$8</xm:f>
          </x14:formula1>
          <xm:sqref>F9:F12</xm:sqref>
        </x14:dataValidation>
        <x14:dataValidation type="list" allowBlank="1" showInputMessage="1" showErrorMessage="1" xr:uid="{3932E0CC-9F50-4C78-84F5-6453D2CC68B1}">
          <x14:formula1>
            <xm:f>Reference!$C$2:$C$23</xm:f>
          </x14:formula1>
          <xm:sqref>G9:G12</xm:sqref>
        </x14:dataValidation>
        <x14:dataValidation type="list" allowBlank="1" showInputMessage="1" showErrorMessage="1" xr:uid="{6420389D-B013-470E-8111-F4BEC725F010}">
          <x14:formula1>
            <xm:f>Reference!$B$2:$B$18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23AF4-BA8B-4712-A3DF-B04A77B60A6E}">
  <sheetPr codeName="Sheet17">
    <tabColor rgb="FF00B050"/>
  </sheetPr>
  <dimension ref="A1:XEY11"/>
  <sheetViews>
    <sheetView showGridLines="0" topLeftCell="B1" zoomScale="85" zoomScaleNormal="85" zoomScaleSheetLayoutView="85" workbookViewId="0">
      <pane ySplit="8" topLeftCell="A9" activePane="bottomLeft" state="frozen"/>
      <selection activeCell="C24" sqref="C24"/>
      <selection pane="bottomLeft" activeCell="C9" sqref="C9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75" width="8.83203125" style="3" hidden="1"/>
    <col min="16376" max="16379" width="0" style="3" hidden="1"/>
    <col min="16380" max="16384" width="8.83203125" style="3" hidden="1"/>
  </cols>
  <sheetData>
    <row r="1" spans="2:11" ht="15" x14ac:dyDescent="0.2">
      <c r="B1" s="24" t="str">
        <f>'Revision History'!$D$4</f>
        <v>REV. NO.1 (6/8/2022)</v>
      </c>
      <c r="C1" s="25"/>
      <c r="D1" s="25"/>
      <c r="E1" s="25"/>
      <c r="F1" s="25"/>
      <c r="G1" s="25"/>
      <c r="H1" s="25"/>
      <c r="I1" s="25"/>
      <c r="J1" s="25"/>
      <c r="K1" s="26" t="str">
        <f>'Revision History'!$J$4</f>
        <v>Scott Research Group (jkscottresearchgroup.com)</v>
      </c>
    </row>
    <row r="2" spans="2:11" ht="19" x14ac:dyDescent="0.2">
      <c r="B2" s="65" t="s">
        <v>34</v>
      </c>
      <c r="C2" s="66"/>
      <c r="D2" s="66"/>
      <c r="E2" s="66"/>
      <c r="F2" s="66"/>
      <c r="G2" s="66"/>
      <c r="H2" s="66"/>
      <c r="I2" s="66"/>
      <c r="J2" s="66"/>
      <c r="K2" s="67"/>
    </row>
    <row r="3" spans="2:11" ht="14.5" customHeight="1" x14ac:dyDescent="0.2">
      <c r="B3" s="13"/>
      <c r="C3" s="14"/>
      <c r="D3" s="15"/>
      <c r="E3" s="16"/>
      <c r="F3" s="16"/>
      <c r="G3" s="16"/>
      <c r="H3" s="16"/>
      <c r="I3" s="16"/>
      <c r="J3" s="16"/>
      <c r="K3" s="68" t="str">
        <f>IF(COUNTIF(Table110235[Test 3],1)=COUNTA(Table110235[Value]),"Ready","Not Ready")</f>
        <v>Ready</v>
      </c>
    </row>
    <row r="4" spans="2:11" ht="14.5" customHeight="1" x14ac:dyDescent="0.2">
      <c r="B4" s="17"/>
      <c r="C4" s="18"/>
      <c r="D4" s="52"/>
      <c r="E4" s="52"/>
      <c r="F4" s="52"/>
      <c r="G4" s="52"/>
      <c r="H4" s="19"/>
      <c r="I4" s="52"/>
      <c r="J4" s="52"/>
      <c r="K4" s="69"/>
    </row>
    <row r="5" spans="2:11" ht="14.5" customHeight="1" x14ac:dyDescent="0.2">
      <c r="B5" s="17"/>
      <c r="C5" s="18"/>
      <c r="D5" s="52"/>
      <c r="E5" s="52"/>
      <c r="F5" s="52"/>
      <c r="G5" s="52"/>
      <c r="H5" s="19"/>
      <c r="I5" s="52"/>
      <c r="J5" s="52"/>
      <c r="K5" s="69"/>
    </row>
    <row r="6" spans="2:11" ht="14.5" customHeight="1" x14ac:dyDescent="0.2">
      <c r="B6" s="17"/>
      <c r="C6" s="18"/>
      <c r="D6" s="52"/>
      <c r="E6" s="52"/>
      <c r="F6" s="52"/>
      <c r="G6" s="52"/>
      <c r="H6" s="19"/>
      <c r="I6" s="52"/>
      <c r="J6" s="52"/>
      <c r="K6" s="69"/>
    </row>
    <row r="7" spans="2:11" ht="14.5" customHeight="1" x14ac:dyDescent="0.2">
      <c r="B7" s="20"/>
      <c r="C7" s="21"/>
      <c r="D7" s="22"/>
      <c r="E7" s="22"/>
      <c r="F7" s="22"/>
      <c r="G7" s="22"/>
      <c r="H7" s="23"/>
      <c r="I7" s="22"/>
      <c r="J7" s="22"/>
      <c r="K7" s="70"/>
    </row>
    <row r="8" spans="2:11" ht="16" x14ac:dyDescent="0.2">
      <c r="B8" s="27" t="s">
        <v>0</v>
      </c>
      <c r="C8" s="28" t="s">
        <v>1</v>
      </c>
      <c r="D8" s="28" t="s">
        <v>2</v>
      </c>
      <c r="E8" s="28" t="s">
        <v>14</v>
      </c>
      <c r="F8" s="28" t="s">
        <v>67</v>
      </c>
      <c r="G8" s="29" t="s">
        <v>43</v>
      </c>
      <c r="H8" s="29" t="s">
        <v>72</v>
      </c>
      <c r="I8" s="28" t="s">
        <v>73</v>
      </c>
      <c r="J8" s="30" t="s">
        <v>82</v>
      </c>
      <c r="K8" s="30" t="s">
        <v>12</v>
      </c>
    </row>
    <row r="9" spans="2:11" ht="16" x14ac:dyDescent="0.2">
      <c r="B9" s="4" t="s">
        <v>70</v>
      </c>
      <c r="C9" s="31">
        <v>0.48</v>
      </c>
      <c r="D9" s="2" t="s">
        <v>3</v>
      </c>
      <c r="E9" s="50" t="s">
        <v>16</v>
      </c>
      <c r="F9" s="50" t="s">
        <v>7</v>
      </c>
      <c r="G9" s="2" t="s">
        <v>32</v>
      </c>
      <c r="H9" s="50">
        <v>1</v>
      </c>
      <c r="I9" s="50">
        <v>1</v>
      </c>
      <c r="J9" s="6">
        <v>1</v>
      </c>
      <c r="K9" s="5" t="s">
        <v>71</v>
      </c>
    </row>
    <row r="10" spans="2:11" ht="16" x14ac:dyDescent="0.2">
      <c r="B10" s="4" t="s">
        <v>33</v>
      </c>
      <c r="C10" s="31">
        <v>0.25240000000000001</v>
      </c>
      <c r="D10" s="2" t="s">
        <v>23</v>
      </c>
      <c r="E10" s="50" t="s">
        <v>16</v>
      </c>
      <c r="F10" s="50" t="s">
        <v>7</v>
      </c>
      <c r="G10" s="2" t="s">
        <v>44</v>
      </c>
      <c r="H10" s="50">
        <v>1</v>
      </c>
      <c r="I10" s="50">
        <v>1</v>
      </c>
      <c r="J10" s="6">
        <v>1</v>
      </c>
      <c r="K10" s="5" t="s">
        <v>76</v>
      </c>
    </row>
    <row r="11" spans="2:11" ht="16" x14ac:dyDescent="0.2">
      <c r="B11" s="8" t="s">
        <v>86</v>
      </c>
      <c r="C11" s="32"/>
      <c r="D11" s="9"/>
      <c r="E11" s="10"/>
      <c r="F11" s="10"/>
      <c r="G11" s="9"/>
      <c r="H11" s="10">
        <v>1</v>
      </c>
      <c r="I11" s="10">
        <v>1</v>
      </c>
      <c r="J11" s="11">
        <v>0</v>
      </c>
      <c r="K11" s="12" t="s">
        <v>87</v>
      </c>
    </row>
  </sheetData>
  <sheetProtection algorithmName="SHA-512" hashValue="sK62HB8jXatZn23HGHSmGqXtA8UGcWyeJ4h53tTuN0ftppj/oiobVs/rQREoK2hlB8+vx0w7VMB3W5nnEN6yYg==" saltValue="vcWWNEYNehh6Qz1ePdCIqQ==" spinCount="100000" sheet="1" objects="1" scenarios="1" selectLockedCells="1"/>
  <mergeCells count="2">
    <mergeCell ref="B2:K2"/>
    <mergeCell ref="K3:K7"/>
  </mergeCells>
  <conditionalFormatting sqref="C9:C11">
    <cfRule type="expression" dxfId="20" priority="1">
      <formula>IF(AND($C9&lt;&gt;"",$J9=0),1,0)</formula>
    </cfRule>
    <cfRule type="expression" dxfId="19" priority="2">
      <formula>IF($C9&lt;&gt;"",1,0)</formula>
    </cfRule>
    <cfRule type="expression" dxfId="18" priority="3">
      <formula>$J9=0</formula>
    </cfRule>
  </conditionalFormatting>
  <conditionalFormatting sqref="K3">
    <cfRule type="expression" dxfId="17" priority="2270">
      <formula>IF(COUNTA($C$9:$C$11)&lt;&gt;COUNTIF($J$9:$J$11,1),1,0)</formula>
    </cfRule>
    <cfRule type="expression" dxfId="16" priority="2271">
      <formula>IF(COUNTA($C$9:$C$11)=COUNTIF($J$9:$J$11,1),1,0)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3</xdr:row>
                    <xdr:rowOff>76200</xdr:rowOff>
                  </from>
                  <to>
                    <xdr:col>2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3</xdr:row>
                    <xdr:rowOff>76200</xdr:rowOff>
                  </from>
                  <to>
                    <xdr:col>3</xdr:col>
                    <xdr:colOff>1524000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3</xdr:row>
                    <xdr:rowOff>76200</xdr:rowOff>
                  </from>
                  <to>
                    <xdr:col>5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ACB9286-F010-48A8-8CF2-F910B3E76DAE}">
          <x14:formula1>
            <xm:f>'/Users/taehunkim/Library/Containers/com.microsoft.Excel/Data/Documents/C:\Users\tkim333\Desktop\RAPID Model Release\v3.0\[Test.xlsm]Reference'!#REF!</xm:f>
          </x14:formula1>
          <xm:sqref>F9:G9</xm:sqref>
        </x14:dataValidation>
        <x14:dataValidation type="list" allowBlank="1" showInputMessage="1" showErrorMessage="1" xr:uid="{F6CA7333-2F06-4650-9094-7998B86EE8FF}">
          <x14:formula1>
            <xm:f>Reference!$A$2:$A$8</xm:f>
          </x14:formula1>
          <xm:sqref>F10:F11</xm:sqref>
        </x14:dataValidation>
        <x14:dataValidation type="list" allowBlank="1" showInputMessage="1" showErrorMessage="1" xr:uid="{C1E2B3EE-5910-4826-870D-3F1B20513CBE}">
          <x14:formula1>
            <xm:f>Reference!$C$2:$C$23</xm:f>
          </x14:formula1>
          <xm:sqref>G10:G11</xm:sqref>
        </x14:dataValidation>
        <x14:dataValidation type="list" allowBlank="1" showInputMessage="1" showErrorMessage="1" xr:uid="{2B58CA7A-202B-4ED2-9294-A79968E7DB3D}">
          <x14:formula1>
            <xm:f>Reference!$B$2:$B$18</xm:f>
          </x14:formula1>
          <xm:sqref>E9:E11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topLeftCell="B1" zoomScaleNormal="85" zoomScaleSheetLayoutView="85" workbookViewId="0">
      <pane ySplit="8" topLeftCell="A9" activePane="bottomLeft" state="frozen"/>
      <selection activeCell="C24" sqref="C24"/>
      <selection pane="bottomLeft" activeCell="C13" sqref="C13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75" width="8.83203125" style="3" hidden="1"/>
    <col min="16376" max="16379" width="0" style="3" hidden="1"/>
    <col min="16380" max="16384" width="8.83203125" style="3" hidden="1"/>
  </cols>
  <sheetData>
    <row r="1" spans="2:11" ht="15" x14ac:dyDescent="0.2">
      <c r="B1" s="24" t="str">
        <f>'Revision History'!$D$4</f>
        <v>REV. NO.1 (6/8/2022)</v>
      </c>
      <c r="C1" s="25"/>
      <c r="D1" s="25"/>
      <c r="E1" s="25"/>
      <c r="F1" s="25"/>
      <c r="G1" s="25"/>
      <c r="H1" s="25"/>
      <c r="I1" s="25"/>
      <c r="J1" s="25"/>
      <c r="K1" s="26" t="str">
        <f>'Revision History'!$J$4</f>
        <v>Scott Research Group (jkscottresearchgroup.com)</v>
      </c>
    </row>
    <row r="2" spans="2:11" ht="19" x14ac:dyDescent="0.2">
      <c r="B2" s="65" t="s">
        <v>34</v>
      </c>
      <c r="C2" s="66"/>
      <c r="D2" s="66"/>
      <c r="E2" s="66"/>
      <c r="F2" s="66"/>
      <c r="G2" s="66"/>
      <c r="H2" s="66"/>
      <c r="I2" s="66"/>
      <c r="J2" s="66"/>
      <c r="K2" s="67"/>
    </row>
    <row r="3" spans="2:11" ht="14.5" customHeight="1" x14ac:dyDescent="0.2">
      <c r="B3" s="13"/>
      <c r="C3" s="14"/>
      <c r="D3" s="15"/>
      <c r="E3" s="16"/>
      <c r="F3" s="16"/>
      <c r="G3" s="16"/>
      <c r="H3" s="16"/>
      <c r="I3" s="16"/>
      <c r="J3" s="16"/>
      <c r="K3" s="68" t="str">
        <f>IF(COUNTIF(Table1102367[Test 3],1)=COUNTA(Table1102367[Value]),"Ready","Not Ready")</f>
        <v>Ready</v>
      </c>
    </row>
    <row r="4" spans="2:11" ht="14.5" customHeight="1" x14ac:dyDescent="0.2">
      <c r="B4" s="17"/>
      <c r="C4" s="18"/>
      <c r="D4" s="52"/>
      <c r="E4" s="52"/>
      <c r="F4" s="52"/>
      <c r="G4" s="52"/>
      <c r="H4" s="19"/>
      <c r="I4" s="52"/>
      <c r="J4" s="52"/>
      <c r="K4" s="69"/>
    </row>
    <row r="5" spans="2:11" ht="14.5" customHeight="1" x14ac:dyDescent="0.2">
      <c r="B5" s="17"/>
      <c r="C5" s="18"/>
      <c r="D5" s="52"/>
      <c r="E5" s="52"/>
      <c r="F5" s="52"/>
      <c r="G5" s="52"/>
      <c r="H5" s="19"/>
      <c r="I5" s="52"/>
      <c r="J5" s="52"/>
      <c r="K5" s="69"/>
    </row>
    <row r="6" spans="2:11" ht="14.5" customHeight="1" x14ac:dyDescent="0.2">
      <c r="B6" s="17"/>
      <c r="C6" s="18"/>
      <c r="D6" s="52"/>
      <c r="E6" s="52"/>
      <c r="F6" s="52"/>
      <c r="G6" s="52"/>
      <c r="H6" s="19"/>
      <c r="I6" s="52"/>
      <c r="J6" s="52"/>
      <c r="K6" s="69"/>
    </row>
    <row r="7" spans="2:11" ht="14.5" customHeight="1" x14ac:dyDescent="0.2">
      <c r="B7" s="20"/>
      <c r="C7" s="21"/>
      <c r="D7" s="22"/>
      <c r="E7" s="22"/>
      <c r="F7" s="22"/>
      <c r="G7" s="22"/>
      <c r="H7" s="23"/>
      <c r="I7" s="22"/>
      <c r="J7" s="22"/>
      <c r="K7" s="70"/>
    </row>
    <row r="8" spans="2:11" ht="16" x14ac:dyDescent="0.2">
      <c r="B8" s="27" t="s">
        <v>0</v>
      </c>
      <c r="C8" s="28" t="s">
        <v>1</v>
      </c>
      <c r="D8" s="28" t="s">
        <v>2</v>
      </c>
      <c r="E8" s="28" t="s">
        <v>14</v>
      </c>
      <c r="F8" s="28" t="s">
        <v>67</v>
      </c>
      <c r="G8" s="29" t="s">
        <v>43</v>
      </c>
      <c r="H8" s="29" t="s">
        <v>72</v>
      </c>
      <c r="I8" s="28" t="s">
        <v>73</v>
      </c>
      <c r="J8" s="30" t="s">
        <v>82</v>
      </c>
      <c r="K8" s="30" t="s">
        <v>12</v>
      </c>
    </row>
    <row r="9" spans="2:11" ht="15" x14ac:dyDescent="0.2">
      <c r="B9" s="51" t="s">
        <v>141</v>
      </c>
      <c r="C9" s="31">
        <v>3.1</v>
      </c>
      <c r="D9" s="2" t="s">
        <v>20</v>
      </c>
      <c r="E9" s="50" t="s">
        <v>16</v>
      </c>
      <c r="F9" s="50" t="s">
        <v>7</v>
      </c>
      <c r="G9" s="2" t="s">
        <v>44</v>
      </c>
      <c r="H9" s="50">
        <v>1</v>
      </c>
      <c r="I9" s="50">
        <v>1</v>
      </c>
      <c r="J9" s="6" cm="1">
        <f t="array" ref="J9">IF([4]Initialization!$C$15=0,0,IF([4]Initialization!$C$15=1,1,Table1102367[]))</f>
        <v>1</v>
      </c>
      <c r="K9" s="5"/>
    </row>
    <row r="10" spans="2:11" ht="16" x14ac:dyDescent="0.2">
      <c r="B10" s="4" t="s">
        <v>143</v>
      </c>
      <c r="C10" s="31">
        <v>3.0856051519999999</v>
      </c>
      <c r="D10" s="2" t="s">
        <v>20</v>
      </c>
      <c r="E10" s="50" t="s">
        <v>16</v>
      </c>
      <c r="F10" s="50" t="s">
        <v>7</v>
      </c>
      <c r="G10" s="2" t="s">
        <v>44</v>
      </c>
      <c r="H10" s="50">
        <v>1</v>
      </c>
      <c r="I10" s="50">
        <v>1</v>
      </c>
      <c r="J10" s="6">
        <v>1</v>
      </c>
      <c r="K10" s="5" t="s">
        <v>134</v>
      </c>
    </row>
    <row r="11" spans="2:11" ht="15" x14ac:dyDescent="0.2">
      <c r="B11" s="51" t="s">
        <v>142</v>
      </c>
      <c r="C11" s="73">
        <v>5.0699999999999997E-6</v>
      </c>
      <c r="D11" s="34" t="s">
        <v>146</v>
      </c>
      <c r="E11" s="50" t="s">
        <v>16</v>
      </c>
      <c r="F11" s="50" t="s">
        <v>7</v>
      </c>
      <c r="G11" s="2" t="s">
        <v>44</v>
      </c>
      <c r="H11" s="50">
        <v>1</v>
      </c>
      <c r="I11" s="50">
        <v>1</v>
      </c>
      <c r="J11" s="6" cm="1">
        <f t="array" ref="J11">IF([4]Initialization!$C$15=0,0,IF([4]Initialization!$C$15=1,1,Table1102367[]))</f>
        <v>1</v>
      </c>
      <c r="K11" s="5"/>
    </row>
    <row r="12" spans="2:11" ht="15" x14ac:dyDescent="0.2">
      <c r="B12" s="51" t="s">
        <v>144</v>
      </c>
      <c r="C12" s="31">
        <v>0.4</v>
      </c>
      <c r="D12" s="2" t="s">
        <v>20</v>
      </c>
      <c r="E12" s="50" t="s">
        <v>16</v>
      </c>
      <c r="F12" s="50" t="s">
        <v>7</v>
      </c>
      <c r="G12" s="2" t="s">
        <v>44</v>
      </c>
      <c r="H12" s="50">
        <v>1</v>
      </c>
      <c r="I12" s="50">
        <v>1</v>
      </c>
      <c r="J12" s="6" cm="1">
        <f t="array" ref="J12">IF([4]Initialization!$C$15=0,0,IF([4]Initialization!$C$15=1,1,Table1102367[]))</f>
        <v>1</v>
      </c>
      <c r="K12" s="5"/>
    </row>
    <row r="13" spans="2:11" ht="16" x14ac:dyDescent="0.2">
      <c r="B13" s="4" t="s">
        <v>147</v>
      </c>
      <c r="C13" s="31">
        <v>0.47649581499999999</v>
      </c>
      <c r="D13" s="2" t="s">
        <v>20</v>
      </c>
      <c r="E13" s="50" t="s">
        <v>16</v>
      </c>
      <c r="F13" s="50" t="s">
        <v>7</v>
      </c>
      <c r="G13" s="2" t="s">
        <v>44</v>
      </c>
      <c r="H13" s="50">
        <v>1</v>
      </c>
      <c r="I13" s="50">
        <v>1</v>
      </c>
      <c r="J13" s="6">
        <v>1</v>
      </c>
      <c r="K13" s="5" t="s">
        <v>134</v>
      </c>
    </row>
    <row r="14" spans="2:11" ht="15" x14ac:dyDescent="0.2">
      <c r="B14" s="51" t="s">
        <v>145</v>
      </c>
      <c r="C14" s="73">
        <v>5.0699999999999997E-6</v>
      </c>
      <c r="D14" s="34" t="s">
        <v>146</v>
      </c>
      <c r="E14" s="50" t="s">
        <v>16</v>
      </c>
      <c r="F14" s="50" t="s">
        <v>7</v>
      </c>
      <c r="G14" s="2" t="s">
        <v>44</v>
      </c>
      <c r="H14" s="50">
        <v>1</v>
      </c>
      <c r="I14" s="50">
        <v>1</v>
      </c>
      <c r="J14" s="6" cm="1">
        <f t="array" ref="J14">IF([4]Initialization!$C$15=0,0,IF([4]Initialization!$C$15=1,1,Table1102367[]))</f>
        <v>1</v>
      </c>
      <c r="K14" s="5"/>
    </row>
    <row r="15" spans="2:11" ht="48" x14ac:dyDescent="0.2">
      <c r="B15" s="4" t="s">
        <v>118</v>
      </c>
      <c r="C15" s="31">
        <v>318.14999999999998</v>
      </c>
      <c r="D15" s="2" t="s">
        <v>21</v>
      </c>
      <c r="E15" s="50" t="s">
        <v>16</v>
      </c>
      <c r="F15" s="50" t="s">
        <v>7</v>
      </c>
      <c r="G15" s="2" t="s">
        <v>51</v>
      </c>
      <c r="H15" s="50">
        <v>1</v>
      </c>
      <c r="I15" s="50">
        <v>1</v>
      </c>
      <c r="J15" s="6">
        <v>1</v>
      </c>
      <c r="K15" s="5" t="s">
        <v>140</v>
      </c>
    </row>
    <row r="16" spans="2:11" ht="16" x14ac:dyDescent="0.2">
      <c r="B16" s="8" t="s">
        <v>86</v>
      </c>
      <c r="C16" s="32"/>
      <c r="D16" s="9"/>
      <c r="E16" s="10"/>
      <c r="F16" s="10"/>
      <c r="G16" s="9"/>
      <c r="H16" s="10">
        <v>1</v>
      </c>
      <c r="I16" s="10">
        <v>1</v>
      </c>
      <c r="J16" s="11">
        <v>0</v>
      </c>
      <c r="K16" s="12" t="s">
        <v>87</v>
      </c>
    </row>
  </sheetData>
  <sheetProtection algorithmName="SHA-512" hashValue="QbUSUMtvYFlRh5zLTejViaglMYo1BxqTJGnkXA6QfEgU3VXelwZDd3Yp6FNWJqzJLNiUkXWH7L+nihbt8AZUyA==" saltValue="nlTmyYH+YL0xS+uQkb5E9g==" spinCount="100000" sheet="1" objects="1" scenarios="1" selectLockedCells="1"/>
  <mergeCells count="2">
    <mergeCell ref="B2:K2"/>
    <mergeCell ref="K3:K7"/>
  </mergeCells>
  <conditionalFormatting sqref="C9:C10 C15:C16 C12:C13">
    <cfRule type="expression" dxfId="15" priority="7">
      <formula>IF(AND($C9&lt;&gt;"",$J9=0),1,0)</formula>
    </cfRule>
    <cfRule type="expression" dxfId="14" priority="8">
      <formula>IF($C9&lt;&gt;"",1,0)</formula>
    </cfRule>
    <cfRule type="expression" dxfId="13" priority="9">
      <formula>$J9=0</formula>
    </cfRule>
  </conditionalFormatting>
  <conditionalFormatting sqref="K3">
    <cfRule type="expression" dxfId="7" priority="2407">
      <formula>IF(COUNTA($C$9:$C$16)&lt;&gt;COUNTIF($J$9:$J$16,1),1,0)</formula>
    </cfRule>
    <cfRule type="expression" dxfId="6" priority="2408">
      <formula>IF(COUNTA($C$9:$C$16)=COUNTIF($J$9:$J$16,1),1,0)</formula>
    </cfRule>
  </conditionalFormatting>
  <conditionalFormatting sqref="C14">
    <cfRule type="expression" dxfId="5" priority="4">
      <formula>IF(AND($C14&lt;&gt;"",$J14=0),1,0)</formula>
    </cfRule>
    <cfRule type="expression" dxfId="4" priority="5">
      <formula>IF($C14&lt;&gt;"",1,0)</formula>
    </cfRule>
    <cfRule type="expression" dxfId="3" priority="6">
      <formula>$J14=0</formula>
    </cfRule>
  </conditionalFormatting>
  <conditionalFormatting sqref="C11">
    <cfRule type="expression" dxfId="2" priority="1">
      <formula>IF(AND($C11&lt;&gt;"",$J11=0),1,0)</formula>
    </cfRule>
    <cfRule type="expression" dxfId="1" priority="2">
      <formula>IF($C11&lt;&gt;"",1,0)</formula>
    </cfRule>
    <cfRule type="expression" dxfId="0" priority="3">
      <formula>$J11=0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3</xdr:row>
                    <xdr:rowOff>76200</xdr:rowOff>
                  </from>
                  <to>
                    <xdr:col>2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3</xdr:row>
                    <xdr:rowOff>76200</xdr:rowOff>
                  </from>
                  <to>
                    <xdr:col>4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3</xdr:row>
                    <xdr:rowOff>76200</xdr:rowOff>
                  </from>
                  <to>
                    <xdr:col>5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E9:E16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G9:G16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F9:F16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opLeftCell="B1" zoomScale="85" zoomScaleNormal="85" zoomScaleSheetLayoutView="85" workbookViewId="0">
      <pane ySplit="8" topLeftCell="A9" activePane="bottomLeft" state="frozen"/>
      <selection activeCell="C24" sqref="C24"/>
      <selection pane="bottomLeft" activeCell="C13" sqref="C13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75" width="8.83203125" style="3" hidden="1"/>
    <col min="16376" max="16379" width="0" style="3" hidden="1"/>
    <col min="16380" max="16384" width="8.83203125" style="3" hidden="1"/>
  </cols>
  <sheetData>
    <row r="1" spans="2:11" ht="15" x14ac:dyDescent="0.2">
      <c r="B1" s="24" t="str">
        <f>'Revision History'!$D$4</f>
        <v>REV. NO.1 (6/8/2022)</v>
      </c>
      <c r="C1" s="25"/>
      <c r="D1" s="25"/>
      <c r="E1" s="25"/>
      <c r="F1" s="25"/>
      <c r="G1" s="25"/>
      <c r="H1" s="25"/>
      <c r="I1" s="25"/>
      <c r="J1" s="25"/>
      <c r="K1" s="26" t="str">
        <f>'Revision History'!$J$4</f>
        <v>Scott Research Group (jkscottresearchgroup.com)</v>
      </c>
    </row>
    <row r="2" spans="2:11" ht="19" x14ac:dyDescent="0.2">
      <c r="B2" s="65" t="s">
        <v>34</v>
      </c>
      <c r="C2" s="66"/>
      <c r="D2" s="66"/>
      <c r="E2" s="66"/>
      <c r="F2" s="66"/>
      <c r="G2" s="66"/>
      <c r="H2" s="66"/>
      <c r="I2" s="66"/>
      <c r="J2" s="66"/>
      <c r="K2" s="67"/>
    </row>
    <row r="3" spans="2:11" ht="14.5" customHeight="1" x14ac:dyDescent="0.2">
      <c r="B3" s="13"/>
      <c r="C3" s="14"/>
      <c r="D3" s="15"/>
      <c r="E3" s="16"/>
      <c r="F3" s="16"/>
      <c r="G3" s="16"/>
      <c r="H3" s="16"/>
      <c r="I3" s="16"/>
      <c r="J3" s="16"/>
      <c r="K3" s="68" t="str">
        <f>IF(COUNTIF(Table110236[Test 3],1)=COUNTA(Table110236[Value]),"Ready","Not Ready")</f>
        <v>Ready</v>
      </c>
    </row>
    <row r="4" spans="2:11" ht="14.5" customHeight="1" x14ac:dyDescent="0.2">
      <c r="B4" s="17"/>
      <c r="C4" s="18"/>
      <c r="D4" s="52"/>
      <c r="E4" s="52"/>
      <c r="F4" s="52"/>
      <c r="G4" s="52"/>
      <c r="H4" s="19"/>
      <c r="I4" s="52"/>
      <c r="J4" s="52"/>
      <c r="K4" s="69"/>
    </row>
    <row r="5" spans="2:11" ht="14.5" customHeight="1" x14ac:dyDescent="0.2">
      <c r="B5" s="17"/>
      <c r="C5" s="18"/>
      <c r="D5" s="52"/>
      <c r="E5" s="52"/>
      <c r="F5" s="52"/>
      <c r="G5" s="52"/>
      <c r="H5" s="19"/>
      <c r="I5" s="52"/>
      <c r="J5" s="52"/>
      <c r="K5" s="69"/>
    </row>
    <row r="6" spans="2:11" ht="14.5" customHeight="1" x14ac:dyDescent="0.2">
      <c r="B6" s="17"/>
      <c r="C6" s="18"/>
      <c r="D6" s="52"/>
      <c r="E6" s="52"/>
      <c r="F6" s="52"/>
      <c r="G6" s="52"/>
      <c r="H6" s="19"/>
      <c r="I6" s="52"/>
      <c r="J6" s="52"/>
      <c r="K6" s="69"/>
    </row>
    <row r="7" spans="2:11" ht="14.5" customHeight="1" x14ac:dyDescent="0.2">
      <c r="B7" s="20"/>
      <c r="C7" s="21"/>
      <c r="D7" s="22"/>
      <c r="E7" s="22"/>
      <c r="F7" s="22"/>
      <c r="G7" s="22"/>
      <c r="H7" s="23"/>
      <c r="I7" s="22"/>
      <c r="J7" s="22"/>
      <c r="K7" s="70"/>
    </row>
    <row r="8" spans="2:11" ht="16" x14ac:dyDescent="0.2">
      <c r="B8" s="27" t="s">
        <v>0</v>
      </c>
      <c r="C8" s="28" t="s">
        <v>1</v>
      </c>
      <c r="D8" s="28" t="s">
        <v>2</v>
      </c>
      <c r="E8" s="28" t="s">
        <v>14</v>
      </c>
      <c r="F8" s="28" t="s">
        <v>67</v>
      </c>
      <c r="G8" s="29" t="s">
        <v>43</v>
      </c>
      <c r="H8" s="29" t="s">
        <v>72</v>
      </c>
      <c r="I8" s="28" t="s">
        <v>73</v>
      </c>
      <c r="J8" s="30" t="s">
        <v>82</v>
      </c>
      <c r="K8" s="30" t="s">
        <v>12</v>
      </c>
    </row>
    <row r="9" spans="2:11" ht="32" x14ac:dyDescent="0.2">
      <c r="B9" s="51" t="s">
        <v>113</v>
      </c>
      <c r="C9" s="31">
        <v>10</v>
      </c>
      <c r="D9" s="34" t="s">
        <v>101</v>
      </c>
      <c r="E9" s="50" t="s">
        <v>24</v>
      </c>
      <c r="F9" s="50" t="s">
        <v>7</v>
      </c>
      <c r="G9" s="2" t="s">
        <v>51</v>
      </c>
      <c r="H9" s="50">
        <v>1</v>
      </c>
      <c r="I9" s="50">
        <v>1</v>
      </c>
      <c r="J9" s="6">
        <v>1</v>
      </c>
      <c r="K9" s="5" t="s">
        <v>104</v>
      </c>
    </row>
    <row r="10" spans="2:11" ht="32" x14ac:dyDescent="0.2">
      <c r="B10" s="51" t="s">
        <v>114</v>
      </c>
      <c r="C10" s="31">
        <v>12</v>
      </c>
      <c r="D10" s="34" t="s">
        <v>101</v>
      </c>
      <c r="E10" s="50" t="s">
        <v>24</v>
      </c>
      <c r="F10" s="50" t="s">
        <v>7</v>
      </c>
      <c r="G10" s="2" t="s">
        <v>51</v>
      </c>
      <c r="H10" s="50">
        <v>1</v>
      </c>
      <c r="I10" s="50">
        <v>1</v>
      </c>
      <c r="J10" s="6">
        <v>1</v>
      </c>
      <c r="K10" s="5" t="s">
        <v>105</v>
      </c>
    </row>
    <row r="11" spans="2:11" ht="16" x14ac:dyDescent="0.2">
      <c r="B11" s="51" t="s">
        <v>119</v>
      </c>
      <c r="C11" s="31">
        <v>7.8300000000000002E-3</v>
      </c>
      <c r="D11" s="34" t="s">
        <v>22</v>
      </c>
      <c r="E11" s="50" t="s">
        <v>24</v>
      </c>
      <c r="F11" s="50" t="s">
        <v>7</v>
      </c>
      <c r="G11" s="2" t="s">
        <v>51</v>
      </c>
      <c r="H11" s="50">
        <v>1</v>
      </c>
      <c r="I11" s="50">
        <v>1</v>
      </c>
      <c r="J11" s="6">
        <v>1</v>
      </c>
      <c r="K11" s="5" t="s">
        <v>108</v>
      </c>
    </row>
    <row r="12" spans="2:11" ht="16" x14ac:dyDescent="0.2">
      <c r="B12" s="51" t="s">
        <v>120</v>
      </c>
      <c r="C12" s="31">
        <v>502.32</v>
      </c>
      <c r="D12" s="34" t="s">
        <v>112</v>
      </c>
      <c r="E12" s="50" t="s">
        <v>24</v>
      </c>
      <c r="F12" s="50" t="s">
        <v>7</v>
      </c>
      <c r="G12" s="2" t="s">
        <v>51</v>
      </c>
      <c r="H12" s="50">
        <v>1</v>
      </c>
      <c r="I12" s="50">
        <v>1</v>
      </c>
      <c r="J12" s="6">
        <v>1</v>
      </c>
      <c r="K12" s="5" t="s">
        <v>109</v>
      </c>
    </row>
    <row r="13" spans="2:11" ht="16" x14ac:dyDescent="0.2">
      <c r="B13" s="8" t="s">
        <v>86</v>
      </c>
      <c r="C13" s="32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87</v>
      </c>
    </row>
  </sheetData>
  <sheetProtection algorithmName="SHA-512" hashValue="4Kskonubd/AngQsAbEAkj8DIMBpdqhyuBGnEIUsfqJYcIaRvDQZYraYyqoTPrp/uyeQTsE4bN+HSJowiD8T1wg==" saltValue="OgSZkK0Jli+SNBeach6ocA==" spinCount="100000" sheet="1" objects="1" scenarios="1" selectLockedCells="1"/>
  <mergeCells count="2">
    <mergeCell ref="B2:K2"/>
    <mergeCell ref="K3:K7"/>
  </mergeCells>
  <conditionalFormatting sqref="C9:C13">
    <cfRule type="expression" dxfId="12" priority="1">
      <formula>IF(AND($C9&lt;&gt;"",$J9=0),1,0)</formula>
    </cfRule>
    <cfRule type="expression" dxfId="11" priority="2">
      <formula>IF($C9&lt;&gt;"",1,0)</formula>
    </cfRule>
    <cfRule type="expression" dxfId="10" priority="3">
      <formula>$J9=0</formula>
    </cfRule>
  </conditionalFormatting>
  <conditionalFormatting sqref="K3">
    <cfRule type="expression" dxfId="9" priority="2291">
      <formula>IF(COUNTA($C$9:$C$13)&lt;&gt;COUNTIF($J$9:$J$13,1),1,0)</formula>
    </cfRule>
    <cfRule type="expression" dxfId="8" priority="2292">
      <formula>IF(COUNTA($C$9:$C$13)=COUNTIF($J$9:$J$13,1),1,0)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3</xdr:row>
                    <xdr:rowOff>76200</xdr:rowOff>
                  </from>
                  <to>
                    <xdr:col>2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3</xdr:row>
                    <xdr:rowOff>76200</xdr:rowOff>
                  </from>
                  <to>
                    <xdr:col>3</xdr:col>
                    <xdr:colOff>1524000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3</xdr:row>
                    <xdr:rowOff>76200</xdr:rowOff>
                  </from>
                  <to>
                    <xdr:col>5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F9:F13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G9:G13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E9:E13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C7" sqref="C7"/>
      <selection pane="bottomLeft" activeCell="K17" sqref="K17"/>
    </sheetView>
  </sheetViews>
  <sheetFormatPr baseColWidth="10" defaultColWidth="0" defaultRowHeight="0" customHeight="1" zeroHeight="1" x14ac:dyDescent="0.2"/>
  <cols>
    <col min="1" max="2" width="8.83203125" style="60" customWidth="1"/>
    <col min="3" max="3" width="13.1640625" style="60" customWidth="1"/>
    <col min="4" max="4" width="13.5" style="60" customWidth="1"/>
    <col min="5" max="6" width="8.83203125" style="60" customWidth="1"/>
    <col min="7" max="7" width="14.83203125" style="60" customWidth="1"/>
    <col min="8" max="8" width="11.6640625" style="60" customWidth="1"/>
    <col min="9" max="9" width="10.33203125" style="60" customWidth="1"/>
    <col min="10" max="10" width="5.6640625" style="60" customWidth="1"/>
    <col min="11" max="11" width="10.5" style="60" customWidth="1"/>
    <col min="12" max="17" width="8.83203125" style="60" customWidth="1"/>
    <col min="18" max="16384" width="8.83203125" style="60" hidden="1"/>
  </cols>
  <sheetData>
    <row r="1" spans="1:17" ht="15" x14ac:dyDescent="0.2">
      <c r="A1" s="57" t="str">
        <f>'[3]Revision History'!D4</f>
        <v>REV. NO.1 (6/8/2022)</v>
      </c>
      <c r="B1" s="58"/>
      <c r="C1" s="58"/>
      <c r="D1" s="58"/>
      <c r="E1" s="58"/>
      <c r="F1" s="58"/>
      <c r="G1" s="58"/>
      <c r="H1" s="58"/>
      <c r="I1" s="59"/>
      <c r="J1" s="59"/>
      <c r="K1" s="59"/>
      <c r="L1" s="59"/>
      <c r="M1" s="59"/>
      <c r="N1" s="59"/>
      <c r="O1" s="59"/>
      <c r="P1" s="59"/>
      <c r="Q1" s="59" t="str">
        <f>'Revision History'!$J$4</f>
        <v>Scott Research Group (jkscottresearchgroup.com)</v>
      </c>
    </row>
    <row r="2" spans="1:17" ht="15" x14ac:dyDescent="0.2">
      <c r="A2" s="71" t="s">
        <v>135</v>
      </c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</row>
    <row r="3" spans="1:17" ht="15" x14ac:dyDescent="0.2">
      <c r="A3" s="61"/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</row>
    <row r="4" spans="1:17" ht="15" x14ac:dyDescent="0.2">
      <c r="A4" s="61"/>
      <c r="B4" s="62" t="s">
        <v>136</v>
      </c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</row>
    <row r="5" spans="1:17" ht="15" x14ac:dyDescent="0.2">
      <c r="A5" s="61"/>
      <c r="B5" s="63"/>
      <c r="C5" s="62" t="s">
        <v>137</v>
      </c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</row>
    <row r="6" spans="1:17" ht="15" x14ac:dyDescent="0.2">
      <c r="A6" s="61"/>
      <c r="B6" s="62"/>
      <c r="C6" s="62" t="s">
        <v>138</v>
      </c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</row>
    <row r="7" spans="1:17" ht="15" x14ac:dyDescent="0.2">
      <c r="A7" s="61"/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</row>
    <row r="8" spans="1:17" ht="15" x14ac:dyDescent="0.2">
      <c r="A8" s="61"/>
      <c r="B8" s="62"/>
      <c r="C8" s="62"/>
      <c r="D8" s="62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  <c r="P8" s="62"/>
      <c r="Q8" s="62"/>
    </row>
    <row r="9" spans="1:17" ht="15" x14ac:dyDescent="0.2">
      <c r="A9" s="61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</row>
    <row r="10" spans="1:17" ht="15" x14ac:dyDescent="0.2">
      <c r="A10" s="61"/>
      <c r="B10" s="62"/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</row>
    <row r="11" spans="1:17" ht="15" x14ac:dyDescent="0.2">
      <c r="A11" s="61"/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</row>
    <row r="12" spans="1:17" ht="15" x14ac:dyDescent="0.2">
      <c r="A12" s="61"/>
      <c r="B12" s="62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</row>
    <row r="13" spans="1:17" ht="15" x14ac:dyDescent="0.2">
      <c r="A13" s="61"/>
      <c r="B13" s="62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</row>
    <row r="14" spans="1:17" ht="15" x14ac:dyDescent="0.2">
      <c r="A14" s="61"/>
      <c r="B14" s="62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</row>
    <row r="15" spans="1:17" ht="15" x14ac:dyDescent="0.2">
      <c r="A15" s="61"/>
      <c r="B15" s="62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</row>
    <row r="16" spans="1:17" ht="15" x14ac:dyDescent="0.2">
      <c r="A16" s="61"/>
      <c r="B16" s="62"/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62"/>
      <c r="Q16" s="62"/>
    </row>
    <row r="17" spans="1:17" ht="15" x14ac:dyDescent="0.2">
      <c r="A17" s="61"/>
      <c r="B17" s="62"/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2"/>
    </row>
    <row r="18" spans="1:17" ht="15" x14ac:dyDescent="0.2">
      <c r="A18" s="61"/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</row>
    <row r="19" spans="1:17" ht="15" x14ac:dyDescent="0.2">
      <c r="A19" s="61"/>
      <c r="B19" s="62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</row>
    <row r="20" spans="1:17" ht="15" x14ac:dyDescent="0.2">
      <c r="A20" s="61"/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</row>
    <row r="21" spans="1:17" ht="15" x14ac:dyDescent="0.2">
      <c r="A21" s="61"/>
      <c r="B21" s="62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</row>
    <row r="22" spans="1:17" ht="15" x14ac:dyDescent="0.2">
      <c r="A22" s="61"/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</row>
    <row r="23" spans="1:17" ht="15" x14ac:dyDescent="0.2">
      <c r="A23" s="61"/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</row>
    <row r="24" spans="1:17" ht="15" x14ac:dyDescent="0.2">
      <c r="A24" s="61"/>
      <c r="B24" s="62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</row>
    <row r="25" spans="1:17" ht="15" x14ac:dyDescent="0.2">
      <c r="A25" s="61"/>
      <c r="B25" s="62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</row>
    <row r="26" spans="1:17" ht="15" x14ac:dyDescent="0.2">
      <c r="A26" s="61"/>
      <c r="B26" s="62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</row>
    <row r="27" spans="1:17" ht="15" x14ac:dyDescent="0.2">
      <c r="A27" s="61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</row>
    <row r="28" spans="1:17" ht="15" x14ac:dyDescent="0.2">
      <c r="A28" s="61"/>
      <c r="B28" s="62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</row>
    <row r="29" spans="1:17" ht="15" x14ac:dyDescent="0.2">
      <c r="A29" s="61"/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</row>
    <row r="30" spans="1:17" ht="15" x14ac:dyDescent="0.2">
      <c r="A30" s="61"/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</row>
    <row r="31" spans="1:17" ht="15" x14ac:dyDescent="0.2">
      <c r="A31" s="61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</row>
    <row r="32" spans="1:17" ht="15" x14ac:dyDescent="0.2">
      <c r="A32" s="61"/>
      <c r="B32" s="63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</row>
    <row r="33" spans="1:17" ht="15" x14ac:dyDescent="0.2">
      <c r="A33" s="61"/>
      <c r="B33" s="62"/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</row>
    <row r="34" spans="1:17" ht="15" x14ac:dyDescent="0.2">
      <c r="A34" s="61"/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97</v>
      </c>
    </row>
    <row r="2" spans="1:1" x14ac:dyDescent="0.2">
      <c r="A2" t="s">
        <v>95</v>
      </c>
    </row>
    <row r="3" spans="1:1" x14ac:dyDescent="0.2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23" x14ac:dyDescent="0.2">
      <c r="A1" t="s">
        <v>106</v>
      </c>
      <c r="B1" t="s">
        <v>139</v>
      </c>
      <c r="C1" t="s">
        <v>86</v>
      </c>
      <c r="D1" t="s">
        <v>130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141</v>
      </c>
      <c r="L1" t="s">
        <v>143</v>
      </c>
      <c r="M1" t="s">
        <v>142</v>
      </c>
      <c r="N1" t="s">
        <v>144</v>
      </c>
      <c r="O1" t="s">
        <v>147</v>
      </c>
      <c r="P1" t="s">
        <v>145</v>
      </c>
      <c r="Q1" t="s">
        <v>118</v>
      </c>
      <c r="R1" t="s">
        <v>86</v>
      </c>
      <c r="S1" t="s">
        <v>113</v>
      </c>
      <c r="T1" t="s">
        <v>114</v>
      </c>
      <c r="U1" t="s">
        <v>119</v>
      </c>
      <c r="V1" t="s">
        <v>120</v>
      </c>
      <c r="W1" t="s">
        <v>86</v>
      </c>
    </row>
    <row r="2" spans="1:23" x14ac:dyDescent="0.2">
      <c r="A2">
        <v>5</v>
      </c>
      <c r="B2">
        <v>1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3.1</v>
      </c>
      <c r="L2">
        <v>3.0856051519999999</v>
      </c>
      <c r="M2">
        <v>5.0699999999999997E-6</v>
      </c>
      <c r="N2">
        <v>0.4</v>
      </c>
      <c r="O2">
        <v>0.47649581499999999</v>
      </c>
      <c r="P2">
        <v>5.0699999999999997E-6</v>
      </c>
      <c r="Q2">
        <v>318.14999999999998</v>
      </c>
      <c r="S2">
        <v>10</v>
      </c>
      <c r="T2">
        <v>12</v>
      </c>
      <c r="U2">
        <v>7.8300000000000002E-3</v>
      </c>
      <c r="V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3" x14ac:dyDescent="0.2">
      <c r="A1" t="s">
        <v>106</v>
      </c>
      <c r="B1" t="s">
        <v>139</v>
      </c>
      <c r="C1" t="s">
        <v>86</v>
      </c>
      <c r="D1" t="s">
        <v>130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141</v>
      </c>
      <c r="L1" t="s">
        <v>143</v>
      </c>
      <c r="M1" t="s">
        <v>142</v>
      </c>
      <c r="N1" t="s">
        <v>144</v>
      </c>
      <c r="O1" t="s">
        <v>147</v>
      </c>
      <c r="P1" t="s">
        <v>145</v>
      </c>
      <c r="Q1" t="s">
        <v>118</v>
      </c>
      <c r="R1" t="s">
        <v>86</v>
      </c>
      <c r="S1" t="s">
        <v>113</v>
      </c>
      <c r="T1" t="s">
        <v>114</v>
      </c>
      <c r="U1" t="s">
        <v>119</v>
      </c>
      <c r="V1" t="s">
        <v>120</v>
      </c>
      <c r="W1" t="s">
        <v>86</v>
      </c>
    </row>
    <row r="2" spans="1:23" x14ac:dyDescent="0.2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2022-08-28T01:02:38Z</dcterms:modified>
</cp:coreProperties>
</file>