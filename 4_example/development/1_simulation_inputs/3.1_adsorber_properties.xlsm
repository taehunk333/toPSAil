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FEE9316A-E458-1648-9E92-62B1FDCEEE0E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Initialization!$B$8:$K$8</definedName>
    <definedName name="_xlnm._FilterDatabase" localSheetId="6" hidden="1">'Physical Properties'!$B$8:$K$8</definedName>
    <definedName name="_xlnm.Print_Area" localSheetId="5">'Adsorber Design'!$B$1:$K$16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43" l="1" a="1"/>
  <c r="J11" i="43" s="1"/>
  <c r="J14" i="43" a="1"/>
  <c r="J14" i="43" s="1"/>
  <c r="J13" i="43" l="1" a="1"/>
  <c r="J13" i="43" s="1"/>
  <c r="J10" i="43" a="1"/>
  <c r="J10" i="43" s="1"/>
  <c r="I10" i="22" l="1"/>
  <c r="I9" i="22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<sst xmlns="http://schemas.openxmlformats.org/spreadsheetml/2006/main" count="338" uniqueCount="152">
  <si>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</si>
  <si>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</si>
  <si>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</si>
  <si>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</si>
  <si>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</si>
  <si>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</si>
  <si>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</si>
  <si>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</si>
  <si>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</si>
  <si>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</si>
  <si>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</si>
  <si>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</si>
  <si>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</si>
  <si>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</si>
  <si>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</si>
  <si>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</si>
  <si>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</si>
  <si>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</si>
  <si>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</si>
  <si>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</si>
  <si>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</si>
  <si>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</si>
  <si>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</si>
  <si>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</si>
  <si>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</si>
  <si>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</si>
  <si>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</si>
  <si>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</si>
  <si>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</si>
  <si>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</si>
  <si>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</si>
  <si>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</si>
  <si>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</si>
  <si>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</si>
  <si>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</si>
  <si>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</si>
  <si>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</si>
  <si>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</si>
  <si>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</si>
  <si>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</si>
  <si>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</si>
  <si>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</si>
  <si>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</si>
  <si>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</si>
  <si>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</si>
  <si>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</si>
  <si>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</si>
  <si>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</si>
  <si>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</si>
  <si>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</si>
  <si>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</si>
  <si>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</si>
  <si>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</si>
  <si>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</si>
  <si>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</si>
  <si>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</si>
  <si>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</si>
  <si>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</si>
  <si>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</si>
  <si>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</si>
  <si>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</si>
  <si>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</si>
  <si>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</si>
  <si>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</si>
  <si>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</si>
  <si>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</si>
  <si>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</si>
  <si>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</si>
  <si>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</si>
  <si>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</si>
  <si>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</si>
  <si>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</si>
  <si>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</si>
  <si>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</si>
  <si>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</si>
  <si>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</si>
  <si>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</si>
  <si>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</si>
  <si>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</si>
  <si>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</si>
  <si>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</si>
  <si>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</si>
  <si>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</si>
  <si>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</si>
  <si>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</si>
  <si>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</si>
  <si>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</si>
  <si>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</si>
  <si>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</si>
  <si>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</si>
  <si>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</si>
  <si>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</si>
  <si>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</si>
  <si>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</si>
  <si>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</si>
  <si>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</si>
  <si>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</si>
  <si>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</si>
  <si>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</si>
  <si>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</si>
  <si>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</si>
  <si>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</si>
  <si>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</si>
  <si>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</si>
  <si>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</si>
  <si>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</si>
  <si>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</si>
  <si>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</si>
  <si>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</si>
  <si>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</si>
  <si>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</si>
  <si>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</si>
  <si>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</si>
  <si>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</si>
  <si>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</si>
  <si>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</si>
  <si>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</si>
  <si>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</si>
  <si>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</si>
  <si>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</si>
  <si>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</si>
  <si>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</si>
  <si>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</si>
  <si>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</si>
  <si>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</si>
  <si>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</si>
  <si>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</si>
  <si>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</si>
  <si>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</si>
  <si>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</si>
  <si>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</si>
  <si>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</si>
  <si>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REV. NO.1 (6/8/2022)</t>
  </si>
  <si>
    <t>Initial development of the "cycle_organization.xlsm" sheet.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</si>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</sst>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3" fillId="5" borderId="0" xfId="1" applyFont="1" applyFill="1" applyAlignment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6" borderId="6" xfId="0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C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>
        <row r="4">
          <cell r="D4" t="str">
            <v>REV. NO.1 (6/8/2022)</v>
          </cell>
        </row>
      </sheetData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102" dataDxfId="100" headerRowBorderDxfId="101" tableBorderDxfId="99" totalsRowBorderDxfId="98">
  <autoFilter ref="B8:K11" xr:uid="{B089C5C3-2CCE-4800-96CA-2131BB6E3E4F}"/>
  <tableColumns count="10">
    <tableColumn id="1" xr3:uid="{DF90FBAE-2FE2-4EF6-B9EF-275B3796AEEB}" name="Variable" dataDxfId="97"/>
    <tableColumn id="4" xr3:uid="{0389FCE2-DF59-447F-B68F-108D6445084D}" name="Value" dataDxfId="96"/>
    <tableColumn id="5" xr3:uid="{F4EFCD46-6F61-4144-97AB-37E6D30AE6D4}" name="Unit" dataDxfId="95"/>
    <tableColumn id="6" xr3:uid="{13EC0408-58C5-4FDD-B561-294E8738DC68}" name="Comparisons" dataDxfId="94"/>
    <tableColumn id="7" xr3:uid="{BF1B3BF0-6191-44CC-AF6B-7F41972DEF86}" name="Variable Type" dataDxfId="93"/>
    <tableColumn id="8" xr3:uid="{38416F33-2817-41C6-8F60-9C8868DFD40F}" name="Dependency" dataDxfId="92"/>
    <tableColumn id="12" xr3:uid="{212A5270-D9C2-477A-8DBC-F77DAC062C67}" name="Test 1" dataDxfId="91"/>
    <tableColumn id="10" xr3:uid="{06FFA778-D744-477C-927B-1BAA2F4DD149}" name="Test 2" dataDxfId="90"/>
    <tableColumn id="2" xr3:uid="{C0032BA4-2111-4FE1-A6F7-8A96150C92AF}" name="Test 3" dataDxfId="89"/>
    <tableColumn id="9" xr3:uid="{87AA86BA-9226-4FD0-BE95-3F0C0D4637BF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87" dataDxfId="85" headerRowBorderDxfId="86" tableBorderDxfId="84" totalsRowBorderDxfId="83">
  <autoFilter ref="B8:K12" xr:uid="{B089C5C3-2CCE-4800-96CA-2131BB6E3E4F}"/>
  <tableColumns count="10">
    <tableColumn id="1" xr3:uid="{7E976C6B-50FF-4DF8-968D-BD2213457D8E}" name="Variable" dataDxfId="82"/>
    <tableColumn id="4" xr3:uid="{36EE36A9-EB3A-4D9F-87A6-29402D8F2BBF}" name="Value" dataDxfId="81"/>
    <tableColumn id="5" xr3:uid="{0BEBFFE1-D011-4506-B2BE-A23189C3171B}" name="Unit" dataDxfId="80"/>
    <tableColumn id="6" xr3:uid="{FD2D7E65-7CC1-4CB0-AC4F-8241F01D8137}" name="Comparisons" dataDxfId="79"/>
    <tableColumn id="7" xr3:uid="{1CAE321A-54EE-49C2-80B2-6E9ED68096B7}" name="Variable Type" dataDxfId="78"/>
    <tableColumn id="8" xr3:uid="{524D804C-F242-4918-942F-25C0E3FE4293}" name="Dependency" dataDxfId="77"/>
    <tableColumn id="12" xr3:uid="{246C8080-AD0A-42DE-9683-C493E6DBCF45}" name="Test 1" dataDxfId="76"/>
    <tableColumn id="10" xr3:uid="{EC07D584-71B2-4B20-A730-90845F6A7618}" name="Test 2" dataDxfId="75"/>
    <tableColumn id="2" xr3:uid="{BC4BD7F4-9059-4A16-AED5-A5500F840F0A}" name="Test 3" dataDxfId="74"/>
    <tableColumn id="9" xr3:uid="{E043131C-B524-4DE4-8666-7F2CB0974117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72" dataDxfId="70" headerRowBorderDxfId="71" tableBorderDxfId="69" totalsRowBorderDxfId="68">
  <autoFilter ref="B8:K11" xr:uid="{B089C5C3-2CCE-4800-96CA-2131BB6E3E4F}"/>
  <tableColumns count="10">
    <tableColumn id="1" xr3:uid="{9F0173FD-162A-43A8-B238-CB3C186D557E}" name="Variable" dataDxfId="67"/>
    <tableColumn id="4" xr3:uid="{93B43561-581D-43D1-9628-DBD5BACDCA75}" name="Value" dataDxfId="66"/>
    <tableColumn id="5" xr3:uid="{93068CD2-A433-4BAE-BA07-8B5B262A8175}" name="Unit" dataDxfId="65"/>
    <tableColumn id="6" xr3:uid="{C71F0136-1C7B-45D7-BD4F-FF50A9F828B9}" name="Comparisons" dataDxfId="64"/>
    <tableColumn id="7" xr3:uid="{094945F8-2D9D-4417-949D-B54D471BDD33}" name="Variable Type" dataDxfId="63"/>
    <tableColumn id="8" xr3:uid="{335D4B33-363E-4AC8-90F8-65784056E1CD}" name="Dependency" dataDxfId="62"/>
    <tableColumn id="12" xr3:uid="{A8ADB954-9430-4B28-AA5F-F57F0739046D}" name="Test 1" dataDxfId="61"/>
    <tableColumn id="10" xr3:uid="{35B1EC5E-AC9B-43DE-A22B-C20F1350F075}" name="Test 2" dataDxfId="60"/>
    <tableColumn id="2" xr3:uid="{72D4D093-B485-49CC-9E25-6B4F0CBBAF39}" name="Test 3" dataDxfId="59"/>
    <tableColumn id="9" xr3:uid="{39D8E831-0873-4135-8194-32EC426F366B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6" totalsRowShown="0" headerRowDxfId="57" dataDxfId="55" headerRowBorderDxfId="56" tableBorderDxfId="54" totalsRowBorderDxfId="53">
  <autoFilter ref="B8:K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42" dataDxfId="40" headerRowBorderDxfId="41" tableBorderDxfId="39" totalsRowBorderDxfId="38">
  <autoFilter ref="B8:K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0" sqref="E10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53" t="s">
        <v>132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64" t="s">
        <v>41</v>
      </c>
      <c r="E5" s="64"/>
      <c r="F5" s="64"/>
      <c r="G5" s="64"/>
      <c r="H5" s="64"/>
      <c r="I5" s="64"/>
      <c r="J5" s="64"/>
    </row>
    <row r="6" spans="4:10" ht="20" x14ac:dyDescent="0.2">
      <c r="D6" s="49" t="s">
        <v>35</v>
      </c>
      <c r="E6" s="49" t="s">
        <v>131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40" x14ac:dyDescent="0.2">
      <c r="D7" s="42">
        <v>1</v>
      </c>
      <c r="E7" s="54" t="s">
        <v>133</v>
      </c>
      <c r="F7" s="55">
        <v>44720</v>
      </c>
      <c r="G7" s="56" t="s">
        <v>42</v>
      </c>
      <c r="H7" s="42"/>
      <c r="I7" s="42"/>
      <c r="J7" s="43"/>
    </row>
    <row r="8" spans="4:10" ht="19" x14ac:dyDescent="0.2">
      <c r="D8" s="42">
        <v>2</v>
      </c>
      <c r="E8" s="43"/>
      <c r="F8" s="44"/>
      <c r="G8" s="42"/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IF(COUNTIF(Table1102[Test 3],1)=COUNTA(Table1102[Value]),"Ready","Not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9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9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0" x14ac:dyDescent="0.2">
      <c r="B9" s="4" t="s">
        <v>106</v>
      </c>
      <c r="C9" s="31">
        <v>5</v>
      </c>
      <c r="D9" s="2" t="s">
        <v>3</v>
      </c>
      <c r="E9" s="47" t="s">
        <v>31</v>
      </c>
      <c r="F9" s="48" t="s">
        <v>91</v>
      </c>
      <c r="G9" s="2" t="s">
        <v>45</v>
      </c>
      <c r="H9" s="47">
        <v>1</v>
      </c>
      <c r="I9" s="47">
        <f>[1]Initialization!$C$10</f>
        <v>2</v>
      </c>
      <c r="J9" s="6">
        <v>1</v>
      </c>
      <c r="K9" s="5" t="s">
        <v>115</v>
      </c>
    </row>
    <row r="10" spans="2:11" ht="160" x14ac:dyDescent="0.2">
      <c r="B10" s="4" t="s">
        <v>138</v>
      </c>
      <c r="C10" s="31">
        <v>1</v>
      </c>
      <c r="D10" s="2" t="s">
        <v>3</v>
      </c>
      <c r="E10" s="50" t="s">
        <v>31</v>
      </c>
      <c r="F10" s="50" t="s">
        <v>91</v>
      </c>
      <c r="G10" s="2" t="s">
        <v>45</v>
      </c>
      <c r="H10" s="50"/>
      <c r="I10" s="50">
        <f>[1]Initialization!$C$10</f>
        <v>2</v>
      </c>
      <c r="J10" s="6">
        <v>1</v>
      </c>
      <c r="K10" s="5" t="s">
        <v>115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cu6/5U6ZQxhJxgnHdsHI6Frcx3QK0PkC4OPVVUd7yDR7OwcLz5xn2rIBR+g5da3cnyt7LQ10C5HY5swplMwnAw==" saltValue="djgm0WKdt7IfAag1uqgRJA==" spinCount="100000" sheet="1" objects="1" scenarios="1" selectLockedCells="1"/>
  <mergeCells count="2">
    <mergeCell ref="B2:K2"/>
    <mergeCell ref="K3:K7"/>
  </mergeCells>
  <conditionalFormatting sqref="C11">
    <cfRule type="expression" dxfId="27" priority="16">
      <formula>IF(AND($C11&lt;&gt;"",$J11=0),1,0)</formula>
    </cfRule>
    <cfRule type="expression" dxfId="26" priority="17">
      <formula>IF($C11&lt;&gt;"",1,0)</formula>
    </cfRule>
    <cfRule type="expression" dxfId="25" priority="18">
      <formula>$J11=0</formula>
    </cfRule>
  </conditionalFormatting>
  <conditionalFormatting sqref="C9:C10">
    <cfRule type="expression" dxfId="24" priority="13">
      <formula>IF(AND($C9&lt;&gt;"",$J9=0),1,0)</formula>
    </cfRule>
    <cfRule type="expression" dxfId="23" priority="14">
      <formula>IF($C9&lt;&gt;"",1,0)</formula>
    </cfRule>
    <cfRule type="expression" dxfId="22" priority="15">
      <formula>$J9=0</formula>
    </cfRule>
  </conditionalFormatting>
  <conditionalFormatting sqref="K3">
    <cfRule type="expression" dxfId="21" priority="2377">
      <formula>IF(COUNTA($C$9:$C$11)&lt;&gt;COUNTIF($J$9:$J$11,1),1,0)</formula>
    </cfRule>
    <cfRule type="expression" dxfId="20" priority="2378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C9:C10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IF(COUNTIF(Table110234[Test 3],1)=COUNTA(Table110234[Value]),"Ready","Not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130</v>
      </c>
      <c r="C9" s="31">
        <v>76.2</v>
      </c>
      <c r="D9" s="2" t="s">
        <v>75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88</v>
      </c>
    </row>
    <row r="10" spans="2:11" ht="32" x14ac:dyDescent="0.2">
      <c r="B10" s="4" t="s">
        <v>102</v>
      </c>
      <c r="C10" s="31">
        <v>1.143</v>
      </c>
      <c r="D10" s="2" t="s">
        <v>75</v>
      </c>
      <c r="E10" s="50" t="s">
        <v>16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68</v>
      </c>
    </row>
    <row r="11" spans="2:11" ht="32" x14ac:dyDescent="0.2">
      <c r="B11" s="4" t="s">
        <v>103</v>
      </c>
      <c r="C11" s="31">
        <v>1.643</v>
      </c>
      <c r="D11" s="2" t="s">
        <v>75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69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OQHlDPFqlz6M1XVWNMK6R+l2eku20get9xWx52MN6dQW6g47xUzT+Tg5l49iKCJvypdyaFK64rCLY+hVbi10ew==" saltValue="bUleT9EFVcjIhttLjvQ0qQ==" spinCount="100000" sheet="1" objects="1" scenarios="1" selectLockedCells="1"/>
  <mergeCells count="2">
    <mergeCell ref="B2:K2"/>
    <mergeCell ref="K3:K7"/>
  </mergeCells>
  <conditionalFormatting sqref="C9:C12">
    <cfRule type="expression" dxfId="19" priority="10">
      <formula>IF(AND($C9&lt;&gt;"",$J9=0),1,0)</formula>
    </cfRule>
    <cfRule type="expression" dxfId="18" priority="11">
      <formula>IF($C9&lt;&gt;"",1,0)</formula>
    </cfRule>
    <cfRule type="expression" dxfId="17" priority="12">
      <formula>$J9=0</formula>
    </cfRule>
  </conditionalFormatting>
  <conditionalFormatting sqref="K3">
    <cfRule type="expression" dxfId="16" priority="2375">
      <formula>IF(COUNTA($C$9:$C$12)&lt;&gt;COUNTIF($J$9:$J$12,1),1,0)</formula>
    </cfRule>
    <cfRule type="expression" dxfId="15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IF(COUNTIF(Table110235[Test 3],1)=COUNTA(Table110235[Value]),"Ready","Not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70</v>
      </c>
      <c r="C9" s="31">
        <v>0.48</v>
      </c>
      <c r="D9" s="2" t="s">
        <v>3</v>
      </c>
      <c r="E9" s="50" t="s">
        <v>16</v>
      </c>
      <c r="F9" s="50" t="s">
        <v>7</v>
      </c>
      <c r="G9" s="2" t="s">
        <v>32</v>
      </c>
      <c r="H9" s="50">
        <v>1</v>
      </c>
      <c r="I9" s="50">
        <v>1</v>
      </c>
      <c r="J9" s="6">
        <v>1</v>
      </c>
      <c r="K9" s="5" t="s">
        <v>71</v>
      </c>
    </row>
    <row r="10" spans="2:11" ht="16" x14ac:dyDescent="0.2">
      <c r="B10" s="4" t="s">
        <v>33</v>
      </c>
      <c r="C10" s="31">
        <v>0.25240000000000001</v>
      </c>
      <c r="D10" s="2" t="s">
        <v>23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76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sK62HB8jXatZn23HGHSmGqXtA8UGcWyeJ4h53tTuN0ftppj/oiobVs/rQREoK2hlB8+vx0w7VMB3W5nnEN6yYg==" saltValue="vcWWNEYNehh6Qz1ePdCIqQ==" spinCount="100000" sheet="1" objects="1" scenarios="1" selectLockedCells="1"/>
  <mergeCells count="2">
    <mergeCell ref="B2:K2"/>
    <mergeCell ref="K3:K7"/>
  </mergeCells>
  <conditionalFormatting sqref="C9:C11">
    <cfRule type="expression" dxfId="14" priority="1">
      <formula>IF(AND($C9&lt;&gt;"",$J9=0),1,0)</formula>
    </cfRule>
    <cfRule type="expression" dxfId="13" priority="2">
      <formula>IF($C9&lt;&gt;"",1,0)</formula>
    </cfRule>
    <cfRule type="expression" dxfId="12" priority="3">
      <formula>$J9=0</formula>
    </cfRule>
  </conditionalFormatting>
  <conditionalFormatting sqref="K3">
    <cfRule type="expression" dxfId="11" priority="2270">
      <formula>IF(COUNTA($C$9:$C$11)&lt;&gt;COUNTIF($J$9:$J$11,1),1,0)</formula>
    </cfRule>
    <cfRule type="expression" dxfId="10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topLeftCell="B1" zoomScaleNormal="85" zoomScaleSheetLayoutView="85" workbookViewId="0">
      <pane ySplit="8" topLeftCell="A9" activePane="bottomLeft" state="frozen"/>
      <selection activeCell="C24" sqref="C24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IF(COUNTIF(Table1102367[Test 3],1)=COUNTA(Table1102367[Value]),"Ready","Not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48" x14ac:dyDescent="0.2">
      <c r="B9" s="51" t="s">
        <v>146</v>
      </c>
      <c r="C9" s="31">
        <v>3.0856051519999999</v>
      </c>
      <c r="D9" s="2" t="s">
        <v>20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140</v>
      </c>
    </row>
    <row r="10" spans="2:11" ht="48" x14ac:dyDescent="0.2">
      <c r="B10" s="51" t="s">
        <v>148</v>
      </c>
      <c r="C10" s="31">
        <v>3.1</v>
      </c>
      <c r="D10" s="2" t="s">
        <v>20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73" cm="1">
        <f t="array" ref="J10">IF([3]Initialization!$C$15=0,0,IF([3]Initialization!$C$15=1,1,Table1102367[]))</f>
        <v>1</v>
      </c>
      <c r="K10" s="5" t="s">
        <v>145</v>
      </c>
    </row>
    <row r="11" spans="2:11" ht="48" x14ac:dyDescent="0.2">
      <c r="B11" s="4" t="s">
        <v>151</v>
      </c>
      <c r="C11" s="31">
        <v>3.0856051519999999</v>
      </c>
      <c r="D11" s="2" t="s">
        <v>20</v>
      </c>
      <c r="E11" s="50" t="s">
        <v>16</v>
      </c>
      <c r="F11" s="50" t="s">
        <v>7</v>
      </c>
      <c r="G11" s="2" t="s">
        <v>44</v>
      </c>
      <c r="H11" s="50">
        <v>1</v>
      </c>
      <c r="I11" s="50">
        <v>1</v>
      </c>
      <c r="J11" s="73" cm="1">
        <f t="array" ref="J11">IF([3]Initialization!$C$15=0,0,IF([3]Initialization!$C$15=1,1,Table1102367[]))</f>
        <v>1</v>
      </c>
      <c r="K11" s="5" t="s">
        <v>142</v>
      </c>
    </row>
    <row r="12" spans="2:11" ht="64" x14ac:dyDescent="0.2">
      <c r="B12" s="51" t="s">
        <v>147</v>
      </c>
      <c r="C12" s="31">
        <v>0.47649581499999999</v>
      </c>
      <c r="D12" s="2" t="s">
        <v>20</v>
      </c>
      <c r="E12" s="50" t="s">
        <v>16</v>
      </c>
      <c r="F12" s="50" t="s">
        <v>7</v>
      </c>
      <c r="G12" s="2" t="s">
        <v>44</v>
      </c>
      <c r="H12" s="50">
        <v>1</v>
      </c>
      <c r="I12" s="50">
        <v>1</v>
      </c>
      <c r="J12" s="6">
        <v>1</v>
      </c>
      <c r="K12" s="5" t="s">
        <v>141</v>
      </c>
    </row>
    <row r="13" spans="2:11" ht="48" x14ac:dyDescent="0.2">
      <c r="B13" s="51" t="s">
        <v>149</v>
      </c>
      <c r="C13" s="31">
        <v>0.47</v>
      </c>
      <c r="D13" s="2" t="s">
        <v>20</v>
      </c>
      <c r="E13" s="50" t="s">
        <v>16</v>
      </c>
      <c r="F13" s="50" t="s">
        <v>7</v>
      </c>
      <c r="G13" s="2" t="s">
        <v>44</v>
      </c>
      <c r="H13" s="50">
        <v>1</v>
      </c>
      <c r="I13" s="50">
        <v>1</v>
      </c>
      <c r="J13" s="73" cm="1">
        <f t="array" ref="J13">IF([3]Initialization!$C$15=0,0,IF([3]Initialization!$C$15=1,1,Table1102367[]))</f>
        <v>1</v>
      </c>
      <c r="K13" s="5" t="s">
        <v>144</v>
      </c>
    </row>
    <row r="14" spans="2:11" ht="48" x14ac:dyDescent="0.2">
      <c r="B14" s="4" t="s">
        <v>150</v>
      </c>
      <c r="C14" s="31">
        <v>0.47649581499999999</v>
      </c>
      <c r="D14" s="2" t="s">
        <v>20</v>
      </c>
      <c r="E14" s="50" t="s">
        <v>16</v>
      </c>
      <c r="F14" s="50" t="s">
        <v>7</v>
      </c>
      <c r="G14" s="2" t="s">
        <v>44</v>
      </c>
      <c r="H14" s="50">
        <v>1</v>
      </c>
      <c r="I14" s="50">
        <v>1</v>
      </c>
      <c r="J14" s="73" cm="1">
        <f t="array" ref="J14">IF([3]Initialization!$C$15=0,0,IF([3]Initialization!$C$15=1,1,Table1102367[]))</f>
        <v>1</v>
      </c>
      <c r="K14" s="5" t="s">
        <v>143</v>
      </c>
    </row>
    <row r="15" spans="2:11" ht="48" x14ac:dyDescent="0.2">
      <c r="B15" s="4" t="s">
        <v>118</v>
      </c>
      <c r="C15" s="31">
        <v>318.14999999999998</v>
      </c>
      <c r="D15" s="2" t="s">
        <v>21</v>
      </c>
      <c r="E15" s="50" t="s">
        <v>16</v>
      </c>
      <c r="F15" s="50" t="s">
        <v>7</v>
      </c>
      <c r="G15" s="2" t="s">
        <v>51</v>
      </c>
      <c r="H15" s="50">
        <v>1</v>
      </c>
      <c r="I15" s="50">
        <v>1</v>
      </c>
      <c r="J15" s="6">
        <v>1</v>
      </c>
      <c r="K15" s="5" t="s">
        <v>139</v>
      </c>
    </row>
    <row r="16" spans="2:11" ht="16" x14ac:dyDescent="0.2">
      <c r="B16" s="8" t="s">
        <v>86</v>
      </c>
      <c r="C16" s="32"/>
      <c r="D16" s="9"/>
      <c r="E16" s="10"/>
      <c r="F16" s="10"/>
      <c r="G16" s="9"/>
      <c r="H16" s="10">
        <v>1</v>
      </c>
      <c r="I16" s="10">
        <v>1</v>
      </c>
      <c r="J16" s="11">
        <v>0</v>
      </c>
      <c r="K16" s="12" t="s">
        <v>87</v>
      </c>
    </row>
  </sheetData>
  <sheetProtection algorithmName="SHA-512" hashValue="drBgMNgjbgJ3sg03kmf8CQtO5wHpsqPZFFz0c71R1CjnABdX6K5CsE6DPQJ+3iT5LSOrcskO9ydQ5FnIamdUpA==" saltValue="KZYDTacGbjcUapP/82E62w==" spinCount="100000" sheet="1" objects="1" scenarios="1" selectLockedCells="1"/>
  <mergeCells count="2">
    <mergeCell ref="B2:K2"/>
    <mergeCell ref="K3:K7"/>
  </mergeCells>
  <conditionalFormatting sqref="C9:C16">
    <cfRule type="expression" dxfId="9" priority="7">
      <formula>IF(AND($C9&lt;&gt;"",$J9=0),1,0)</formula>
    </cfRule>
    <cfRule type="expression" dxfId="8" priority="8">
      <formula>IF($C9&lt;&gt;"",1,0)</formula>
    </cfRule>
    <cfRule type="expression" dxfId="7" priority="9">
      <formula>$J9=0</formula>
    </cfRule>
  </conditionalFormatting>
  <conditionalFormatting sqref="K3">
    <cfRule type="expression" dxfId="6" priority="2411">
      <formula>IF(COUNTA($C$9:$C$16)&lt;&gt;COUNTIF($J$9:$J$16,1),1,0)</formula>
    </cfRule>
    <cfRule type="expression" dxfId="5" priority="2412">
      <formula>IF(COUNTA($C$9:$C$16)=COUNTIF($J$9:$J$16,1),1,0)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5" t="s">
        <v>34</v>
      </c>
      <c r="C2" s="66"/>
      <c r="D2" s="66"/>
      <c r="E2" s="66"/>
      <c r="F2" s="66"/>
      <c r="G2" s="66"/>
      <c r="H2" s="66"/>
      <c r="I2" s="66"/>
      <c r="J2" s="66"/>
      <c r="K2" s="67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8" t="str">
        <f>IF(COUNTIF(Table110236[Test 3],1)=COUNTA(Table110236[Value]),"Ready","Not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69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69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69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0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32" x14ac:dyDescent="0.2">
      <c r="B9" s="51" t="s">
        <v>113</v>
      </c>
      <c r="C9" s="31">
        <v>10</v>
      </c>
      <c r="D9" s="34" t="s">
        <v>101</v>
      </c>
      <c r="E9" s="50" t="s">
        <v>24</v>
      </c>
      <c r="F9" s="50" t="s">
        <v>7</v>
      </c>
      <c r="G9" s="2" t="s">
        <v>51</v>
      </c>
      <c r="H9" s="50">
        <v>1</v>
      </c>
      <c r="I9" s="50">
        <v>1</v>
      </c>
      <c r="J9" s="6">
        <v>1</v>
      </c>
      <c r="K9" s="5" t="s">
        <v>104</v>
      </c>
    </row>
    <row r="10" spans="2:11" ht="32" x14ac:dyDescent="0.2">
      <c r="B10" s="51" t="s">
        <v>114</v>
      </c>
      <c r="C10" s="31">
        <v>12</v>
      </c>
      <c r="D10" s="34" t="s">
        <v>101</v>
      </c>
      <c r="E10" s="50" t="s">
        <v>24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105</v>
      </c>
    </row>
    <row r="11" spans="2:11" ht="16" x14ac:dyDescent="0.2">
      <c r="B11" s="51" t="s">
        <v>119</v>
      </c>
      <c r="C11" s="31">
        <v>7.8300000000000002E-3</v>
      </c>
      <c r="D11" s="34" t="s">
        <v>22</v>
      </c>
      <c r="E11" s="50" t="s">
        <v>24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108</v>
      </c>
    </row>
    <row r="12" spans="2:11" ht="16" x14ac:dyDescent="0.2">
      <c r="B12" s="51" t="s">
        <v>120</v>
      </c>
      <c r="C12" s="31">
        <v>502.32</v>
      </c>
      <c r="D12" s="34" t="s">
        <v>112</v>
      </c>
      <c r="E12" s="50" t="s">
        <v>24</v>
      </c>
      <c r="F12" s="50" t="s">
        <v>7</v>
      </c>
      <c r="G12" s="2" t="s">
        <v>51</v>
      </c>
      <c r="H12" s="50">
        <v>1</v>
      </c>
      <c r="I12" s="50">
        <v>1</v>
      </c>
      <c r="J12" s="6">
        <v>1</v>
      </c>
      <c r="K12" s="5" t="s">
        <v>109</v>
      </c>
    </row>
    <row r="13" spans="2:11" ht="16" x14ac:dyDescent="0.2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algorithmName="SHA-512" hashValue="4Kskonubd/AngQsAbEAkj8DIMBpdqhyuBGnEIUsfqJYcIaRvDQZYraYyqoTPrp/uyeQTsE4bN+HSJowiD8T1wg==" saltValue="OgSZkK0Jli+SNBeach6ocA==" spinCount="100000" sheet="1" objects="1" scenarios="1" selectLockedCells="1"/>
  <mergeCells count="2">
    <mergeCell ref="B2:K2"/>
    <mergeCell ref="K3:K7"/>
  </mergeCells>
  <conditionalFormatting sqref="C9:C13">
    <cfRule type="expression" dxfId="4" priority="1">
      <formula>IF(AND($C9&lt;&gt;"",$J9=0),1,0)</formula>
    </cfRule>
    <cfRule type="expression" dxfId="3" priority="2">
      <formula>IF($C9&lt;&gt;"",1,0)</formula>
    </cfRule>
    <cfRule type="expression" dxfId="2" priority="3">
      <formula>$J9=0</formula>
    </cfRule>
  </conditionalFormatting>
  <conditionalFormatting sqref="K3">
    <cfRule type="expression" dxfId="1" priority="2291">
      <formula>IF(COUNTA($C$9:$C$13)&lt;&gt;COUNTIF($J$9:$J$13,1),1,0)</formula>
    </cfRule>
    <cfRule type="expression" dxfId="0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K17" sqref="K17"/>
    </sheetView>
  </sheetViews>
  <sheetFormatPr baseColWidth="10" defaultColWidth="0" defaultRowHeight="0" customHeight="1" zeroHeight="1" x14ac:dyDescent="0.2"/>
  <cols>
    <col min="1" max="2" width="8.83203125" style="60" customWidth="1"/>
    <col min="3" max="3" width="13.1640625" style="60" customWidth="1"/>
    <col min="4" max="4" width="13.5" style="60" customWidth="1"/>
    <col min="5" max="6" width="8.83203125" style="60" customWidth="1"/>
    <col min="7" max="7" width="14.83203125" style="60" customWidth="1"/>
    <col min="8" max="8" width="11.6640625" style="60" customWidth="1"/>
    <col min="9" max="9" width="10.33203125" style="60" customWidth="1"/>
    <col min="10" max="10" width="5.6640625" style="60" customWidth="1"/>
    <col min="11" max="11" width="10.5" style="60" customWidth="1"/>
    <col min="12" max="17" width="8.83203125" style="60" customWidth="1"/>
    <col min="18" max="16384" width="8.83203125" style="60" hidden="1"/>
  </cols>
  <sheetData>
    <row r="1" spans="1:17" ht="15" x14ac:dyDescent="0.2">
      <c r="A1" s="57" t="str">
        <f>'[4]Revision History'!D4</f>
        <v>REV. NO.1 (6/8/2022)</v>
      </c>
      <c r="B1" s="58"/>
      <c r="C1" s="58"/>
      <c r="D1" s="58"/>
      <c r="E1" s="58"/>
      <c r="F1" s="58"/>
      <c r="G1" s="58"/>
      <c r="H1" s="58"/>
      <c r="I1" s="59"/>
      <c r="J1" s="59"/>
      <c r="K1" s="59"/>
      <c r="L1" s="59"/>
      <c r="M1" s="59"/>
      <c r="N1" s="59"/>
      <c r="O1" s="59"/>
      <c r="P1" s="59"/>
      <c r="Q1" s="59" t="str">
        <f>'Revision History'!$J$4</f>
        <v>Scott Research Group (jkscottresearchgroup.com)</v>
      </c>
    </row>
    <row r="2" spans="1:17" ht="15" x14ac:dyDescent="0.2">
      <c r="A2" s="71" t="s">
        <v>134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</row>
    <row r="3" spans="1:17" ht="15" x14ac:dyDescent="0.2">
      <c r="A3" s="61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 ht="15" x14ac:dyDescent="0.2">
      <c r="A4" s="61"/>
      <c r="B4" s="62" t="s">
        <v>135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</row>
    <row r="5" spans="1:17" ht="15" x14ac:dyDescent="0.2">
      <c r="A5" s="61"/>
      <c r="B5" s="63"/>
      <c r="C5" s="62" t="s">
        <v>136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</row>
    <row r="6" spans="1:17" ht="15" x14ac:dyDescent="0.2">
      <c r="A6" s="61"/>
      <c r="B6" s="62"/>
      <c r="C6" s="62" t="s">
        <v>137</v>
      </c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</row>
    <row r="7" spans="1:17" ht="15" x14ac:dyDescent="0.2">
      <c r="A7" s="61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</row>
    <row r="8" spans="1:17" ht="15" x14ac:dyDescent="0.2">
      <c r="A8" s="61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</row>
    <row r="9" spans="1:17" ht="15" x14ac:dyDescent="0.2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17" ht="15" x14ac:dyDescent="0.2">
      <c r="A10" s="6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5" x14ac:dyDescent="0.2">
      <c r="A11" s="61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" x14ac:dyDescent="0.2">
      <c r="A12" s="61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</row>
    <row r="13" spans="1:17" ht="15" x14ac:dyDescent="0.2">
      <c r="A13" s="61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</row>
    <row r="14" spans="1:17" ht="15" x14ac:dyDescent="0.2">
      <c r="A14" s="61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</row>
    <row r="15" spans="1:17" ht="15" x14ac:dyDescent="0.2">
      <c r="A15" s="61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</row>
    <row r="16" spans="1:17" ht="15" x14ac:dyDescent="0.2">
      <c r="A16" s="61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</row>
    <row r="17" spans="1:17" ht="15" x14ac:dyDescent="0.2">
      <c r="A17" s="61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</row>
    <row r="18" spans="1:17" ht="15" x14ac:dyDescent="0.2">
      <c r="A18" s="61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61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ht="15" x14ac:dyDescent="0.2">
      <c r="A20" s="61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ht="15" x14ac:dyDescent="0.2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ht="15" x14ac:dyDescent="0.2">
      <c r="A22" s="61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ht="15" x14ac:dyDescent="0.2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ht="15" x14ac:dyDescent="0.2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ht="15" x14ac:dyDescent="0.2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ht="15" x14ac:dyDescent="0.2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ht="15" x14ac:dyDescent="0.2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ht="15" x14ac:dyDescent="0.2">
      <c r="A28" s="61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ht="15" x14ac:dyDescent="0.2">
      <c r="A29" s="61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ht="15" x14ac:dyDescent="0.2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ht="15" x14ac:dyDescent="0.2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17" ht="15" x14ac:dyDescent="0.2">
      <c r="A32" s="61"/>
      <c r="B32" s="63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</row>
    <row r="33" spans="1:17" ht="15" x14ac:dyDescent="0.2">
      <c r="A33" s="61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5" x14ac:dyDescent="0.2">
      <c r="A34" s="61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138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146</v>
      </c>
      <c r="L1" t="s">
        <v>148</v>
      </c>
      <c r="M1" t="s">
        <v>151</v>
      </c>
      <c r="N1" t="s">
        <v>147</v>
      </c>
      <c r="O1" t="s">
        <v>149</v>
      </c>
      <c r="P1" t="s">
        <v>150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138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146</v>
      </c>
      <c r="L1" t="s">
        <v>148</v>
      </c>
      <c r="M1" t="s">
        <v>151</v>
      </c>
      <c r="N1" t="s">
        <v>147</v>
      </c>
      <c r="O1" t="s">
        <v>149</v>
      </c>
      <c r="P1" t="s">
        <v>150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2022-08-30T17:29:45Z</dcterms:modified>
</cp:coreProperties>
</file>