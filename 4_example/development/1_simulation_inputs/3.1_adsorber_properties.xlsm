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3_unit_properties\"/>
    </mc:Choice>
  </mc:AlternateContent>
  <xr:revisionPtr revIDLastSave="0" documentId="13_ncr:1_{BBE7BBF2-6780-4409-9C56-EF183CDCC0C3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" sheetId="2" state="hidden" r:id="rId2"/>
    <sheet name="Initialization" sheetId="22" r:id="rId3"/>
    <sheet name="Geometry" sheetId="40" r:id="rId4"/>
    <sheet name="Adsorber Packing" sheetId="41" r:id="rId5"/>
    <sheet name="Adsorber Design" sheetId="43" r:id="rId6"/>
    <sheet name="Physical Properties" sheetId="42" r:id="rId7"/>
    <sheet name="Help" sheetId="44" r:id="rId8"/>
    <sheet name="PFD" sheetId="45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'Adsorber Design'!$B$8:$K$8</definedName>
    <definedName name="_xlnm._FilterDatabase" localSheetId="4" hidden="1">'Adsorber Packing'!$B$8:$K$8</definedName>
    <definedName name="_xlnm._FilterDatabase" localSheetId="3" hidden="1">Geometry!$B$8:$K$8</definedName>
    <definedName name="_xlnm._FilterDatabase" localSheetId="2" hidden="1">Initialization!$B$8:$K$9</definedName>
    <definedName name="_xlnm._FilterDatabase" localSheetId="6" hidden="1">'Physical Properties'!$B$8:$K$8</definedName>
    <definedName name="_xlnm.Print_Area" localSheetId="5">'Adsorber Design'!$B$1:$K$12</definedName>
    <definedName name="_xlnm.Print_Area" localSheetId="4">'Adsorber Packing'!$B$1:$K$11</definedName>
    <definedName name="_xlnm.Print_Area" localSheetId="3">Geometry!$B$1:$K$12</definedName>
    <definedName name="_xlnm.Print_Area" localSheetId="2">Initialization!$B$1:$K$11</definedName>
    <definedName name="_xlnm.Print_Area" localSheetId="6">'Physical Properties'!$B$1:$K$13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5" l="1"/>
  <c r="A1" i="45"/>
  <c r="Q1" i="44"/>
  <c r="A1" i="44"/>
  <c r="K3" i="43"/>
  <c r="K1" i="43"/>
  <c r="B1" i="43"/>
  <c r="K3" i="42"/>
  <c r="K1" i="42"/>
  <c r="B1" i="42"/>
  <c r="K3" i="41"/>
  <c r="K1" i="41"/>
  <c r="B1" i="41"/>
  <c r="K3" i="40"/>
  <c r="K1" i="40"/>
  <c r="B1" i="40"/>
  <c r="I10" i="22" l="1"/>
  <c r="K1" i="22" l="1"/>
  <c r="K3" i="22" l="1"/>
  <c r="B1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tc={E652796B-8466-4220-A8BE-EF50C3D6D6B9}</author>
    <author>tc={8AAAFA1E-2A22-4485-86C4-0A31CC8818DB}</author>
    <author>tc={569C7D1D-1B96-4A2D-8128-0D89BE316B8E}</author>
  </authors>
  <commentList>
    <comment ref="H8" authorId="0" shapeId="0" xr:uid="{E652796B-8466-4220-A8BE-EF50C3D6D6B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8AAAFA1E-2A22-4485-86C4-0A31CC8818D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569C7D1D-1B96-4A2D-8128-0D89BE31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tc={93F965E2-06AB-4688-AE64-7D035E18A84D}</author>
    <author>tc={D9050D71-A75A-4740-BDD5-E722DC26ACC6}</author>
    <author>tc={166A3969-E716-4658-8BE3-8C97E46BB89B}</author>
  </authors>
  <commentList>
    <comment ref="H8" authorId="0" shapeId="0" xr:uid="{93F965E2-06AB-4688-AE64-7D035E18A84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D9050D71-A75A-4740-BDD5-E722DC26ACC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66A3969-E716-4658-8BE3-8C97E46BB89B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tc={1BCDEAB6-02C5-42F9-8D23-6294D5D2D196}</author>
    <author>tc={0B40D3E0-8749-41E4-8892-40EC8BEC364E}</author>
    <author>tc={0D4D05CD-114F-49A8-9DD6-E5C0B9590623}</author>
  </authors>
  <commentList>
    <comment ref="H8" authorId="0" shapeId="0" xr:uid="{1BCDEAB6-02C5-42F9-8D23-6294D5D2D1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0B40D3E0-8749-41E4-8892-40EC8BEC364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0D4D05CD-114F-49A8-9DD6-E5C0B959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H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H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<sst xmlns="http://schemas.openxmlformats.org/spreadsheetml/2006/main" count="309" uniqueCount="144">
  <si>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</si>
  <si>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</si>
  <si>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</si>
  <si>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</si>
  <si>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</si>
  <si>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</si>
  <si>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</si>
  <si>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</si>
  <si>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</si>
  <si>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</si>
  <si>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</si>
  <si>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</si>
  <si>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</si>
  <si>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</si>
  <si>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</si>
  <si>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</si>
  <si>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</si>
  <si>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</si>
  <si>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</si>
  <si>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</si>
  <si>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</si>
  <si>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</si>
  <si>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</si>
  <si>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</si>
  <si>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</si>
  <si>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</si>
  <si>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</si>
  <si>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</si>
  <si>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</si>
  <si>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</si>
  <si>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</si>
  <si>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</si>
  <si>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</si>
  <si>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</si>
  <si>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</si>
  <si>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</si>
  <si>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</si>
  <si>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</si>
  <si>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</si>
  <si>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</si>
  <si>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</si>
  <si>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</si>
  <si>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</si>
  <si>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</si>
  <si>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</si>
  <si>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</si>
  <si>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</si>
  <si>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</si>
  <si>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</si>
  <si>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</si>
  <si>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</si>
  <si>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</si>
  <si>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</si>
  <si>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</si>
  <si>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</si>
  <si>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</si>
  <si>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</si>
  <si>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</si>
  <si>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</si>
  <si>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</si>
  <si>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</si>
  <si>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</si>
  <si>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</si>
  <si>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</si>
  <si>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</si>
  <si>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</si>
  <si>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</si>
  <si>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</si>
  <si>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</si>
  <si>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</si>
  <si>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</si>
  <si>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</si>
  <si>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</si>
  <si>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</si>
  <si>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</si>
  <si>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</si>
  <si>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</si>
  <si>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</si>
  <si>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</si>
  <si>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</si>
  <si>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</si>
  <si>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</si>
  <si>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</si>
  <si>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</si>
  <si>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</si>
  <si>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</si>
  <si>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</si>
  <si>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</si>
  <si>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</si>
  <si>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The number of adsorber beds in a given PSA cycle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</si>
  <si>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</si>
  <si>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</si>
  <si>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</si>
  <si>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</si>
  <si>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</si>
  <si>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</si>
  <si>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presBeHi</t>
  </si>
  <si>
    <t>presBeLo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</si>
  <si>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</si>
  <si>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</si>
  <si>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</si>
  <si>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</si>
  <si>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</si>
  <si>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</si>
  <si>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</si>
  <si>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</si>
  <si>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</si>
  <si>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</si>
  <si>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</si>
  <si>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</si>
  <si>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</si>
  <si>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</si>
  <si>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</si>
  <si>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</si>
  <si>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</si>
  <si>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</si>
  <si>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</si>
  <si>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</si>
  <si>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</si>
  <si>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</si>
  <si>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</si>
  <si>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</si>
  <si>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</si>
  <si>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</si>
  <si>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</si>
  <si>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</si>
  <si>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</si>
  <si>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</si>
  <si>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</si>
  <si>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</si>
  <si>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</si>
  <si>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</si>
  <si>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</si>
  <si>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</si>
  <si>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</si>
  <si>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REV. NO.1 (6/8/2022)</t>
  </si>
  <si>
    <t>Initial development of the "cycle_organization.xlsm" sheet.</t>
  </si>
  <si>
    <t>The high pressure for an adsorption column</t>
  </si>
  <si>
    <t>The adsorption column temperature</t>
  </si>
  <si>
    <t>Adsorption Column Information</t>
  </si>
  <si>
    <t>Assumptions:</t>
  </si>
  <si>
    <t>Pressure Swing Adsorption Process Flow Diagram (PFD)</t>
  </si>
  <si>
    <t>1. All adsorption columns are identicial in their dimension, packing, and properties.</t>
  </si>
  <si>
    <t>2. Only a single adsorbent layer is supported.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</si>
</sst>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3" fillId="5" borderId="0" xfId="1" applyFont="1" applyFill="1" applyAlignment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400-0000016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4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4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9EC823-2947-4D11-BD92-8EC1AC93B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esktop/RAPID%20Model%20Release/v3.0/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."/>
      <sheetName val="Data"/>
      <sheetName val="Reference"/>
      <sheetName val="Data(Transposed)"/>
      <sheetName val="Data(Test)"/>
      <sheetName val="(guide) valve constants"/>
      <sheetName val="(guide) void fraction &amp; density"/>
      <sheetName val="(guide) sorption isotherm"/>
      <sheetName val="(guide) sorption kineti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18E22-6B97-4050-BEA5-FD187B57FD53}" name="Table1102" displayName="Table1102" ref="B8:K11" totalsRowShown="0" headerRowDxfId="94" dataDxfId="92" headerRowBorderDxfId="93" tableBorderDxfId="91" totalsRowBorderDxfId="90">
  <autoFilter ref="B8:K11" xr:uid="{B089C5C3-2CCE-4800-96CA-2131BB6E3E4F}"/>
  <tableColumns count="10">
    <tableColumn id="1" xr3:uid="{DF90FBAE-2FE2-4EF6-B9EF-275B3796AEEB}" name="Variable" dataDxfId="89"/>
    <tableColumn id="4" xr3:uid="{0389FCE2-DF59-447F-B68F-108D6445084D}" name="Value" dataDxfId="88"/>
    <tableColumn id="5" xr3:uid="{F4EFCD46-6F61-4144-97AB-37E6D30AE6D4}" name="Unit" dataDxfId="87"/>
    <tableColumn id="6" xr3:uid="{13EC0408-58C5-4FDD-B561-294E8738DC68}" name="Comparisons" dataDxfId="86"/>
    <tableColumn id="7" xr3:uid="{BF1B3BF0-6191-44CC-AF6B-7F41972DEF86}" name="Variable Type" dataDxfId="85"/>
    <tableColumn id="8" xr3:uid="{38416F33-2817-41C6-8F60-9C8868DFD40F}" name="Dependency" dataDxfId="84"/>
    <tableColumn id="12" xr3:uid="{212A5270-D9C2-477A-8DBC-F77DAC062C67}" name="Test 1" dataDxfId="83"/>
    <tableColumn id="10" xr3:uid="{06FFA778-D744-477C-927B-1BAA2F4DD149}" name="Test 2" dataDxfId="82"/>
    <tableColumn id="2" xr3:uid="{C0032BA4-2111-4FE1-A6F7-8A96150C92AF}" name="Test 3" dataDxfId="81"/>
    <tableColumn id="9" xr3:uid="{87AA86BA-9226-4FD0-BE95-3F0C0D4637BF}" name="Description" dataDxfId="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DE77F-5B1B-417E-A77C-15A4813640F3}" name="Table110234" displayName="Table110234" ref="B8:K12" totalsRowShown="0" headerRowDxfId="74" dataDxfId="72" headerRowBorderDxfId="73" tableBorderDxfId="71" totalsRowBorderDxfId="70">
  <autoFilter ref="B8:K12" xr:uid="{B089C5C3-2CCE-4800-96CA-2131BB6E3E4F}"/>
  <tableColumns count="10">
    <tableColumn id="1" xr3:uid="{7E976C6B-50FF-4DF8-968D-BD2213457D8E}" name="Variable" dataDxfId="69"/>
    <tableColumn id="4" xr3:uid="{36EE36A9-EB3A-4D9F-87A6-29402D8F2BBF}" name="Value" dataDxfId="68"/>
    <tableColumn id="5" xr3:uid="{0BEBFFE1-D011-4506-B2BE-A23189C3171B}" name="Unit" dataDxfId="67"/>
    <tableColumn id="6" xr3:uid="{FD2D7E65-7CC1-4CB0-AC4F-8241F01D8137}" name="Comparisons" dataDxfId="66"/>
    <tableColumn id="7" xr3:uid="{1CAE321A-54EE-49C2-80B2-6E9ED68096B7}" name="Variable Type" dataDxfId="65"/>
    <tableColumn id="8" xr3:uid="{524D804C-F242-4918-942F-25C0E3FE4293}" name="Dependency" dataDxfId="64"/>
    <tableColumn id="12" xr3:uid="{246C8080-AD0A-42DE-9683-C493E6DBCF45}" name="Test 1" dataDxfId="63"/>
    <tableColumn id="10" xr3:uid="{EC07D584-71B2-4B20-A730-90845F6A7618}" name="Test 2" dataDxfId="62"/>
    <tableColumn id="2" xr3:uid="{BC4BD7F4-9059-4A16-AED5-A5500F840F0A}" name="Test 3" dataDxfId="61"/>
    <tableColumn id="9" xr3:uid="{E043131C-B524-4DE4-8666-7F2CB0974117}" name="Description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177B9D-B017-4424-8005-D13DEA9FDE3C}" name="Table110235" displayName="Table110235" ref="B8:K11" totalsRowShown="0" headerRowDxfId="54" dataDxfId="52" headerRowBorderDxfId="53" tableBorderDxfId="51" totalsRowBorderDxfId="50">
  <autoFilter ref="B8:K11" xr:uid="{B089C5C3-2CCE-4800-96CA-2131BB6E3E4F}"/>
  <tableColumns count="10">
    <tableColumn id="1" xr3:uid="{9F0173FD-162A-43A8-B238-CB3C186D557E}" name="Variable" dataDxfId="49"/>
    <tableColumn id="4" xr3:uid="{93B43561-581D-43D1-9628-DBD5BACDCA75}" name="Value" dataDxfId="48"/>
    <tableColumn id="5" xr3:uid="{93068CD2-A433-4BAE-BA07-8B5B262A8175}" name="Unit" dataDxfId="47"/>
    <tableColumn id="6" xr3:uid="{C71F0136-1C7B-45D7-BD4F-FF50A9F828B9}" name="Comparisons" dataDxfId="46"/>
    <tableColumn id="7" xr3:uid="{094945F8-2D9D-4417-949D-B54D471BDD33}" name="Variable Type" dataDxfId="45"/>
    <tableColumn id="8" xr3:uid="{335D4B33-363E-4AC8-90F8-65784056E1CD}" name="Dependency" dataDxfId="44"/>
    <tableColumn id="12" xr3:uid="{A8ADB954-9430-4B28-AA5F-F57F0739046D}" name="Test 1" dataDxfId="43"/>
    <tableColumn id="10" xr3:uid="{35B1EC5E-AC9B-43DE-A22B-C20F1350F075}" name="Test 2" dataDxfId="42"/>
    <tableColumn id="2" xr3:uid="{72D4D093-B485-49CC-9E25-6B4F0CBBAF39}" name="Test 3" dataDxfId="41"/>
    <tableColumn id="9" xr3:uid="{39D8E831-0873-4135-8194-32EC426F366B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B8:K12" totalsRowShown="0" headerRowDxfId="34" dataDxfId="32" headerRowBorderDxfId="33" tableBorderDxfId="31" totalsRowBorderDxfId="30">
  <autoFilter ref="B8:K12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B8:K13" totalsRowShown="0" headerRowDxfId="14" dataDxfId="12" headerRowBorderDxfId="13" tableBorderDxfId="11" totalsRowBorderDxfId="10">
  <autoFilter ref="B8:K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E652796B-8466-4220-A8BE-EF50C3D6D6B9}">
    <text>place 1 if we want to keep the row when re-initializing. Otherwise, leave it as a blank.</text>
  </threadedComment>
  <threadedComment ref="I8" dT="2020-11-26T18:35:03.27" personId="{7F98AE94-13FB-49E1-9262-339C11E0EDB4}" id="{8AAAFA1E-2A22-4485-86C4-0A31CC8818DB}">
    <text>supply a value greater than 1 if you want to duplicate the row</text>
  </threadedComment>
  <threadedComment ref="J8" dT="2020-11-28T01:53:47.29" personId="{7F98AE94-13FB-49E1-9262-339C11E0EDB4}" id="{569C7D1D-1B96-4A2D-8128-0D89BE316B8E}">
    <text>1 means we need to have the variable specified; 0 means we need not have the variable specified</text>
  </threadedComment>
  <threadedComment ref="J8" dT="2020-11-28T01:56:42.32" personId="{7F98AE94-13FB-49E1-9262-339C11E0EDB4}" id="{E3DE4135-48F9-401A-9397-2991093434F1}" parentId="{569C7D1D-1B96-4A2D-8128-0D89BE316B8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3F965E2-06AB-4688-AE64-7D035E18A84D}">
    <text>place 1 if we want to keep the row when re-initializing. Otherwise, leave it as a blank.</text>
  </threadedComment>
  <threadedComment ref="I8" dT="2020-11-26T18:35:03.27" personId="{7F98AE94-13FB-49E1-9262-339C11E0EDB4}" id="{D9050D71-A75A-4740-BDD5-E722DC26ACC6}">
    <text>supply a value greater than 1 if you want to duplicate the row</text>
  </threadedComment>
  <threadedComment ref="J8" dT="2020-11-28T01:53:47.29" personId="{7F98AE94-13FB-49E1-9262-339C11E0EDB4}" id="{166A3969-E716-4658-8BE3-8C97E46BB89B}">
    <text>1 means we need to have the variable specified; 0 means we need not have the variable specified</text>
  </threadedComment>
  <threadedComment ref="J8" dT="2020-11-28T01:56:42.32" personId="{7F98AE94-13FB-49E1-9262-339C11E0EDB4}" id="{50574FE6-0C57-44C3-B939-E4DFBAF77FEF}" parentId="{166A3969-E716-4658-8BE3-8C97E46BB89B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1BCDEAB6-02C5-42F9-8D23-6294D5D2D196}">
    <text>place 1 if we want to keep the row when re-initializing. Otherwise, leave it as a blank.</text>
  </threadedComment>
  <threadedComment ref="I8" dT="2020-11-26T18:35:03.27" personId="{7F98AE94-13FB-49E1-9262-339C11E0EDB4}" id="{0B40D3E0-8749-41E4-8892-40EC8BEC364E}">
    <text>supply a value greater than 1 if you want to duplicate the row</text>
  </threadedComment>
  <threadedComment ref="J8" dT="2020-11-28T01:53:47.29" personId="{7F98AE94-13FB-49E1-9262-339C11E0EDB4}" id="{0D4D05CD-114F-49A8-9DD6-E5C0B9590623}">
    <text>1 means we need to have the variable specified; 0 means we need not have the variable specified</text>
  </threadedComment>
  <threadedComment ref="J8" dT="2020-11-28T01:56:42.32" personId="{7F98AE94-13FB-49E1-9262-339C11E0EDB4}" id="{9797C057-0E43-4D2B-AC7C-F72D68CA5183}" parentId="{0D4D05CD-114F-49A8-9DD6-E5C0B9590623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C094753-09F5-4AE4-818D-B8A8B3AE571B}">
    <text>place 1 if we want to keep the row when re-initializing. Otherwise, leave it as a blank.</text>
  </threadedComment>
  <threadedComment ref="I8" dT="2020-11-26T18:35:03.27" personId="{7F98AE94-13FB-49E1-9262-339C11E0EDB4}" id="{6C278506-3489-4911-8C75-B1A34FB6DB6D}">
    <text>supply a value greater than 1 if you want to duplicate the row</text>
  </threadedComment>
  <threadedComment ref="J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J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B33F54E8-F5DD-4FD7-827E-56A8D3D93CF9}">
    <text>place 1 if we want to keep the row when re-initializing. Otherwise, leave it as a blank.</text>
  </threadedComment>
  <threadedComment ref="I8" dT="2020-11-26T18:35:03.27" personId="{7F98AE94-13FB-49E1-9262-339C11E0EDB4}" id="{C37A90FE-2888-4963-8404-F359F50F80AE}">
    <text>supply a value greater than 1 if you want to duplicate the row</text>
  </threadedComment>
  <threadedComment ref="J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J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0" sqref="E10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886718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886718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53" t="s">
        <v>135</v>
      </c>
      <c r="E4" s="38"/>
      <c r="F4" s="39"/>
      <c r="G4" s="40"/>
      <c r="H4" s="40"/>
      <c r="I4" s="40"/>
      <c r="J4" s="41" t="s">
        <v>95</v>
      </c>
    </row>
    <row r="5" spans="4:10" ht="36">
      <c r="D5" s="57" t="s">
        <v>41</v>
      </c>
      <c r="E5" s="57"/>
      <c r="F5" s="57"/>
      <c r="G5" s="57"/>
      <c r="H5" s="57"/>
      <c r="I5" s="57"/>
      <c r="J5" s="57"/>
    </row>
    <row r="6" spans="4:10" ht="18">
      <c r="D6" s="49" t="s">
        <v>35</v>
      </c>
      <c r="E6" s="49" t="s">
        <v>134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36">
      <c r="D7" s="42">
        <v>1</v>
      </c>
      <c r="E7" s="54" t="s">
        <v>136</v>
      </c>
      <c r="F7" s="55">
        <v>44720</v>
      </c>
      <c r="G7" s="56" t="s">
        <v>42</v>
      </c>
      <c r="H7" s="42"/>
      <c r="I7" s="42"/>
      <c r="J7" s="43"/>
    </row>
    <row r="8" spans="4:10" ht="18">
      <c r="D8" s="42">
        <v>2</v>
      </c>
      <c r="E8" s="43"/>
      <c r="F8" s="44"/>
      <c r="G8" s="42"/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93</v>
      </c>
      <c r="M1" t="s">
        <v>90</v>
      </c>
      <c r="N1" t="s">
        <v>91</v>
      </c>
      <c r="O1" t="s">
        <v>94</v>
      </c>
      <c r="P1" t="s">
        <v>101</v>
      </c>
      <c r="Q1" t="s">
        <v>110</v>
      </c>
      <c r="R1" t="s">
        <v>113</v>
      </c>
      <c r="S1" t="s">
        <v>114</v>
      </c>
      <c r="T1" t="s">
        <v>124</v>
      </c>
      <c r="U1" t="s">
        <v>125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126</v>
      </c>
    </row>
    <row r="4" spans="1:21">
      <c r="A4" t="s">
        <v>92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127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128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129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130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131</v>
      </c>
    </row>
    <row r="9" spans="1:21">
      <c r="B9" t="s">
        <v>102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132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119</v>
      </c>
    </row>
    <row r="12" spans="1:21">
      <c r="B12" t="s">
        <v>103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24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120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32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C0FE-BA67-4AA8-BC84-104EBCACDCEA}">
  <sheetPr codeName="Sheet13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0" sqref="C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75" width="8.88671875" style="3" hidden="1"/>
    <col min="16376" max="16379" width="0" style="3" hidden="1"/>
    <col min="16380" max="16384" width="8.88671875" style="3" hidden="1"/>
  </cols>
  <sheetData>
    <row r="1" spans="2:11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8">
      <c r="B2" s="58" t="s">
        <v>34</v>
      </c>
      <c r="C2" s="59"/>
      <c r="D2" s="59"/>
      <c r="E2" s="59"/>
      <c r="F2" s="59"/>
      <c r="G2" s="59"/>
      <c r="H2" s="59"/>
      <c r="I2" s="59"/>
      <c r="J2" s="59"/>
      <c r="K2" s="60"/>
    </row>
    <row r="3" spans="2:11" ht="14.4" customHeight="1">
      <c r="B3" s="13"/>
      <c r="C3" s="14"/>
      <c r="D3" s="15"/>
      <c r="E3" s="16"/>
      <c r="F3" s="16"/>
      <c r="G3" s="16"/>
      <c r="H3" s="16"/>
      <c r="I3" s="16"/>
      <c r="J3" s="16"/>
      <c r="K3" s="61" t="str">
        <f>IF(COUNTIF(Table1102[Test 3],1)=COUNTA(Table1102[Value]),"Ready","Not Ready")</f>
        <v>Ready</v>
      </c>
    </row>
    <row r="4" spans="2:11" ht="14.4" customHeight="1">
      <c r="B4" s="17"/>
      <c r="C4" s="18"/>
      <c r="D4" s="46"/>
      <c r="E4" s="46"/>
      <c r="F4" s="46"/>
      <c r="G4" s="46"/>
      <c r="H4" s="19"/>
      <c r="I4" s="46"/>
      <c r="J4" s="46"/>
      <c r="K4" s="62"/>
    </row>
    <row r="5" spans="2:11" ht="14.4" customHeight="1">
      <c r="B5" s="17"/>
      <c r="C5" s="18"/>
      <c r="D5" s="46"/>
      <c r="E5" s="46"/>
      <c r="F5" s="46"/>
      <c r="G5" s="46"/>
      <c r="H5" s="19"/>
      <c r="I5" s="46"/>
      <c r="J5" s="46"/>
      <c r="K5" s="62"/>
    </row>
    <row r="6" spans="2:11" ht="14.4" customHeight="1">
      <c r="B6" s="17"/>
      <c r="C6" s="18"/>
      <c r="D6" s="46"/>
      <c r="E6" s="46"/>
      <c r="F6" s="46"/>
      <c r="G6" s="46"/>
      <c r="H6" s="19"/>
      <c r="I6" s="46"/>
      <c r="J6" s="46"/>
      <c r="K6" s="62"/>
    </row>
    <row r="7" spans="2:11" ht="14.4" customHeight="1">
      <c r="B7" s="20"/>
      <c r="C7" s="21"/>
      <c r="D7" s="22"/>
      <c r="E7" s="22"/>
      <c r="F7" s="22"/>
      <c r="G7" s="22"/>
      <c r="H7" s="23"/>
      <c r="I7" s="22"/>
      <c r="J7" s="22"/>
      <c r="K7" s="63"/>
    </row>
    <row r="8" spans="2:11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>
      <c r="B9" s="4" t="s">
        <v>46</v>
      </c>
      <c r="C9" s="31">
        <v>1</v>
      </c>
      <c r="D9" s="2" t="s">
        <v>3</v>
      </c>
      <c r="E9" s="47" t="s">
        <v>16</v>
      </c>
      <c r="F9" s="47" t="s">
        <v>7</v>
      </c>
      <c r="G9" s="2" t="s">
        <v>48</v>
      </c>
      <c r="H9" s="47">
        <v>1</v>
      </c>
      <c r="I9" s="47">
        <v>1</v>
      </c>
      <c r="J9" s="6">
        <v>1</v>
      </c>
      <c r="K9" s="5" t="s">
        <v>89</v>
      </c>
    </row>
    <row r="10" spans="2:11" ht="144">
      <c r="B10" s="4" t="s">
        <v>109</v>
      </c>
      <c r="C10" s="31">
        <v>5</v>
      </c>
      <c r="D10" s="2" t="s">
        <v>3</v>
      </c>
      <c r="E10" s="47" t="s">
        <v>31</v>
      </c>
      <c r="F10" s="48" t="s">
        <v>92</v>
      </c>
      <c r="G10" s="2" t="s">
        <v>45</v>
      </c>
      <c r="H10" s="47">
        <v>1</v>
      </c>
      <c r="I10" s="47">
        <f>$C$9</f>
        <v>1</v>
      </c>
      <c r="J10" s="6">
        <v>1</v>
      </c>
      <c r="K10" s="5" t="s">
        <v>118</v>
      </c>
    </row>
    <row r="11" spans="2:11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JbiihZRVZmGFsGa7oItWnHrxY0Z78yL3JhcAVGzmsnEXelo/GUAhHmEXrcRYjI0ktuNfYcn8cTTCXyifFXqEBA==" saltValue="SjLaKRP9odo/LeecxMkLHQ==" spinCount="100000" sheet="1" objects="1" scenarios="1" selectLockedCells="1"/>
  <mergeCells count="2">
    <mergeCell ref="B2:K2"/>
    <mergeCell ref="K3:K7"/>
  </mergeCells>
  <conditionalFormatting sqref="C9 C11">
    <cfRule type="expression" dxfId="102" priority="16">
      <formula>IF(AND($C9&lt;&gt;"",$J9=0),1,0)</formula>
    </cfRule>
    <cfRule type="expression" dxfId="101" priority="17">
      <formula>IF($C9&lt;&gt;"",1,0)</formula>
    </cfRule>
    <cfRule type="expression" dxfId="100" priority="18">
      <formula>$J9=0</formula>
    </cfRule>
  </conditionalFormatting>
  <conditionalFormatting sqref="C10">
    <cfRule type="expression" dxfId="99" priority="13">
      <formula>IF(AND($C10&lt;&gt;"",$J10=0),1,0)</formula>
    </cfRule>
    <cfRule type="expression" dxfId="98" priority="14">
      <formula>IF($C10&lt;&gt;"",1,0)</formula>
    </cfRule>
    <cfRule type="expression" dxfId="97" priority="15">
      <formula>$J10=0</formula>
    </cfRule>
  </conditionalFormatting>
  <conditionalFormatting sqref="K3">
    <cfRule type="expression" dxfId="96" priority="2234">
      <formula>IF(COUNTA($C$9:$C$11)&lt;&gt;COUNTIF($J$9:$J$11,1),1,0)</formula>
    </cfRule>
    <cfRule type="expression" dxfId="95" priority="2235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3</xdr:row>
                    <xdr:rowOff>76200</xdr:rowOff>
                  </from>
                  <to>
                    <xdr:col>2</xdr:col>
                    <xdr:colOff>922020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3</xdr:row>
                    <xdr:rowOff>76200</xdr:rowOff>
                  </from>
                  <to>
                    <xdr:col>4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3</xdr:row>
                    <xdr:rowOff>76200</xdr:rowOff>
                  </from>
                  <to>
                    <xdr:col>5</xdr:col>
                    <xdr:colOff>396240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0F78D8-7CBC-416B-BF8F-16F86E79595D}">
          <x14:formula1>
            <xm:f>Reference!$J$2:$J$7</xm:f>
          </x14:formula1>
          <xm:sqref>C10</xm:sqref>
        </x14:dataValidation>
        <x14:dataValidation type="list" allowBlank="1" showInputMessage="1" showErrorMessage="1" xr:uid="{AB0DFED5-7007-40C4-A20A-4EB483A187A5}">
          <x14:formula1>
            <xm:f>Reference!$A$2:$A$8</xm:f>
          </x14:formula1>
          <xm:sqref>F9:F11</xm:sqref>
        </x14:dataValidation>
        <x14:dataValidation type="list" allowBlank="1" showInputMessage="1" showErrorMessage="1" xr:uid="{577DDA83-B2B6-4016-B2CF-1564CB9BE2F2}">
          <x14:formula1>
            <xm:f>Reference!$C$2:$C$23</xm:f>
          </x14:formula1>
          <xm:sqref>G9:G11</xm:sqref>
        </x14:dataValidation>
        <x14:dataValidation type="list" allowBlank="1" showInputMessage="1" showErrorMessage="1" xr:uid="{B5D072AB-35BF-448E-8A00-FA96E8BD689F}">
          <x14:formula1>
            <xm:f>Reference!$B$2:$B$18</xm:f>
          </x14:formula1>
          <xm:sqref>E9:E11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F8E-F005-450F-BBFC-F4694AF57EBE}">
  <sheetPr codeName="Sheet15">
    <tabColor rgb="FF00B050"/>
  </sheetPr>
  <dimension ref="A1:XEY12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75" width="8.88671875" style="3" hidden="1"/>
    <col min="16376" max="16379" width="0" style="3" hidden="1"/>
    <col min="16380" max="16384" width="8.88671875" style="3" hidden="1"/>
  </cols>
  <sheetData>
    <row r="1" spans="2:11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8">
      <c r="B2" s="58" t="s">
        <v>34</v>
      </c>
      <c r="C2" s="59"/>
      <c r="D2" s="59"/>
      <c r="E2" s="59"/>
      <c r="F2" s="59"/>
      <c r="G2" s="59"/>
      <c r="H2" s="59"/>
      <c r="I2" s="59"/>
      <c r="J2" s="59"/>
      <c r="K2" s="60"/>
    </row>
    <row r="3" spans="2:11" ht="14.4" customHeight="1">
      <c r="B3" s="13"/>
      <c r="C3" s="14"/>
      <c r="D3" s="15"/>
      <c r="E3" s="16"/>
      <c r="F3" s="16"/>
      <c r="G3" s="16"/>
      <c r="H3" s="16"/>
      <c r="I3" s="16"/>
      <c r="J3" s="16"/>
      <c r="K3" s="61" t="str">
        <f>IF(COUNTIF(Table110234[Test 3],1)=COUNTA(Table110234[Value]),"Ready","Not Ready")</f>
        <v>Ready</v>
      </c>
    </row>
    <row r="4" spans="2:11" ht="14.4" customHeight="1">
      <c r="B4" s="17"/>
      <c r="C4" s="18"/>
      <c r="D4" s="52"/>
      <c r="E4" s="52"/>
      <c r="F4" s="52"/>
      <c r="G4" s="52"/>
      <c r="H4" s="19"/>
      <c r="I4" s="52"/>
      <c r="J4" s="52"/>
      <c r="K4" s="62"/>
    </row>
    <row r="5" spans="2:11" ht="14.4" customHeight="1">
      <c r="B5" s="17"/>
      <c r="C5" s="18"/>
      <c r="D5" s="52"/>
      <c r="E5" s="52"/>
      <c r="F5" s="52"/>
      <c r="G5" s="52"/>
      <c r="H5" s="19"/>
      <c r="I5" s="52"/>
      <c r="J5" s="52"/>
      <c r="K5" s="62"/>
    </row>
    <row r="6" spans="2:11" ht="14.4" customHeight="1">
      <c r="B6" s="17"/>
      <c r="C6" s="18"/>
      <c r="D6" s="52"/>
      <c r="E6" s="52"/>
      <c r="F6" s="52"/>
      <c r="G6" s="52"/>
      <c r="H6" s="19"/>
      <c r="I6" s="52"/>
      <c r="J6" s="52"/>
      <c r="K6" s="62"/>
    </row>
    <row r="7" spans="2:11" ht="14.4" customHeight="1">
      <c r="B7" s="20"/>
      <c r="C7" s="21"/>
      <c r="D7" s="22"/>
      <c r="E7" s="22"/>
      <c r="F7" s="22"/>
      <c r="G7" s="22"/>
      <c r="H7" s="23"/>
      <c r="I7" s="22"/>
      <c r="J7" s="22"/>
      <c r="K7" s="63"/>
    </row>
    <row r="8" spans="2:11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>
      <c r="B9" s="4" t="s">
        <v>133</v>
      </c>
      <c r="C9" s="31">
        <v>76.2</v>
      </c>
      <c r="D9" s="2" t="s">
        <v>75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88</v>
      </c>
    </row>
    <row r="10" spans="2:11" ht="43.2">
      <c r="B10" s="4" t="s">
        <v>105</v>
      </c>
      <c r="C10" s="31">
        <v>1.143</v>
      </c>
      <c r="D10" s="2" t="s">
        <v>75</v>
      </c>
      <c r="E10" s="50" t="s">
        <v>16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68</v>
      </c>
    </row>
    <row r="11" spans="2:11" ht="28.8">
      <c r="B11" s="4" t="s">
        <v>106</v>
      </c>
      <c r="C11" s="31">
        <v>1.643</v>
      </c>
      <c r="D11" s="2" t="s">
        <v>75</v>
      </c>
      <c r="E11" s="50" t="s">
        <v>16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69</v>
      </c>
    </row>
    <row r="12" spans="2:11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algorithmName="SHA-512" hashValue="OQHlDPFqlz6M1XVWNMK6R+l2eku20get9xWx52MN6dQW6g47xUzT+Tg5l49iKCJvypdyaFK64rCLY+hVbi10ew==" saltValue="bUleT9EFVcjIhttLjvQ0qQ==" spinCount="100000" sheet="1" objects="1" scenarios="1" selectLockedCells="1"/>
  <mergeCells count="2">
    <mergeCell ref="B2:K2"/>
    <mergeCell ref="K3:K7"/>
  </mergeCells>
  <conditionalFormatting sqref="C9:C12">
    <cfRule type="expression" dxfId="79" priority="10">
      <formula>IF(AND($C9&lt;&gt;"",$J9=0),1,0)</formula>
    </cfRule>
    <cfRule type="expression" dxfId="78" priority="11">
      <formula>IF($C9&lt;&gt;"",1,0)</formula>
    </cfRule>
    <cfRule type="expression" dxfId="77" priority="12">
      <formula>$J9=0</formula>
    </cfRule>
  </conditionalFormatting>
  <conditionalFormatting sqref="K3">
    <cfRule type="expression" dxfId="76" priority="2375">
      <formula>IF(COUNTA($C$9:$C$12)&lt;&gt;COUNTIF($J$9:$J$12,1),1,0)</formula>
    </cfRule>
    <cfRule type="expression" dxfId="75" priority="2376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3</xdr:row>
                    <xdr:rowOff>76200</xdr:rowOff>
                  </from>
                  <to>
                    <xdr:col>2</xdr:col>
                    <xdr:colOff>922020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3</xdr:row>
                    <xdr:rowOff>76200</xdr:rowOff>
                  </from>
                  <to>
                    <xdr:col>4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3</xdr:row>
                    <xdr:rowOff>76200</xdr:rowOff>
                  </from>
                  <to>
                    <xdr:col>5</xdr:col>
                    <xdr:colOff>396240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F31DE6-4912-4DCD-A0E5-0C265F1EB724}">
          <x14:formula1>
            <xm:f>Reference!$A$2:$A$8</xm:f>
          </x14:formula1>
          <xm:sqref>F9:F12</xm:sqref>
        </x14:dataValidation>
        <x14:dataValidation type="list" allowBlank="1" showInputMessage="1" showErrorMessage="1" xr:uid="{3932E0CC-9F50-4C78-84F5-6453D2CC68B1}">
          <x14:formula1>
            <xm:f>Reference!$C$2:$C$23</xm:f>
          </x14:formula1>
          <xm:sqref>G9:G12</xm:sqref>
        </x14:dataValidation>
        <x14:dataValidation type="list" allowBlank="1" showInputMessage="1" showErrorMessage="1" xr:uid="{6420389D-B013-470E-8111-F4BEC725F010}">
          <x14:formula1>
            <xm:f>Reference!$B$2:$B$18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3AF4-BA8B-4712-A3DF-B04A77B60A6E}">
  <sheetPr codeName="Sheet17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75" width="8.88671875" style="3" hidden="1"/>
    <col min="16376" max="16379" width="0" style="3" hidden="1"/>
    <col min="16380" max="16384" width="8.88671875" style="3" hidden="1"/>
  </cols>
  <sheetData>
    <row r="1" spans="2:11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8">
      <c r="B2" s="58" t="s">
        <v>34</v>
      </c>
      <c r="C2" s="59"/>
      <c r="D2" s="59"/>
      <c r="E2" s="59"/>
      <c r="F2" s="59"/>
      <c r="G2" s="59"/>
      <c r="H2" s="59"/>
      <c r="I2" s="59"/>
      <c r="J2" s="59"/>
      <c r="K2" s="60"/>
    </row>
    <row r="3" spans="2:11" ht="14.4" customHeight="1">
      <c r="B3" s="13"/>
      <c r="C3" s="14"/>
      <c r="D3" s="15"/>
      <c r="E3" s="16"/>
      <c r="F3" s="16"/>
      <c r="G3" s="16"/>
      <c r="H3" s="16"/>
      <c r="I3" s="16"/>
      <c r="J3" s="16"/>
      <c r="K3" s="61" t="str">
        <f>IF(COUNTIF(Table110235[Test 3],1)=COUNTA(Table110235[Value]),"Ready","Not Ready")</f>
        <v>Ready</v>
      </c>
    </row>
    <row r="4" spans="2:11" ht="14.4" customHeight="1">
      <c r="B4" s="17"/>
      <c r="C4" s="18"/>
      <c r="D4" s="52"/>
      <c r="E4" s="52"/>
      <c r="F4" s="52"/>
      <c r="G4" s="52"/>
      <c r="H4" s="19"/>
      <c r="I4" s="52"/>
      <c r="J4" s="52"/>
      <c r="K4" s="62"/>
    </row>
    <row r="5" spans="2:11" ht="14.4" customHeight="1">
      <c r="B5" s="17"/>
      <c r="C5" s="18"/>
      <c r="D5" s="52"/>
      <c r="E5" s="52"/>
      <c r="F5" s="52"/>
      <c r="G5" s="52"/>
      <c r="H5" s="19"/>
      <c r="I5" s="52"/>
      <c r="J5" s="52"/>
      <c r="K5" s="62"/>
    </row>
    <row r="6" spans="2:11" ht="14.4" customHeight="1">
      <c r="B6" s="17"/>
      <c r="C6" s="18"/>
      <c r="D6" s="52"/>
      <c r="E6" s="52"/>
      <c r="F6" s="52"/>
      <c r="G6" s="52"/>
      <c r="H6" s="19"/>
      <c r="I6" s="52"/>
      <c r="J6" s="52"/>
      <c r="K6" s="62"/>
    </row>
    <row r="7" spans="2:11" ht="14.4" customHeight="1">
      <c r="B7" s="20"/>
      <c r="C7" s="21"/>
      <c r="D7" s="22"/>
      <c r="E7" s="22"/>
      <c r="F7" s="22"/>
      <c r="G7" s="22"/>
      <c r="H7" s="23"/>
      <c r="I7" s="22"/>
      <c r="J7" s="22"/>
      <c r="K7" s="63"/>
    </row>
    <row r="8" spans="2:11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>
      <c r="B9" s="4" t="s">
        <v>70</v>
      </c>
      <c r="C9" s="31">
        <v>0.48</v>
      </c>
      <c r="D9" s="2" t="s">
        <v>3</v>
      </c>
      <c r="E9" s="50" t="s">
        <v>16</v>
      </c>
      <c r="F9" s="50" t="s">
        <v>7</v>
      </c>
      <c r="G9" s="2" t="s">
        <v>32</v>
      </c>
      <c r="H9" s="50">
        <v>1</v>
      </c>
      <c r="I9" s="50">
        <v>1</v>
      </c>
      <c r="J9" s="6">
        <v>1</v>
      </c>
      <c r="K9" s="5" t="s">
        <v>71</v>
      </c>
    </row>
    <row r="10" spans="2:11" ht="28.8">
      <c r="B10" s="4" t="s">
        <v>33</v>
      </c>
      <c r="C10" s="31">
        <v>0.25240000000000001</v>
      </c>
      <c r="D10" s="2" t="s">
        <v>23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76</v>
      </c>
    </row>
    <row r="11" spans="2:11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selectLockedCells="1"/>
  <mergeCells count="2">
    <mergeCell ref="B2:K2"/>
    <mergeCell ref="K3:K7"/>
  </mergeCells>
  <conditionalFormatting sqref="C9:C11">
    <cfRule type="expression" dxfId="59" priority="1">
      <formula>IF(AND($C9&lt;&gt;"",$J9=0),1,0)</formula>
    </cfRule>
    <cfRule type="expression" dxfId="58" priority="2">
      <formula>IF($C9&lt;&gt;"",1,0)</formula>
    </cfRule>
    <cfRule type="expression" dxfId="57" priority="3">
      <formula>$J9=0</formula>
    </cfRule>
  </conditionalFormatting>
  <conditionalFormatting sqref="K3">
    <cfRule type="expression" dxfId="56" priority="2270">
      <formula>IF(COUNTA($C$9:$C$11)&lt;&gt;COUNTIF($J$9:$J$11,1),1,0)</formula>
    </cfRule>
    <cfRule type="expression" dxfId="55" priority="2271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3</xdr:row>
                    <xdr:rowOff>76200</xdr:rowOff>
                  </from>
                  <to>
                    <xdr:col>2</xdr:col>
                    <xdr:colOff>922020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3</xdr:row>
                    <xdr:rowOff>76200</xdr:rowOff>
                  </from>
                  <to>
                    <xdr:col>4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3</xdr:row>
                    <xdr:rowOff>76200</xdr:rowOff>
                  </from>
                  <to>
                    <xdr:col>5</xdr:col>
                    <xdr:colOff>396240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CB9286-F010-48A8-8CF2-F910B3E76DAE}">
          <x14:formula1>
            <xm:f>'C:\Users\tkim333\Desktop\RAPID Model Release\v3.0\[Test.xlsm]Reference'!#REF!</xm:f>
          </x14:formula1>
          <xm:sqref>F9:G9</xm:sqref>
        </x14:dataValidation>
        <x14:dataValidation type="list" allowBlank="1" showInputMessage="1" showErrorMessage="1" xr:uid="{F6CA7333-2F06-4650-9094-7998B86EE8FF}">
          <x14:formula1>
            <xm:f>Reference!$A$2:$A$8</xm:f>
          </x14:formula1>
          <xm:sqref>F10:F11</xm:sqref>
        </x14:dataValidation>
        <x14:dataValidation type="list" allowBlank="1" showInputMessage="1" showErrorMessage="1" xr:uid="{C1E2B3EE-5910-4826-870D-3F1B20513CBE}">
          <x14:formula1>
            <xm:f>Reference!$C$2:$C$23</xm:f>
          </x14:formula1>
          <xm:sqref>G10:G11</xm:sqref>
        </x14:dataValidation>
        <x14:dataValidation type="list" allowBlank="1" showInputMessage="1" showErrorMessage="1" xr:uid="{2B58CA7A-202B-4ED2-9294-A79968E7DB3D}">
          <x14:formula1>
            <xm:f>Reference!$B$2:$B$18</xm:f>
          </x14:formula1>
          <xm:sqref>E9:E11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2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9" sqref="C9:C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75" width="8.88671875" style="3" hidden="1"/>
    <col min="16376" max="16379" width="0" style="3" hidden="1"/>
    <col min="16380" max="16384" width="8.88671875" style="3" hidden="1"/>
  </cols>
  <sheetData>
    <row r="1" spans="2:11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8">
      <c r="B2" s="58" t="s">
        <v>34</v>
      </c>
      <c r="C2" s="59"/>
      <c r="D2" s="59"/>
      <c r="E2" s="59"/>
      <c r="F2" s="59"/>
      <c r="G2" s="59"/>
      <c r="H2" s="59"/>
      <c r="I2" s="59"/>
      <c r="J2" s="59"/>
      <c r="K2" s="60"/>
    </row>
    <row r="3" spans="2:11" ht="14.4" customHeight="1">
      <c r="B3" s="13"/>
      <c r="C3" s="14"/>
      <c r="D3" s="15"/>
      <c r="E3" s="16"/>
      <c r="F3" s="16"/>
      <c r="G3" s="16"/>
      <c r="H3" s="16"/>
      <c r="I3" s="16"/>
      <c r="J3" s="16"/>
      <c r="K3" s="61" t="str">
        <f>IF(COUNTIF(Table1102367[Test 3],1)=COUNTA(Table1102367[Value]),"Ready","Not Ready")</f>
        <v>Ready</v>
      </c>
    </row>
    <row r="4" spans="2:11" ht="14.4" customHeight="1">
      <c r="B4" s="17"/>
      <c r="C4" s="18"/>
      <c r="D4" s="52"/>
      <c r="E4" s="52"/>
      <c r="F4" s="52"/>
      <c r="G4" s="52"/>
      <c r="H4" s="19"/>
      <c r="I4" s="52"/>
      <c r="J4" s="52"/>
      <c r="K4" s="62"/>
    </row>
    <row r="5" spans="2:11" ht="14.4" customHeight="1">
      <c r="B5" s="17"/>
      <c r="C5" s="18"/>
      <c r="D5" s="52"/>
      <c r="E5" s="52"/>
      <c r="F5" s="52"/>
      <c r="G5" s="52"/>
      <c r="H5" s="19"/>
      <c r="I5" s="52"/>
      <c r="J5" s="52"/>
      <c r="K5" s="62"/>
    </row>
    <row r="6" spans="2:11" ht="14.4" customHeight="1">
      <c r="B6" s="17"/>
      <c r="C6" s="18"/>
      <c r="D6" s="52"/>
      <c r="E6" s="52"/>
      <c r="F6" s="52"/>
      <c r="G6" s="52"/>
      <c r="H6" s="19"/>
      <c r="I6" s="52"/>
      <c r="J6" s="52"/>
      <c r="K6" s="62"/>
    </row>
    <row r="7" spans="2:11" ht="14.4" customHeight="1">
      <c r="B7" s="20"/>
      <c r="C7" s="21"/>
      <c r="D7" s="22"/>
      <c r="E7" s="22"/>
      <c r="F7" s="22"/>
      <c r="G7" s="22"/>
      <c r="H7" s="23"/>
      <c r="I7" s="22"/>
      <c r="J7" s="22"/>
      <c r="K7" s="63"/>
    </row>
    <row r="8" spans="2:11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>
      <c r="B9" s="4" t="s">
        <v>96</v>
      </c>
      <c r="C9" s="31">
        <v>3.0856051519999999</v>
      </c>
      <c r="D9" s="2" t="s">
        <v>20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137</v>
      </c>
    </row>
    <row r="10" spans="2:11">
      <c r="B10" s="4" t="s">
        <v>97</v>
      </c>
      <c r="C10" s="31">
        <v>0.47649581499999999</v>
      </c>
      <c r="D10" s="2" t="s">
        <v>20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137</v>
      </c>
    </row>
    <row r="11" spans="2:11">
      <c r="B11" s="4" t="s">
        <v>121</v>
      </c>
      <c r="C11" s="31">
        <v>318.14999999999998</v>
      </c>
      <c r="D11" s="2" t="s">
        <v>21</v>
      </c>
      <c r="E11" s="50" t="s">
        <v>16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138</v>
      </c>
    </row>
    <row r="12" spans="2:11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selectLockedCells="1"/>
  <mergeCells count="2">
    <mergeCell ref="B2:K2"/>
    <mergeCell ref="K3:K7"/>
  </mergeCells>
  <conditionalFormatting sqref="C9:C12">
    <cfRule type="expression" dxfId="39" priority="1">
      <formula>IF(AND($C9&lt;&gt;"",$J9=0),1,0)</formula>
    </cfRule>
    <cfRule type="expression" dxfId="38" priority="2">
      <formula>IF($C9&lt;&gt;"",1,0)</formula>
    </cfRule>
    <cfRule type="expression" dxfId="37" priority="3">
      <formula>$J9=0</formula>
    </cfRule>
  </conditionalFormatting>
  <conditionalFormatting sqref="K3">
    <cfRule type="expression" dxfId="36" priority="2286">
      <formula>IF(COUNTA($C$9:$C$12)&lt;&gt;COUNTIF($J$9:$J$12,1),1,0)</formula>
    </cfRule>
    <cfRule type="expression" dxfId="35" priority="2287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3</xdr:row>
                    <xdr:rowOff>76200</xdr:rowOff>
                  </from>
                  <to>
                    <xdr:col>2</xdr:col>
                    <xdr:colOff>922020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3</xdr:row>
                    <xdr:rowOff>76200</xdr:rowOff>
                  </from>
                  <to>
                    <xdr:col>4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3</xdr:row>
                    <xdr:rowOff>76200</xdr:rowOff>
                  </from>
                  <to>
                    <xdr:col>5</xdr:col>
                    <xdr:colOff>396240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E9:E12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G9:G12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F9:F12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75" width="8.88671875" style="3" hidden="1"/>
    <col min="16376" max="16379" width="0" style="3" hidden="1"/>
    <col min="16380" max="16384" width="8.88671875" style="3" hidden="1"/>
  </cols>
  <sheetData>
    <row r="1" spans="2:11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8">
      <c r="B2" s="58" t="s">
        <v>34</v>
      </c>
      <c r="C2" s="59"/>
      <c r="D2" s="59"/>
      <c r="E2" s="59"/>
      <c r="F2" s="59"/>
      <c r="G2" s="59"/>
      <c r="H2" s="59"/>
      <c r="I2" s="59"/>
      <c r="J2" s="59"/>
      <c r="K2" s="60"/>
    </row>
    <row r="3" spans="2:11" ht="14.4" customHeight="1">
      <c r="B3" s="13"/>
      <c r="C3" s="14"/>
      <c r="D3" s="15"/>
      <c r="E3" s="16"/>
      <c r="F3" s="16"/>
      <c r="G3" s="16"/>
      <c r="H3" s="16"/>
      <c r="I3" s="16"/>
      <c r="J3" s="16"/>
      <c r="K3" s="61" t="str">
        <f>IF(COUNTIF(Table110236[Test 3],1)=COUNTA(Table110236[Value]),"Ready","Not Ready")</f>
        <v>Ready</v>
      </c>
    </row>
    <row r="4" spans="2:11" ht="14.4" customHeight="1">
      <c r="B4" s="17"/>
      <c r="C4" s="18"/>
      <c r="D4" s="52"/>
      <c r="E4" s="52"/>
      <c r="F4" s="52"/>
      <c r="G4" s="52"/>
      <c r="H4" s="19"/>
      <c r="I4" s="52"/>
      <c r="J4" s="52"/>
      <c r="K4" s="62"/>
    </row>
    <row r="5" spans="2:11" ht="14.4" customHeight="1">
      <c r="B5" s="17"/>
      <c r="C5" s="18"/>
      <c r="D5" s="52"/>
      <c r="E5" s="52"/>
      <c r="F5" s="52"/>
      <c r="G5" s="52"/>
      <c r="H5" s="19"/>
      <c r="I5" s="52"/>
      <c r="J5" s="52"/>
      <c r="K5" s="62"/>
    </row>
    <row r="6" spans="2:11" ht="14.4" customHeight="1">
      <c r="B6" s="17"/>
      <c r="C6" s="18"/>
      <c r="D6" s="52"/>
      <c r="E6" s="52"/>
      <c r="F6" s="52"/>
      <c r="G6" s="52"/>
      <c r="H6" s="19"/>
      <c r="I6" s="52"/>
      <c r="J6" s="52"/>
      <c r="K6" s="62"/>
    </row>
    <row r="7" spans="2:11" ht="14.4" customHeight="1">
      <c r="B7" s="20"/>
      <c r="C7" s="21"/>
      <c r="D7" s="22"/>
      <c r="E7" s="22"/>
      <c r="F7" s="22"/>
      <c r="G7" s="22"/>
      <c r="H7" s="23"/>
      <c r="I7" s="22"/>
      <c r="J7" s="22"/>
      <c r="K7" s="63"/>
    </row>
    <row r="8" spans="2:11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28.8">
      <c r="B9" s="51" t="s">
        <v>116</v>
      </c>
      <c r="C9" s="31">
        <v>10</v>
      </c>
      <c r="D9" s="34" t="s">
        <v>104</v>
      </c>
      <c r="E9" s="50" t="s">
        <v>24</v>
      </c>
      <c r="F9" s="50" t="s">
        <v>7</v>
      </c>
      <c r="G9" s="2" t="s">
        <v>51</v>
      </c>
      <c r="H9" s="50">
        <v>1</v>
      </c>
      <c r="I9" s="50">
        <v>1</v>
      </c>
      <c r="J9" s="6">
        <v>1</v>
      </c>
      <c r="K9" s="5" t="s">
        <v>107</v>
      </c>
    </row>
    <row r="10" spans="2:11" ht="28.8">
      <c r="B10" s="51" t="s">
        <v>117</v>
      </c>
      <c r="C10" s="31">
        <v>12</v>
      </c>
      <c r="D10" s="34" t="s">
        <v>104</v>
      </c>
      <c r="E10" s="50" t="s">
        <v>24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108</v>
      </c>
    </row>
    <row r="11" spans="2:11">
      <c r="B11" s="51" t="s">
        <v>122</v>
      </c>
      <c r="C11" s="31">
        <v>7.8300000000000002E-3</v>
      </c>
      <c r="D11" s="34" t="s">
        <v>22</v>
      </c>
      <c r="E11" s="50" t="s">
        <v>24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111</v>
      </c>
    </row>
    <row r="12" spans="2:11">
      <c r="B12" s="51" t="s">
        <v>123</v>
      </c>
      <c r="C12" s="31">
        <v>502.32</v>
      </c>
      <c r="D12" s="34" t="s">
        <v>115</v>
      </c>
      <c r="E12" s="50" t="s">
        <v>24</v>
      </c>
      <c r="F12" s="50" t="s">
        <v>7</v>
      </c>
      <c r="G12" s="2" t="s">
        <v>51</v>
      </c>
      <c r="H12" s="50">
        <v>1</v>
      </c>
      <c r="I12" s="50">
        <v>1</v>
      </c>
      <c r="J12" s="6">
        <v>1</v>
      </c>
      <c r="K12" s="5" t="s">
        <v>112</v>
      </c>
    </row>
    <row r="13" spans="2:11">
      <c r="B13" s="8" t="s">
        <v>86</v>
      </c>
      <c r="C13" s="32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87</v>
      </c>
    </row>
  </sheetData>
  <sheetProtection selectLockedCells="1"/>
  <mergeCells count="2">
    <mergeCell ref="B2:K2"/>
    <mergeCell ref="K3:K7"/>
  </mergeCells>
  <conditionalFormatting sqref="C9:C13">
    <cfRule type="expression" dxfId="19" priority="1">
      <formula>IF(AND($C9&lt;&gt;"",$J9=0),1,0)</formula>
    </cfRule>
    <cfRule type="expression" dxfId="18" priority="2">
      <formula>IF($C9&lt;&gt;"",1,0)</formula>
    </cfRule>
    <cfRule type="expression" dxfId="17" priority="3">
      <formula>$J9=0</formula>
    </cfRule>
  </conditionalFormatting>
  <conditionalFormatting sqref="K3">
    <cfRule type="expression" dxfId="16" priority="2291">
      <formula>IF(COUNTA($C$9:$C$13)&lt;&gt;COUNTIF($J$9:$J$13,1),1,0)</formula>
    </cfRule>
    <cfRule type="expression" dxfId="15" priority="2292">
      <formula>IF(COUNTA($C$9:$C$13)=COUNTIF($J$9:$J$13,1),1,0)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3</xdr:row>
                    <xdr:rowOff>76200</xdr:rowOff>
                  </from>
                  <to>
                    <xdr:col>2</xdr:col>
                    <xdr:colOff>922020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3</xdr:row>
                    <xdr:rowOff>76200</xdr:rowOff>
                  </from>
                  <to>
                    <xdr:col>4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3</xdr:row>
                    <xdr:rowOff>76200</xdr:rowOff>
                  </from>
                  <to>
                    <xdr:col>5</xdr:col>
                    <xdr:colOff>396240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F9:F13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G9:G13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E9:E13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149"/>
  <sheetViews>
    <sheetView showGridLines="0" tabSelected="1" zoomScale="85" zoomScaleNormal="85" zoomScaleSheetLayoutView="55" workbookViewId="0">
      <pane ySplit="1" topLeftCell="A2" activePane="bottomLeft" state="frozen"/>
      <selection activeCell="C7" sqref="C7"/>
      <selection pane="bottomLeft" activeCell="K17" sqref="K17"/>
    </sheetView>
  </sheetViews>
  <sheetFormatPr defaultColWidth="0" defaultRowHeight="0" customHeight="1" zeroHeight="1"/>
  <cols>
    <col min="1" max="2" width="8.88671875" style="67" customWidth="1"/>
    <col min="3" max="3" width="13.109375" style="67" customWidth="1"/>
    <col min="4" max="4" width="13.44140625" style="67" customWidth="1"/>
    <col min="5" max="6" width="8.88671875" style="67" customWidth="1"/>
    <col min="7" max="7" width="14.77734375" style="67" customWidth="1"/>
    <col min="8" max="8" width="11.6640625" style="67" customWidth="1"/>
    <col min="9" max="9" width="10.33203125" style="67" customWidth="1"/>
    <col min="10" max="10" width="5.6640625" style="67" customWidth="1"/>
    <col min="11" max="11" width="10.5546875" style="67" customWidth="1"/>
    <col min="12" max="17" width="8.88671875" style="67" customWidth="1"/>
    <col min="18" max="16384" width="8.88671875" style="67" hidden="1"/>
  </cols>
  <sheetData>
    <row r="1" spans="1:17" ht="14.4">
      <c r="A1" s="64" t="str">
        <f>'[2]Revision History'!D4</f>
        <v>REV. NO.1 (6/8/2022)</v>
      </c>
      <c r="B1" s="65"/>
      <c r="C1" s="65"/>
      <c r="D1" s="65"/>
      <c r="E1" s="65"/>
      <c r="F1" s="65"/>
      <c r="G1" s="65"/>
      <c r="H1" s="65"/>
      <c r="I1" s="66"/>
      <c r="J1" s="66"/>
      <c r="K1" s="66"/>
      <c r="L1" s="66"/>
      <c r="M1" s="66"/>
      <c r="N1" s="66"/>
      <c r="O1" s="66"/>
      <c r="P1" s="66"/>
      <c r="Q1" s="66" t="str">
        <f>'Revision History'!$J$4</f>
        <v>Scott Research Group (jkscottresearchgroup.com)</v>
      </c>
    </row>
    <row r="2" spans="1:17" ht="14.4">
      <c r="A2" s="68" t="s">
        <v>139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</row>
    <row r="4" spans="1:17" ht="14.4">
      <c r="A4" s="70"/>
      <c r="B4" s="71" t="s">
        <v>140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</row>
    <row r="5" spans="1:17" ht="14.4">
      <c r="A5" s="70"/>
      <c r="B5" s="72"/>
      <c r="C5" s="71" t="s">
        <v>142</v>
      </c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</row>
    <row r="6" spans="1:17" ht="14.4">
      <c r="A6" s="70"/>
      <c r="B6" s="71"/>
      <c r="C6" s="71" t="s">
        <v>143</v>
      </c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</row>
    <row r="7" spans="1:17" ht="14.4">
      <c r="A7" s="70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</row>
    <row r="8" spans="1:17" ht="14.4">
      <c r="A8" s="70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</row>
    <row r="9" spans="1:17" ht="14.4">
      <c r="A9" s="70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</row>
    <row r="10" spans="1:17" ht="14.4">
      <c r="A10" s="70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</row>
    <row r="11" spans="1:17" ht="14.4">
      <c r="A11" s="70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</row>
    <row r="12" spans="1:17" ht="14.4">
      <c r="A12" s="70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</row>
    <row r="13" spans="1:17" ht="14.4">
      <c r="A13" s="70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</row>
    <row r="14" spans="1:17" ht="14.4">
      <c r="A14" s="70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</row>
    <row r="15" spans="1:17" ht="14.4">
      <c r="A15" s="70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</row>
    <row r="16" spans="1:17" ht="14.4">
      <c r="A16" s="70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</row>
    <row r="17" spans="1:17" ht="14.4">
      <c r="A17" s="70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</row>
    <row r="18" spans="1:17" ht="14.4">
      <c r="A18" s="70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</row>
    <row r="19" spans="1:17" ht="14.4">
      <c r="A19" s="70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</row>
    <row r="20" spans="1:17" ht="14.4">
      <c r="A20" s="70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</row>
    <row r="21" spans="1:17" ht="14.4">
      <c r="A21" s="70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</row>
    <row r="22" spans="1:17" ht="14.4">
      <c r="A22" s="70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</row>
    <row r="23" spans="1:17" ht="14.4">
      <c r="A23" s="70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</row>
    <row r="24" spans="1:17" ht="14.4">
      <c r="A24" s="70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</row>
    <row r="25" spans="1:17" ht="14.4">
      <c r="A25" s="70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</row>
    <row r="26" spans="1:17" ht="14.4">
      <c r="A26" s="70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</row>
    <row r="27" spans="1:17" ht="14.4">
      <c r="A27" s="70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</row>
    <row r="28" spans="1:17" ht="14.4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</row>
    <row r="29" spans="1:17" ht="14.4">
      <c r="A29" s="70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</row>
    <row r="30" spans="1:17" ht="14.4">
      <c r="A30" s="70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</row>
    <row r="31" spans="1:17" ht="14.4">
      <c r="A31" s="70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</row>
    <row r="32" spans="1:17" ht="14.4">
      <c r="A32" s="70"/>
      <c r="B32" s="72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</row>
    <row r="33" spans="1:17" ht="14.4">
      <c r="A33" s="70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</row>
    <row r="34" spans="1:17" ht="14.4">
      <c r="A34" s="70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</row>
    <row r="35" spans="1:17" ht="0" hidden="1" customHeight="1"/>
    <row r="36" spans="1:17" ht="0" hidden="1" customHeight="1"/>
    <row r="37" spans="1:17" ht="0" hidden="1" customHeight="1"/>
    <row r="38" spans="1:17" ht="0" hidden="1" customHeight="1"/>
    <row r="39" spans="1:17" ht="0" hidden="1" customHeight="1"/>
    <row r="40" spans="1:17" ht="0" hidden="1" customHeight="1"/>
    <row r="41" spans="1:17" ht="0" hidden="1" customHeight="1"/>
    <row r="42" spans="1:17" ht="0" hidden="1" customHeight="1"/>
    <row r="43" spans="1:17" ht="0" hidden="1" customHeight="1"/>
    <row r="44" spans="1:17" ht="0" hidden="1" customHeight="1"/>
    <row r="45" spans="1:17" ht="0" hidden="1" customHeight="1"/>
    <row r="46" spans="1:17" ht="0" hidden="1" customHeight="1"/>
    <row r="47" spans="1:17" ht="0" hidden="1" customHeight="1"/>
    <row r="48" spans="1:17" ht="0" hidden="1" customHeight="1"/>
    <row r="49" ht="0" hidden="1" customHeight="1"/>
    <row r="50" ht="0" hidden="1" customHeight="1"/>
    <row r="51" ht="0" hidden="1" customHeight="1"/>
    <row r="52" ht="0" hidden="1" customHeight="1"/>
    <row r="53" ht="0" hidden="1" customHeight="1"/>
    <row r="54" ht="0" hidden="1" customHeight="1"/>
    <row r="55" ht="0" hidden="1" customHeight="1"/>
    <row r="56" ht="0" hidden="1" customHeight="1"/>
    <row r="57" ht="0" hidden="1" customHeight="1"/>
    <row r="58" ht="0" hidden="1" customHeight="1"/>
    <row r="59" ht="0" hidden="1" customHeight="1"/>
    <row r="60" ht="0" hidden="1" customHeight="1"/>
    <row r="61" ht="0" hidden="1" customHeight="1"/>
    <row r="62" ht="0" hidden="1" customHeight="1"/>
    <row r="63" ht="0" hidden="1" customHeight="1"/>
    <row r="64" ht="0" hidden="1" customHeight="1"/>
    <row r="65" ht="0" hidden="1" customHeight="1"/>
    <row r="66" ht="0" hidden="1" customHeight="1"/>
    <row r="67" ht="0" hidden="1" customHeight="1"/>
    <row r="68" ht="0" hidden="1" customHeight="1"/>
    <row r="69" ht="0" hidden="1" customHeight="1"/>
    <row r="70" ht="0" hidden="1" customHeight="1"/>
    <row r="71" ht="0" hidden="1" customHeight="1"/>
    <row r="72" ht="0" hidden="1" customHeight="1"/>
    <row r="73" ht="0" hidden="1" customHeight="1"/>
    <row r="74" ht="0" hidden="1" customHeight="1"/>
    <row r="75" ht="0" hidden="1" customHeight="1"/>
    <row r="76" ht="0" hidden="1" customHeight="1"/>
    <row r="77" ht="0" hidden="1" customHeight="1"/>
    <row r="78" ht="0" hidden="1" customHeight="1"/>
    <row r="79" ht="0" hidden="1" customHeight="1"/>
    <row r="80" ht="0" hidden="1" customHeight="1"/>
    <row r="81" ht="0" hidden="1" customHeight="1"/>
    <row r="82" ht="0" hidden="1" customHeight="1"/>
    <row r="83" ht="0" hidden="1" customHeight="1"/>
    <row r="84" ht="0" hidden="1" customHeight="1"/>
    <row r="85" ht="0" hidden="1" customHeight="1"/>
    <row r="86" ht="0" hidden="1" customHeight="1"/>
    <row r="87" ht="0" hidden="1" customHeight="1"/>
    <row r="88" ht="0" hidden="1" customHeight="1"/>
    <row r="89" ht="0" hidden="1" customHeight="1"/>
    <row r="90" ht="0" hidden="1" customHeight="1"/>
    <row r="91" ht="0" hidden="1" customHeight="1"/>
    <row r="92" ht="0" hidden="1" customHeight="1"/>
    <row r="93" ht="0" hidden="1" customHeight="1"/>
    <row r="94" ht="0" hidden="1" customHeight="1"/>
    <row r="95" ht="0" hidden="1" customHeight="1"/>
    <row r="96" ht="0" hidden="1" customHeight="1"/>
    <row r="97" ht="0" hidden="1" customHeight="1"/>
    <row r="98" ht="0" hidden="1" customHeight="1"/>
    <row r="99" ht="0" hidden="1" customHeight="1"/>
    <row r="100" ht="0" hidden="1" customHeight="1"/>
    <row r="101" ht="0" hidden="1" customHeight="1"/>
    <row r="102" ht="0" hidden="1" customHeight="1"/>
    <row r="103" ht="0" hidden="1" customHeight="1"/>
    <row r="104" ht="0" hidden="1" customHeight="1"/>
    <row r="105" ht="0" hidden="1" customHeight="1"/>
    <row r="106" ht="0" hidden="1" customHeight="1"/>
    <row r="107" ht="0" hidden="1" customHeight="1"/>
    <row r="108" ht="0" hidden="1" customHeight="1"/>
    <row r="109" ht="0" hidden="1" customHeight="1"/>
    <row r="110" ht="0" hidden="1" customHeight="1"/>
    <row r="111" ht="0" hidden="1" customHeight="1"/>
    <row r="112" ht="0" hidden="1" customHeight="1"/>
    <row r="113" ht="0" hidden="1" customHeight="1"/>
    <row r="114" ht="0" hidden="1" customHeight="1"/>
    <row r="115" ht="0" hidden="1" customHeight="1"/>
    <row r="116" ht="0" hidden="1" customHeight="1"/>
    <row r="117" ht="0" hidden="1" customHeight="1"/>
    <row r="118" ht="0" hidden="1" customHeight="1"/>
    <row r="119" ht="0" hidden="1" customHeight="1"/>
    <row r="120" ht="0" hidden="1" customHeight="1"/>
    <row r="121" ht="0" hidden="1" customHeight="1"/>
    <row r="122" ht="0" hidden="1" customHeight="1"/>
    <row r="123" ht="0" hidden="1" customHeight="1"/>
    <row r="124" ht="0" hidden="1" customHeight="1"/>
    <row r="125" ht="0" hidden="1" customHeight="1"/>
    <row r="126" ht="0" hidden="1" customHeight="1"/>
    <row r="127" ht="0" hidden="1" customHeight="1"/>
    <row r="128" ht="0" hidden="1" customHeight="1"/>
    <row r="129" ht="0" hidden="1" customHeight="1"/>
    <row r="130" ht="0" hidden="1" customHeight="1"/>
    <row r="131" ht="0" hidden="1" customHeight="1"/>
    <row r="132" ht="0" hidden="1" customHeight="1"/>
    <row r="133" ht="0" hidden="1" customHeight="1"/>
    <row r="134" ht="0" hidden="1" customHeight="1"/>
    <row r="135" ht="0" hidden="1" customHeight="1"/>
    <row r="136" ht="0" hidden="1" customHeight="1"/>
    <row r="137" ht="0" hidden="1" customHeight="1"/>
    <row r="138" ht="0" hidden="1" customHeight="1"/>
    <row r="139" ht="0" hidden="1" customHeight="1"/>
    <row r="140" ht="0" hidden="1" customHeight="1"/>
    <row r="141" ht="0" hidden="1" customHeight="1"/>
    <row r="142" ht="0" hidden="1" customHeight="1"/>
    <row r="143" ht="0" hidden="1" customHeight="1"/>
    <row r="144" ht="0" hidden="1" customHeight="1"/>
    <row r="145" ht="0" hidden="1" customHeight="1"/>
    <row r="146" ht="0" hidden="1" customHeight="1"/>
    <row r="147" ht="0" hidden="1" customHeight="1"/>
    <row r="148" ht="0" hidden="1" customHeight="1"/>
    <row r="149" ht="0" hidden="1" customHeight="1"/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EF533-8ADE-45D9-981B-5BE1C7412126}">
  <sheetPr codeName="Sheet2">
    <tabColor rgb="FF00B050"/>
  </sheetPr>
  <dimension ref="A1:AV52"/>
  <sheetViews>
    <sheetView showGridLines="0" tabSelected="1" zoomScale="85" zoomScaleNormal="85" zoomScaleSheetLayoutView="55" workbookViewId="0">
      <selection activeCell="K17" sqref="K17"/>
    </sheetView>
  </sheetViews>
  <sheetFormatPr defaultColWidth="0" defaultRowHeight="14.4" customHeight="1" zeroHeight="1"/>
  <cols>
    <col min="1" max="18" width="8.88671875" style="73" customWidth="1"/>
    <col min="19" max="39" width="0" style="73" hidden="1" customWidth="1"/>
    <col min="40" max="48" width="0" style="73" hidden="1"/>
    <col min="49" max="16384" width="8.88671875" style="73" hidden="1"/>
  </cols>
  <sheetData>
    <row r="1" spans="1:18">
      <c r="A1" s="64" t="str">
        <f>'[2]Revision History'!D4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'Revision History'!$J$4</f>
        <v>Scott Research Group (jkscottresearchgroup.com)</v>
      </c>
    </row>
    <row r="2" spans="1:18">
      <c r="A2" s="74" t="s">
        <v>141</v>
      </c>
      <c r="B2" s="75"/>
      <c r="C2" s="75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7"/>
    </row>
    <row r="3" spans="1:18">
      <c r="A3" s="70"/>
      <c r="B3" s="71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9"/>
    </row>
    <row r="4" spans="1:18">
      <c r="A4" s="70"/>
      <c r="B4" s="71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9"/>
    </row>
    <row r="5" spans="1:18">
      <c r="A5" s="70"/>
      <c r="B5" s="71"/>
      <c r="C5" s="78" t="s">
        <v>142</v>
      </c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9"/>
    </row>
    <row r="6" spans="1:18">
      <c r="A6" s="70"/>
      <c r="B6" s="71"/>
      <c r="C6" s="78" t="s">
        <v>143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9"/>
    </row>
    <row r="7" spans="1:18">
      <c r="A7" s="70"/>
      <c r="B7" s="71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9"/>
    </row>
    <row r="8" spans="1:18">
      <c r="A8" s="70"/>
      <c r="B8" s="71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9"/>
    </row>
    <row r="9" spans="1:18">
      <c r="A9" s="70"/>
      <c r="B9" s="71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9"/>
    </row>
    <row r="10" spans="1:18">
      <c r="A10" s="70"/>
      <c r="B10" s="71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9"/>
    </row>
    <row r="11" spans="1:18">
      <c r="A11" s="70"/>
      <c r="B11" s="71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9"/>
    </row>
    <row r="12" spans="1:18">
      <c r="A12" s="70"/>
      <c r="B12" s="71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9"/>
    </row>
    <row r="13" spans="1:18">
      <c r="A13" s="70"/>
      <c r="B13" s="71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9"/>
    </row>
    <row r="14" spans="1:18">
      <c r="A14" s="70"/>
      <c r="B14" s="71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9"/>
    </row>
    <row r="15" spans="1:18">
      <c r="A15" s="70"/>
      <c r="B15" s="71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9"/>
    </row>
    <row r="16" spans="1:18">
      <c r="A16" s="70"/>
      <c r="B16" s="71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9"/>
    </row>
    <row r="17" spans="1:18">
      <c r="A17" s="70"/>
      <c r="B17" s="71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9"/>
    </row>
    <row r="18" spans="1:18">
      <c r="A18" s="70"/>
      <c r="B18" s="71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9"/>
    </row>
    <row r="19" spans="1:18">
      <c r="A19" s="70"/>
      <c r="B19" s="71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9"/>
    </row>
    <row r="20" spans="1:18">
      <c r="A20" s="70"/>
      <c r="B20" s="71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9"/>
    </row>
    <row r="21" spans="1:18">
      <c r="A21" s="70"/>
      <c r="B21" s="71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9"/>
    </row>
    <row r="22" spans="1:18">
      <c r="A22" s="70"/>
      <c r="B22" s="71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9"/>
    </row>
    <row r="23" spans="1:18">
      <c r="A23" s="70"/>
      <c r="B23" s="71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9"/>
    </row>
    <row r="24" spans="1:18">
      <c r="A24" s="70"/>
      <c r="B24" s="71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9"/>
    </row>
    <row r="25" spans="1:18">
      <c r="A25" s="70"/>
      <c r="B25" s="71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9"/>
    </row>
    <row r="26" spans="1:18">
      <c r="A26" s="70"/>
      <c r="B26" s="71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9"/>
    </row>
    <row r="27" spans="1:18">
      <c r="A27" s="70"/>
      <c r="B27" s="71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9"/>
    </row>
    <row r="28" spans="1:18">
      <c r="A28" s="70"/>
      <c r="B28" s="71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9"/>
    </row>
    <row r="29" spans="1:18">
      <c r="A29" s="70"/>
      <c r="B29" s="71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9"/>
    </row>
    <row r="30" spans="1:18">
      <c r="A30" s="70"/>
      <c r="B30" s="71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9"/>
    </row>
    <row r="31" spans="1:18">
      <c r="A31" s="70"/>
      <c r="B31" s="71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9"/>
    </row>
    <row r="32" spans="1:18">
      <c r="A32" s="70"/>
      <c r="B32" s="71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9"/>
    </row>
    <row r="33" spans="1:18">
      <c r="A33" s="70"/>
      <c r="B33" s="71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9"/>
    </row>
    <row r="34" spans="1:18">
      <c r="A34" s="70"/>
      <c r="B34" s="71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9"/>
    </row>
    <row r="35" spans="1:18">
      <c r="A35" s="70"/>
      <c r="B35" s="71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9"/>
    </row>
    <row r="36" spans="1:18">
      <c r="A36" s="70"/>
      <c r="B36" s="71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9"/>
    </row>
    <row r="37" spans="1:18">
      <c r="A37" s="70"/>
      <c r="B37" s="71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9"/>
    </row>
    <row r="38" spans="1:18">
      <c r="A38" s="70"/>
      <c r="B38" s="71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9"/>
    </row>
    <row r="39" spans="1:18">
      <c r="A39" s="70"/>
      <c r="B39" s="71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9"/>
    </row>
    <row r="40" spans="1:18">
      <c r="A40" s="70"/>
      <c r="B40" s="71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9"/>
    </row>
    <row r="41" spans="1:18">
      <c r="A41" s="70"/>
      <c r="B41" s="71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9"/>
    </row>
    <row r="42" spans="1:18">
      <c r="A42" s="70"/>
      <c r="B42" s="71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9"/>
    </row>
    <row r="43" spans="1:18">
      <c r="A43" s="70"/>
      <c r="B43" s="71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9"/>
    </row>
    <row r="44" spans="1:18">
      <c r="A44" s="70"/>
      <c r="B44" s="71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9"/>
    </row>
    <row r="45" spans="1:18">
      <c r="A45" s="70"/>
      <c r="B45" s="71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9"/>
    </row>
    <row r="46" spans="1:18">
      <c r="A46" s="70"/>
      <c r="B46" s="71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9"/>
    </row>
    <row r="47" spans="1:18">
      <c r="A47" s="70"/>
      <c r="B47" s="71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9"/>
    </row>
    <row r="48" spans="1:18">
      <c r="A48" s="70"/>
      <c r="B48" s="71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9"/>
    </row>
    <row r="49" spans="1:18">
      <c r="A49" s="70"/>
      <c r="B49" s="71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9"/>
    </row>
    <row r="50" spans="1:18">
      <c r="A50" s="70"/>
      <c r="B50" s="71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9"/>
    </row>
    <row r="51" spans="1:18">
      <c r="A51" s="70"/>
      <c r="B51" s="71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9"/>
    </row>
    <row r="52" spans="1:18">
      <c r="A52" s="70"/>
      <c r="B52" s="71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9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100</v>
      </c>
    </row>
    <row r="2" spans="1:1">
      <c r="A2" t="s">
        <v>98</v>
      </c>
    </row>
    <row r="3" spans="1:1">
      <c r="A3" t="s">
        <v>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topLeftCell="CF1" workbookViewId="0">
      <selection activeCell="CM2" sqref="CM2"/>
    </sheetView>
  </sheetViews>
  <sheetFormatPr defaultRowHeight="14.4"/>
  <sheetData>
    <row r="1" spans="1:19">
      <c r="A1" t="s">
        <v>46</v>
      </c>
      <c r="B1" t="s">
        <v>109</v>
      </c>
      <c r="C1" t="s">
        <v>86</v>
      </c>
      <c r="D1" t="s">
        <v>133</v>
      </c>
      <c r="E1" t="s">
        <v>105</v>
      </c>
      <c r="F1" t="s">
        <v>106</v>
      </c>
      <c r="G1" t="s">
        <v>86</v>
      </c>
      <c r="H1" t="s">
        <v>70</v>
      </c>
      <c r="I1" t="s">
        <v>33</v>
      </c>
      <c r="J1" t="s">
        <v>86</v>
      </c>
      <c r="K1" t="s">
        <v>96</v>
      </c>
      <c r="L1" t="s">
        <v>97</v>
      </c>
      <c r="M1" t="s">
        <v>121</v>
      </c>
      <c r="N1" t="s">
        <v>86</v>
      </c>
      <c r="O1" t="s">
        <v>116</v>
      </c>
      <c r="P1" t="s">
        <v>117</v>
      </c>
      <c r="Q1" t="s">
        <v>122</v>
      </c>
      <c r="R1" t="s">
        <v>123</v>
      </c>
      <c r="S1" t="s">
        <v>86</v>
      </c>
    </row>
    <row r="2" spans="1:19">
      <c r="A2">
        <v>1</v>
      </c>
      <c r="B2">
        <v>5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0.47649581499999999</v>
      </c>
      <c r="M2">
        <v>318.14999999999998</v>
      </c>
      <c r="O2">
        <v>10</v>
      </c>
      <c r="P2">
        <v>12</v>
      </c>
      <c r="Q2">
        <v>7.8300000000000002E-3</v>
      </c>
      <c r="R2">
        <v>502.32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topLeftCell="CC1" workbookViewId="0">
      <selection activeCell="CR2" sqref="CR2"/>
    </sheetView>
  </sheetViews>
  <sheetFormatPr defaultRowHeight="14.4"/>
  <sheetData>
    <row r="1" spans="1:19">
      <c r="A1" t="s">
        <v>46</v>
      </c>
      <c r="B1" t="s">
        <v>109</v>
      </c>
      <c r="C1" t="s">
        <v>86</v>
      </c>
      <c r="D1" t="s">
        <v>133</v>
      </c>
      <c r="E1" t="s">
        <v>105</v>
      </c>
      <c r="F1" t="s">
        <v>106</v>
      </c>
      <c r="G1" t="s">
        <v>86</v>
      </c>
      <c r="H1" t="s">
        <v>70</v>
      </c>
      <c r="I1" t="s">
        <v>33</v>
      </c>
      <c r="J1" t="s">
        <v>86</v>
      </c>
      <c r="K1" t="s">
        <v>96</v>
      </c>
      <c r="L1" t="s">
        <v>97</v>
      </c>
      <c r="M1" t="s">
        <v>121</v>
      </c>
      <c r="N1" t="s">
        <v>86</v>
      </c>
      <c r="O1" t="s">
        <v>116</v>
      </c>
      <c r="P1" t="s">
        <v>117</v>
      </c>
      <c r="Q1" t="s">
        <v>122</v>
      </c>
      <c r="R1" t="s">
        <v>123</v>
      </c>
      <c r="S1" t="s">
        <v>86</v>
      </c>
    </row>
    <row r="2" spans="1:1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PFD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2022-06-09T13:17:06Z</dcterms:modified>
</cp:coreProperties>
</file>