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2-verification/1_simulation_inputs/"/>
    </mc:Choice>
  </mc:AlternateContent>
  <xr:revisionPtr revIDLastSave="0" documentId="13_ncr:1_{A29D63D6-DA77-1C4C-BA3E-AF1DDF1AE78A}" xr6:coauthVersionLast="47" xr6:coauthVersionMax="47" xr10:uidLastSave="{00000000-0000-0000-0000-000000000000}"/>
  <bookViews>
    <workbookView xWindow="480" yWindow="1120" windowWidth="21600" windowHeight="12580" tabRatio="818" activeTab="1" xr2:uid="{CB583278-6AF7-49E7-A969-6064EAB4A9B4}"/>
  </bookViews>
  <sheets>
    <sheet name="Revision History" sheetId="39" r:id="rId1"/>
    <sheet name="Initialization" sheetId="40" r:id="rId2"/>
    <sheet name="Geometry" sheetId="43" r:id="rId3"/>
    <sheet name="Physical Properties" sheetId="31" r:id="rId4"/>
    <sheet name="Help" sheetId="41" r:id="rId5"/>
    <sheet name="Reference" sheetId="2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2" hidden="1">Geometry!$A$9:$J$9</definedName>
    <definedName name="_xlnm._FilterDatabase" localSheetId="1" hidden="1">Initialization!$A$9:$J$9</definedName>
    <definedName name="_xlnm._FilterDatabase" localSheetId="3" hidden="1">'Physical Properties'!$A$9:$J$9</definedName>
    <definedName name="_xlnm.Print_Area" localSheetId="2">Geometry!$A$2:$J$13</definedName>
    <definedName name="_xlnm.Print_Area" localSheetId="1">Initialization!$A$2:$J$14</definedName>
    <definedName name="_xlnm.Print_Area" localSheetId="3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40" l="1"/>
  <c r="H10" i="40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<sst xmlns="http://schemas.openxmlformats.org/spreadsheetml/2006/main" count="255" uniqueCount="137">
  <si>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</si>
  <si>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</si>
  <si>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</si>
  <si>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</si>
  <si>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</si>
  <si>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</si>
  <si>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</si>
  <si>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</si>
  <si>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</si>
  <si>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</si>
  <si>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</si>
  <si>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</si>
  <si>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</si>
  <si>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</si>
  <si>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</si>
  <si>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</si>
  <si>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</si>
  <si>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</si>
  <si>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</si>
  <si>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</si>
  <si>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</si>
  <si>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</si>
  <si>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</si>
  <si>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</si>
  <si>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</si>
  <si>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</si>
  <si>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</si>
  <si>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</si>
  <si>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</si>
  <si>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</si>
  <si>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</si>
  <si>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</si>
  <si>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</si>
  <si>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</si>
  <si>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</si>
  <si>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</si>
  <si>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</si>
  <si>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</si>
  <si>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</si>
  <si>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</si>
  <si>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</si>
  <si>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</si>
  <si>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</si>
  <si>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</si>
  <si>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</si>
  <si>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</si>
  <si>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</si>
  <si>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</si>
  <si>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</si>
  <si>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</si>
  <si>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</si>
  <si>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</si>
  <si>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</si>
  <si>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</si>
  <si>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</si>
  <si>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</si>
  <si>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</si>
  <si>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</si>
  <si>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</si>
  <si>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</si>
  <si>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</si>
  <si>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</si>
  <si>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</si>
  <si>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</si>
  <si>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</si>
  <si>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</si>
  <si>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</si>
  <si>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</si>
  <si>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</si>
  <si>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</si>
  <si>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</si>
  <si>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</si>
  <si>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</si>
  <si>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</si>
  <si>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</si>
  <si>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</si>
  <si>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</si>
  <si>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</si>
  <si>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</si>
  <si>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</si>
  <si>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</si>
  <si>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</si>
  <si>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</si>
  <si>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</si>
  <si>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</si>
  <si>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</si>
  <si>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</si>
  <si>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</si>
  <si>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</si>
  <si>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</si>
  <si>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</si>
  <si>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</si>
  <si>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</si>
  <si>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</si>
  <si>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</si>
  <si>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</si>
  <si>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</si>
  <si>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</si>
  <si>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</si>
  <si>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</si>
  <si>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</si>
  <si>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</si>
  <si>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</si>
  <si>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</si>
  <si>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</si>
  <si>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</si>
  <si>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</si>
  <si>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</si>
  <si>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</si>
  <si>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</si>
  <si>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</si>
  <si>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</si>
  <si>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</si>
  <si>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</si>
  <si>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</si>
  <si>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</si>
  <si>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</si>
  <si>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</si>
  <si>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</si>
  <si>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</si>
  <si>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</si>
  <si>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</si>
  <si>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</si>
  <si>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</si>
  <si>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</si>
  <si>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</si>
  <si>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</si>
  <si>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</si>
  <si>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</si>
  <si>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</si>
  <si>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</si>
  <si>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</si>
  <si>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</si>
  <si>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</si>
  <si>
    <t>inConFeTa1</t>
  </si>
  <si>
    <t>inConFeTa2</t>
  </si>
  <si>
    <t>1 = feed gas at a feed pressure
2 = extract product gas at a feed pressure
3 = second feed gas at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</si>
</sst>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8001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1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1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1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2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2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2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3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3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3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/4_example/dev/1_simulation_inputs/4.1_cycle_organization.xlsm" TargetMode="External"/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vkalman/Documents/github/toPSAil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Cycle Information"/>
      <sheetName val="Cycle Organizer Save"/>
      <sheetName val="Cycle Organizer Test"/>
      <sheetName val="Cycle Organizer Kayser"/>
      <sheetName val="Cycle Organizer"/>
      <sheetName val="PFD"/>
      <sheetName val="Cv"/>
      <sheetName val="Cv Estimator"/>
      <sheetName val="Events"/>
      <sheetName val="maintenance check list"/>
      <sheetName val="Reference"/>
      <sheetName val="Data(Test)"/>
      <sheetName val="Data(Transposed)"/>
    </sheetNames>
    <sheetDataSet>
      <sheetData sheetId="0"/>
      <sheetData sheetId="1">
        <row r="13">
          <cell r="B13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4" totalsRowShown="0" headerRowDxfId="60" dataDxfId="58" headerRowBorderDxfId="59" tableBorderDxfId="57" totalsRowBorderDxfId="56">
  <autoFilter ref="A9:J14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128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7" t="s">
        <v>39</v>
      </c>
      <c r="E5" s="57"/>
      <c r="F5" s="57"/>
      <c r="G5" s="57"/>
      <c r="H5" s="57"/>
      <c r="I5" s="57"/>
      <c r="J5" s="57"/>
    </row>
    <row r="6" spans="4:10" ht="20" x14ac:dyDescent="0.2">
      <c r="D6" s="46" t="s">
        <v>33</v>
      </c>
      <c r="E6" s="46" t="s">
        <v>116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129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127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5"/>
  <sheetViews>
    <sheetView showGridLines="0" tabSelected="1" zoomScaleNormal="85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48" x14ac:dyDescent="0.2">
      <c r="A10" s="4" t="s">
        <v>134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56">
        <f>[1]Initialization!$B$13</f>
        <v>2</v>
      </c>
      <c r="I10" s="6">
        <v>1</v>
      </c>
      <c r="J10" s="5" t="s">
        <v>136</v>
      </c>
    </row>
    <row r="11" spans="1:10" ht="48" x14ac:dyDescent="0.2">
      <c r="A11" s="4" t="s">
        <v>135</v>
      </c>
      <c r="B11" s="32">
        <v>3</v>
      </c>
      <c r="C11" s="2" t="s">
        <v>3</v>
      </c>
      <c r="D11" s="1" t="s">
        <v>30</v>
      </c>
      <c r="E11" s="1" t="s">
        <v>83</v>
      </c>
      <c r="F11" s="2" t="s">
        <v>43</v>
      </c>
      <c r="G11" s="1"/>
      <c r="H11" s="56">
        <f>[1]Initialization!$B$13</f>
        <v>2</v>
      </c>
      <c r="I11" s="6">
        <v>1</v>
      </c>
      <c r="J11" s="5" t="s">
        <v>136</v>
      </c>
    </row>
    <row r="12" spans="1:10" ht="16" x14ac:dyDescent="0.2">
      <c r="A12" s="38" t="s">
        <v>106</v>
      </c>
      <c r="B12" s="32">
        <v>283</v>
      </c>
      <c r="C12" s="35" t="s">
        <v>21</v>
      </c>
      <c r="D12" s="1" t="s">
        <v>17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103</v>
      </c>
    </row>
    <row r="13" spans="1:10" ht="16" x14ac:dyDescent="0.2">
      <c r="A13" s="4" t="s">
        <v>87</v>
      </c>
      <c r="B13" s="32">
        <v>1.25</v>
      </c>
      <c r="C13" s="2" t="s">
        <v>20</v>
      </c>
      <c r="D13" s="1" t="s">
        <v>17</v>
      </c>
      <c r="E13" s="1" t="s">
        <v>7</v>
      </c>
      <c r="F13" s="2" t="s">
        <v>42</v>
      </c>
      <c r="G13" s="1">
        <v>1</v>
      </c>
      <c r="H13" s="1">
        <v>1</v>
      </c>
      <c r="I13" s="6">
        <v>1</v>
      </c>
      <c r="J13" s="5" t="s">
        <v>88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  <row r="15" spans="1:10" ht="14.75" hidden="1" customHeight="1" x14ac:dyDescent="0.2"/>
  </sheetData>
  <sheetProtection algorithmName="SHA-512" hashValue="6q2vhokfA5seldgJTN/NE148BEeC0K0Ctg3bUnzHLP5Wn9YXukcKXTAeNWcymIljDilUucEpnwWgfFFmra9V+A==" saltValue="QsLt6GSv/ssD7UrXSXclbg==" spinCount="100000" sheet="1" objects="1" scenarios="1" selectLockedCells="1"/>
  <mergeCells count="2">
    <mergeCell ref="A3:J3"/>
    <mergeCell ref="J4:J8"/>
  </mergeCells>
  <conditionalFormatting sqref="B14 B10:B11">
    <cfRule type="expression" dxfId="71" priority="37">
      <formula>IF(AND($B10&lt;&gt;"",$I10=0),1,0)</formula>
    </cfRule>
    <cfRule type="expression" dxfId="70" priority="38">
      <formula>IF($B10&lt;&gt;"",1,0)</formula>
    </cfRule>
    <cfRule type="expression" dxfId="69" priority="39">
      <formula>$I10=0</formula>
    </cfRule>
  </conditionalFormatting>
  <conditionalFormatting sqref="B12">
    <cfRule type="expression" dxfId="68" priority="4">
      <formula>IF(AND($B12&lt;&gt;"",$I12=0),1,0)</formula>
    </cfRule>
    <cfRule type="expression" dxfId="67" priority="5">
      <formula>IF($B12&lt;&gt;"",1,0)</formula>
    </cfRule>
    <cfRule type="expression" dxfId="66" priority="6">
      <formula>$I12=0</formula>
    </cfRule>
  </conditionalFormatting>
  <conditionalFormatting sqref="B13">
    <cfRule type="expression" dxfId="65" priority="1">
      <formula>IF(AND($B13&lt;&gt;"",$I13=0),1,0)</formula>
    </cfRule>
    <cfRule type="expression" dxfId="64" priority="2">
      <formula>IF($B13&lt;&gt;"",1,0)</formula>
    </cfRule>
    <cfRule type="expression" dxfId="63" priority="3">
      <formula>$I13=0</formula>
    </cfRule>
  </conditionalFormatting>
  <conditionalFormatting sqref="J4">
    <cfRule type="expression" dxfId="62" priority="2252">
      <formula>IF(COUNTA($B$10:$B$14)&lt;&gt;COUNTIF($I$10:$I$14,1),1,0)</formula>
    </cfRule>
    <cfRule type="expression" dxfId="61" priority="225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954399-0FCE-47C6-98C5-2AAD69E5A158}">
          <x14:formula1>
            <xm:f>Reference!$J$12:$J$15</xm:f>
          </x14:formula1>
          <xm:sqref>B10:B11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F10:F14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E10:E14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H7" sqref="H7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120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6" x14ac:dyDescent="0.2">
      <c r="A11" s="38" t="s">
        <v>121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6" x14ac:dyDescent="0.2">
      <c r="A12" s="38" t="s">
        <v>122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I10" sqref="I10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customWidth="1"/>
    <col min="7" max="9" width="15" style="3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8" t="s">
        <v>32</v>
      </c>
      <c r="B3" s="59"/>
      <c r="C3" s="59"/>
      <c r="D3" s="59"/>
      <c r="E3" s="59"/>
      <c r="F3" s="59"/>
      <c r="G3" s="59"/>
      <c r="H3" s="59"/>
      <c r="I3" s="59"/>
      <c r="J3" s="60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1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2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2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2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3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123</v>
      </c>
      <c r="B10" s="32">
        <v>10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[2]Initialization!$B$14</f>
        <v>1</v>
      </c>
      <c r="J10" s="5" t="s">
        <v>130</v>
      </c>
    </row>
    <row r="11" spans="1:10" ht="32" x14ac:dyDescent="0.2">
      <c r="A11" s="38" t="s">
        <v>124</v>
      </c>
      <c r="B11" s="32">
        <v>1E-4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[2]Initialization!$B$14</f>
        <v>1</v>
      </c>
      <c r="J11" s="5" t="s">
        <v>131</v>
      </c>
    </row>
    <row r="12" spans="1:10" ht="16" x14ac:dyDescent="0.2">
      <c r="A12" s="38" t="s">
        <v>125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6" x14ac:dyDescent="0.2">
      <c r="A13" s="38" t="s">
        <v>126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[2]Initialization!$B$14</f>
        <v>1</v>
      </c>
      <c r="J13" s="5" t="s">
        <v>133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baseColWidth="10" defaultColWidth="0" defaultRowHeight="0" customHeight="1" zeroHeight="1" x14ac:dyDescent="0.2"/>
  <cols>
    <col min="1" max="2" width="8.6640625" style="51" customWidth="1"/>
    <col min="3" max="3" width="13.1640625" style="51" customWidth="1"/>
    <col min="4" max="4" width="13.5" style="51" customWidth="1"/>
    <col min="5" max="6" width="8.6640625" style="51" customWidth="1"/>
    <col min="7" max="7" width="14.664062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5" style="51" customWidth="1"/>
    <col min="12" max="17" width="8.6640625" style="51" customWidth="1"/>
    <col min="18" max="16384" width="8.6640625" style="51" hidden="1"/>
  </cols>
  <sheetData>
    <row r="1" spans="1:17" ht="15" x14ac:dyDescent="0.2">
      <c r="A1" s="25" t="s">
        <v>128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5" x14ac:dyDescent="0.2">
      <c r="A2" s="64" t="s">
        <v>118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</row>
    <row r="3" spans="1:17" ht="15" x14ac:dyDescent="0.2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5" x14ac:dyDescent="0.2">
      <c r="A4" s="52"/>
      <c r="B4" s="53" t="s">
        <v>117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5" x14ac:dyDescent="0.2">
      <c r="A5" s="52"/>
      <c r="B5" s="54"/>
      <c r="C5" s="53" t="s">
        <v>119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5" x14ac:dyDescent="0.2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J16" sqref="J16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107</v>
      </c>
      <c r="U1" t="s">
        <v>108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109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110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111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112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113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114</v>
      </c>
    </row>
    <row r="9" spans="1:21" x14ac:dyDescent="0.2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115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104</v>
      </c>
    </row>
    <row r="12" spans="1:21" x14ac:dyDescent="0.2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  <c r="J15">
        <v>3</v>
      </c>
    </row>
    <row r="16" spans="1:21" x14ac:dyDescent="0.2">
      <c r="B16" t="s">
        <v>60</v>
      </c>
      <c r="C16" t="s">
        <v>57</v>
      </c>
    </row>
    <row r="17" spans="2:10" x14ac:dyDescent="0.2">
      <c r="B17" t="s">
        <v>18</v>
      </c>
      <c r="C17" t="s">
        <v>58</v>
      </c>
      <c r="J17" t="s">
        <v>105</v>
      </c>
    </row>
    <row r="18" spans="2:10" x14ac:dyDescent="0.2">
      <c r="B18" t="s">
        <v>19</v>
      </c>
      <c r="C18" t="s">
        <v>59</v>
      </c>
      <c r="J18" t="s">
        <v>8</v>
      </c>
    </row>
    <row r="19" spans="2:10" x14ac:dyDescent="0.2">
      <c r="C19" t="s">
        <v>31</v>
      </c>
      <c r="J19">
        <v>1</v>
      </c>
    </row>
    <row r="20" spans="2:10" x14ac:dyDescent="0.2">
      <c r="C20" t="s">
        <v>4</v>
      </c>
      <c r="J20">
        <v>2</v>
      </c>
    </row>
    <row r="21" spans="2:10" x14ac:dyDescent="0.2">
      <c r="C21" t="s">
        <v>44</v>
      </c>
      <c r="J21">
        <v>3</v>
      </c>
    </row>
    <row r="22" spans="2:10" x14ac:dyDescent="0.2">
      <c r="C22" t="s">
        <v>43</v>
      </c>
      <c r="J22">
        <v>4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91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N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3</v>
      </c>
      <c r="C2">
        <v>283</v>
      </c>
      <c r="D2">
        <v>1.25</v>
      </c>
      <c r="F2">
        <v>20</v>
      </c>
      <c r="G2">
        <v>20.5</v>
      </c>
      <c r="H2">
        <v>33.800769771555913</v>
      </c>
      <c r="J2">
        <v>10</v>
      </c>
      <c r="K2">
        <v>1E-4</v>
      </c>
      <c r="L2">
        <v>7.8300000000000002E-3</v>
      </c>
      <c r="M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N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4" x14ac:dyDescent="0.2">
      <c r="A1" t="s">
        <v>134</v>
      </c>
      <c r="B1" t="s">
        <v>135</v>
      </c>
      <c r="C1" t="s">
        <v>106</v>
      </c>
      <c r="D1" t="s">
        <v>87</v>
      </c>
      <c r="E1" t="s">
        <v>79</v>
      </c>
      <c r="F1" t="s">
        <v>120</v>
      </c>
      <c r="G1" t="s">
        <v>121</v>
      </c>
      <c r="H1" t="s">
        <v>122</v>
      </c>
      <c r="I1" t="s">
        <v>79</v>
      </c>
      <c r="J1" t="s">
        <v>123</v>
      </c>
      <c r="K1" t="s">
        <v>124</v>
      </c>
      <c r="L1" t="s">
        <v>125</v>
      </c>
      <c r="M1" t="s">
        <v>126</v>
      </c>
      <c r="N1" t="s">
        <v>79</v>
      </c>
    </row>
    <row r="2" spans="1:14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0EB7C4-92E2-4B1B-BC3E-3BB93FDE04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Initialization</vt:lpstr>
      <vt:lpstr>Geometry</vt:lpstr>
      <vt:lpstr>Physical Properties</vt:lpstr>
      <vt:lpstr>Help</vt:lpstr>
      <vt:lpstr>Reference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2024-12-17T16:58:01Z</dcterms:modified>
</cp:coreProperties>
</file>