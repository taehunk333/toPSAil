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207" codeName="{857A39E2-67AF-9BA6-E15C-A4B3A0C75593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vkalman/Documents/github/toPSAil/4_example/TVSA2/1_simulation_inputs/"/>
    </mc:Choice>
  </mc:AlternateContent>
  <xr:revisionPtr revIDLastSave="0" documentId="13_ncr:1_{C8494991-E36F-8848-AA75-15100E1E895D}" xr6:coauthVersionLast="47" xr6:coauthVersionMax="47" xr10:uidLastSave="{00000000-0000-0000-0000-000000000000}"/>
  <bookViews>
    <workbookView xWindow="13040" yWindow="4020" windowWidth="21600" windowHeight="14140" tabRatio="818" activeTab="1" xr2:uid="{CB583278-6AF7-49E7-A969-6064EAB4A9B4}"/>
  </bookViews>
  <sheets>
    <sheet name="Revision History" sheetId="4" r:id="rId1"/>
    <sheet name="Stream Properties" sheetId="39" r:id="rId2"/>
    <sheet name="Reference" sheetId="2" state="hidden" r:id="rId3"/>
    <sheet name="maintenance check list" sheetId="28" state="hidden" r:id="rId4"/>
    <sheet name="Data(Transposed)" sheetId="3" r:id="rId5"/>
    <sheet name="Data(Test)" sheetId="9" r:id="rId6"/>
  </sheets>
  <functionGroups builtInGroupCount="19"/>
  <externalReferences>
    <externalReference r:id="rId7"/>
    <externalReference r:id="rId8"/>
  </externalReferences>
  <definedNames>
    <definedName name="_xlnm._FilterDatabase" localSheetId="1" hidden="1">'Stream Properties'!$A$9:$J$10</definedName>
    <definedName name="_xlnm.Print_Area" localSheetId="0">'Revision History'!$C$3:$K$51</definedName>
    <definedName name="_xlnm.Print_Area" localSheetId="1">'Stream Properties'!$A$2:$J$20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I11" i="39" l="1"/>
  <c r="B12" i="39"/>
  <c r="H14" i="39"/>
  <c r="H13" i="39"/>
  <c r="I17" i="39"/>
  <c r="H17" i="39"/>
  <c r="I16" i="39"/>
  <c r="H16" i="39"/>
  <c r="I15" i="39"/>
  <c r="H15" i="39"/>
  <c r="H12" i="39" l="1"/>
  <c r="J4" i="39" l="1"/>
  <c r="J2" i="39"/>
  <c r="A2" i="39"/>
</calcChain>
</file>

<file path=xl/sharedStrings.xml><?xml version="1.0" encoding="utf-8"?>
<sst xmlns="http://schemas.openxmlformats.org/spreadsheetml/2006/main" count="212" uniqueCount="125">
  <si>
    <t>Variable</t>
  </si>
  <si>
    <t>Value</t>
  </si>
  <si>
    <t>Unit</t>
  </si>
  <si>
    <t>-</t>
  </si>
  <si>
    <t>nVols</t>
  </si>
  <si>
    <t>nComs</t>
  </si>
  <si>
    <t>boolean</t>
  </si>
  <si>
    <t>scalar</t>
  </si>
  <si>
    <t xml:space="preserve"> </t>
  </si>
  <si>
    <t>string</t>
  </si>
  <si>
    <t>vector</t>
  </si>
  <si>
    <t>other</t>
  </si>
  <si>
    <t>Description</t>
  </si>
  <si>
    <t>Data Type</t>
  </si>
  <si>
    <t>Comparisons</t>
  </si>
  <si>
    <t>natural constant</t>
  </si>
  <si>
    <t>column design</t>
  </si>
  <si>
    <t>system property</t>
  </si>
  <si>
    <t>n.a.</t>
  </si>
  <si>
    <t>others</t>
  </si>
  <si>
    <t>K</t>
  </si>
  <si>
    <t>physical properties</t>
  </si>
  <si>
    <t>adsorbent properties</t>
  </si>
  <si>
    <t>adsorbate properties</t>
  </si>
  <si>
    <t>isotherm parameters</t>
  </si>
  <si>
    <t>numerical methods</t>
  </si>
  <si>
    <t>sorption rate</t>
  </si>
  <si>
    <t>feed stream</t>
  </si>
  <si>
    <t>cycle information</t>
  </si>
  <si>
    <t>voidFrac</t>
  </si>
  <si>
    <t>Specification of simulation parameters</t>
  </si>
  <si>
    <t>Rev. No.</t>
  </si>
  <si>
    <t>Rev. Date</t>
  </si>
  <si>
    <t>Draft</t>
    <phoneticPr fontId="0" type="noConversion"/>
  </si>
  <si>
    <t>Review</t>
    <phoneticPr fontId="0" type="noConversion"/>
  </si>
  <si>
    <t>Approval</t>
    <phoneticPr fontId="0" type="noConversion"/>
  </si>
  <si>
    <t>Notes</t>
    <phoneticPr fontId="0" type="noConversion"/>
  </si>
  <si>
    <t>Revision Management Tracking List</t>
  </si>
  <si>
    <t>TK</t>
  </si>
  <si>
    <t>Dependency</t>
  </si>
  <si>
    <t>no</t>
  </si>
  <si>
    <t>nSteps</t>
  </si>
  <si>
    <t>nCols</t>
  </si>
  <si>
    <t>bool2</t>
  </si>
  <si>
    <t>bool1</t>
  </si>
  <si>
    <t>bool3</t>
  </si>
  <si>
    <t>bool4</t>
  </si>
  <si>
    <t>bool5</t>
  </si>
  <si>
    <t>bool6</t>
  </si>
  <si>
    <t>bool7</t>
  </si>
  <si>
    <t>bool8</t>
  </si>
  <si>
    <t>bool9</t>
  </si>
  <si>
    <t>bool10</t>
  </si>
  <si>
    <t>bool11</t>
  </si>
  <si>
    <t>bool12</t>
  </si>
  <si>
    <t>bool13</t>
  </si>
  <si>
    <t>bool14</t>
  </si>
  <si>
    <t>bool15</t>
  </si>
  <si>
    <t>identifier</t>
  </si>
  <si>
    <t>HP</t>
  </si>
  <si>
    <t>DP</t>
  </si>
  <si>
    <t>LP</t>
  </si>
  <si>
    <t>RP</t>
  </si>
  <si>
    <t>Variable Type</t>
  </si>
  <si>
    <t>Test 1</t>
  </si>
  <si>
    <t>Test 2</t>
  </si>
  <si>
    <t>Step</t>
  </si>
  <si>
    <t>yFeC1</t>
  </si>
  <si>
    <t>yFeC2</t>
  </si>
  <si>
    <t>Isotherm</t>
  </si>
  <si>
    <t>Kinetics</t>
  </si>
  <si>
    <t>modSp3</t>
  </si>
  <si>
    <t>modSp4</t>
  </si>
  <si>
    <t>modSp5</t>
  </si>
  <si>
    <t>Test 3</t>
  </si>
  <si>
    <t>initCond</t>
  </si>
  <si>
    <t>EQ</t>
  </si>
  <si>
    <t>RT</t>
  </si>
  <si>
    <t>testVal</t>
  </si>
  <si>
    <t>Test Place holder</t>
  </si>
  <si>
    <t>boundCond</t>
  </si>
  <si>
    <t>event</t>
  </si>
  <si>
    <t>integer</t>
  </si>
  <si>
    <t>Cycle Types</t>
  </si>
  <si>
    <t>valve constant</t>
  </si>
  <si>
    <t>Scott Research Group (jkscottresearchgroup.com)</t>
  </si>
  <si>
    <t>[1] update list of strings in a macro for highlighting tabs to be yellow when data to MATLAB is cleared</t>
  </si>
  <si>
    <t>[2] for any newly created entries, specify values for the tests (Test 1, Test 2, and Test 3) or program a conditional statement so that based on the model specification from the user, we can ask which parameters to be supplied by the user.</t>
  </si>
  <si>
    <t>Maintenance check list (1/2/2021)</t>
  </si>
  <si>
    <t>flowDir</t>
  </si>
  <si>
    <t>product stream</t>
  </si>
  <si>
    <t>tank design</t>
  </si>
  <si>
    <t>MassTransferResistance</t>
  </si>
  <si>
    <t>Boolean</t>
  </si>
  <si>
    <t>numTanks</t>
  </si>
  <si>
    <t>initCondFeTa</t>
  </si>
  <si>
    <t>initCondRaTa</t>
  </si>
  <si>
    <t>tempFeed</t>
  </si>
  <si>
    <t>numCols</t>
  </si>
  <si>
    <t>numIntSolv</t>
  </si>
  <si>
    <t>ode45</t>
  </si>
  <si>
    <t>ode23</t>
  </si>
  <si>
    <t>ode113</t>
  </si>
  <si>
    <t>ode15s</t>
  </si>
  <si>
    <t>ode23s</t>
  </si>
  <si>
    <t>ode23t</t>
  </si>
  <si>
    <t>ode23tb</t>
  </si>
  <si>
    <t>densFeGas</t>
  </si>
  <si>
    <t>g/cm3</t>
  </si>
  <si>
    <t>Gas density of the feed gas mixture.</t>
  </si>
  <si>
    <t>viscFeGas</t>
  </si>
  <si>
    <t>Pa-sec</t>
  </si>
  <si>
    <t>Viscosity of the feed gas mixture.</t>
  </si>
  <si>
    <t>Purpose/Summary</t>
  </si>
  <si>
    <t>Finalized the spreadsheet for the v1.0 release</t>
  </si>
  <si>
    <t>The fixed feed mole fraction of ith component at a high pressure; the first component is the light key.</t>
  </si>
  <si>
    <t>The fixed temperature of the feed stream coming into the feed tank, after being compressed and passing through the heat exchanger.</t>
  </si>
  <si>
    <t>Initial development of the "2.1_feed_stream_properties.xlsm" sheet.</t>
  </si>
  <si>
    <t>REV. NO.2 (9/14/2022)</t>
  </si>
  <si>
    <t>yFeC3</t>
  </si>
  <si>
    <t>yFeTwoC1</t>
  </si>
  <si>
    <t>yFeTwoC2</t>
  </si>
  <si>
    <t>yFeTwoC3</t>
  </si>
  <si>
    <t>relHum</t>
  </si>
  <si>
    <t>Relative humidity of the feed stream coming into the feed tank.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</si>
</sst>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4"/>
      <color theme="1"/>
      <name val="Consolas"/>
      <family val="3"/>
    </font>
    <font>
      <sz val="11"/>
      <color theme="1"/>
      <name val="Consolas"/>
      <family val="3"/>
    </font>
    <font>
      <b/>
      <i/>
      <sz val="28"/>
      <color theme="1"/>
      <name val="Consolas"/>
      <family val="3"/>
    </font>
    <font>
      <b/>
      <i/>
      <sz val="14"/>
      <color theme="1"/>
      <name val="Consolas"/>
      <family val="3"/>
    </font>
    <font>
      <b/>
      <i/>
      <sz val="11"/>
      <color theme="1"/>
      <name val="Consolas"/>
      <family val="3"/>
    </font>
    <font>
      <b/>
      <i/>
      <sz val="11"/>
      <color theme="0"/>
      <name val="Consolas"/>
      <family val="3"/>
    </font>
    <font>
      <sz val="11"/>
      <color theme="0"/>
      <name val="Consolas"/>
      <family val="3"/>
    </font>
    <font>
      <u/>
      <sz val="11"/>
      <color theme="10"/>
      <name val="Calibri"/>
      <family val="2"/>
      <scheme val="minor"/>
    </font>
    <font>
      <i/>
      <sz val="11"/>
      <color theme="0"/>
      <name val="Consolas"/>
      <family val="3"/>
    </font>
    <font>
      <i/>
      <sz val="14"/>
      <color theme="0"/>
      <name val="Consolas"/>
      <family val="3"/>
    </font>
    <font>
      <sz val="14"/>
      <color theme="0"/>
      <name val="Consolas"/>
      <family val="3"/>
    </font>
    <font>
      <i/>
      <u/>
      <sz val="14"/>
      <color theme="0"/>
      <name val="Consolas"/>
      <family val="3"/>
    </font>
    <font>
      <b/>
      <i/>
      <sz val="14"/>
      <color rgb="FFFF0000"/>
      <name val="Calibri"/>
      <family val="2"/>
    </font>
    <font>
      <b/>
      <i/>
      <sz val="14"/>
      <color rgb="FF339966"/>
      <name val="Calibri"/>
      <family val="2"/>
    </font>
    <font>
      <b/>
      <i/>
      <sz val="14"/>
      <color rgb="FFFF9900"/>
      <name val="Calibri"/>
      <family val="2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C000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/>
    <xf numFmtId="0" fontId="2" fillId="0" borderId="0">
      <alignment vertical="center"/>
    </xf>
    <xf numFmtId="0" fontId="10" fillId="0" borderId="0" applyNumberFormat="0" applyFill="0" applyBorder="0" applyAlignment="0" applyProtection="0"/>
  </cellStyleXfs>
  <cellXfs count="57">
    <xf numFmtId="0" fontId="0" fillId="0" borderId="0" xfId="0"/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left" vertical="center" indent="1"/>
    </xf>
    <xf numFmtId="0" fontId="4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left" vertical="center" wrapText="1" indent="1"/>
    </xf>
    <xf numFmtId="0" fontId="4" fillId="3" borderId="6" xfId="0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4" fillId="3" borderId="10" xfId="0" applyFont="1" applyFill="1" applyBorder="1" applyAlignment="1">
      <alignment horizontal="left" vertical="center" indent="1"/>
    </xf>
    <xf numFmtId="0" fontId="4" fillId="3" borderId="10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left" vertical="center" wrapText="1" indent="1"/>
    </xf>
    <xf numFmtId="0" fontId="4" fillId="4" borderId="11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left" vertical="center"/>
    </xf>
    <xf numFmtId="0" fontId="4" fillId="4" borderId="13" xfId="0" applyFont="1" applyFill="1" applyBorder="1" applyAlignment="1">
      <alignment horizontal="center" vertical="center"/>
    </xf>
    <xf numFmtId="0" fontId="4" fillId="4" borderId="3" xfId="0" applyFont="1" applyFill="1" applyBorder="1" applyAlignment="1">
      <alignment horizontal="right" vertical="center"/>
    </xf>
    <xf numFmtId="0" fontId="4" fillId="4" borderId="0" xfId="0" applyFont="1" applyFill="1" applyAlignment="1">
      <alignment horizontal="right" vertical="center"/>
    </xf>
    <xf numFmtId="0" fontId="4" fillId="4" borderId="0" xfId="0" applyFont="1" applyFill="1" applyAlignment="1">
      <alignment horizontal="center" vertical="center"/>
    </xf>
    <xf numFmtId="0" fontId="4" fillId="4" borderId="4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left" vertical="center"/>
    </xf>
    <xf numFmtId="0" fontId="4" fillId="4" borderId="2" xfId="0" applyFont="1" applyFill="1" applyBorder="1" applyAlignment="1">
      <alignment horizontal="center" vertical="center"/>
    </xf>
    <xf numFmtId="0" fontId="9" fillId="5" borderId="0" xfId="0" applyFont="1" applyFill="1" applyAlignment="1" applyProtection="1">
      <alignment horizontal="center" vertical="center"/>
      <protection locked="0"/>
    </xf>
    <xf numFmtId="0" fontId="8" fillId="5" borderId="5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 wrapText="1"/>
    </xf>
    <xf numFmtId="0" fontId="8" fillId="5" borderId="4" xfId="0" applyFont="1" applyFill="1" applyBorder="1" applyAlignment="1">
      <alignment horizontal="center" vertical="center"/>
    </xf>
    <xf numFmtId="0" fontId="7" fillId="2" borderId="1" xfId="0" applyFont="1" applyFill="1" applyBorder="1" applyAlignment="1" applyProtection="1">
      <alignment horizontal="center" vertical="center"/>
      <protection locked="0"/>
    </xf>
    <xf numFmtId="0" fontId="7" fillId="2" borderId="10" xfId="0" applyFont="1" applyFill="1" applyBorder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left" vertical="center" indent="1"/>
    </xf>
    <xf numFmtId="0" fontId="4" fillId="0" borderId="0" xfId="1" applyFont="1">
      <alignment vertical="center"/>
    </xf>
    <xf numFmtId="0" fontId="4" fillId="0" borderId="0" xfId="1" applyFont="1" applyAlignment="1">
      <alignment vertical="center" wrapText="1"/>
    </xf>
    <xf numFmtId="0" fontId="4" fillId="0" borderId="0" xfId="1" applyFont="1" applyAlignment="1">
      <alignment horizontal="center" vertical="center"/>
    </xf>
    <xf numFmtId="0" fontId="14" fillId="5" borderId="0" xfId="2" applyFont="1" applyFill="1" applyAlignment="1" applyProtection="1">
      <alignment horizontal="right"/>
    </xf>
    <xf numFmtId="0" fontId="3" fillId="0" borderId="1" xfId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wrapText="1" indent="1"/>
    </xf>
    <xf numFmtId="14" fontId="3" fillId="0" borderId="1" xfId="1" applyNumberFormat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indent="1"/>
    </xf>
    <xf numFmtId="0" fontId="11" fillId="5" borderId="6" xfId="0" applyFont="1" applyFill="1" applyBorder="1" applyAlignment="1" applyProtection="1">
      <alignment horizontal="left" vertical="center"/>
      <protection locked="0"/>
    </xf>
    <xf numFmtId="0" fontId="9" fillId="5" borderId="7" xfId="0" applyFont="1" applyFill="1" applyBorder="1" applyAlignment="1" applyProtection="1">
      <alignment horizontal="center" vertical="center"/>
      <protection locked="0"/>
    </xf>
    <xf numFmtId="0" fontId="11" fillId="5" borderId="8" xfId="0" applyFont="1" applyFill="1" applyBorder="1" applyAlignment="1" applyProtection="1">
      <alignment horizontal="right" vertical="center"/>
      <protection locked="0"/>
    </xf>
    <xf numFmtId="0" fontId="6" fillId="3" borderId="1" xfId="1" applyFont="1" applyFill="1" applyBorder="1" applyAlignment="1">
      <alignment horizontal="center" vertical="center" wrapText="1"/>
    </xf>
    <xf numFmtId="0" fontId="4" fillId="3" borderId="7" xfId="0" applyFont="1" applyFill="1" applyBorder="1" applyAlignment="1">
      <alignment horizontal="center" vertical="center"/>
    </xf>
    <xf numFmtId="0" fontId="4" fillId="4" borderId="0" xfId="0" applyFont="1" applyFill="1" applyAlignment="1">
      <alignment horizontal="left" vertical="center"/>
    </xf>
    <xf numFmtId="0" fontId="12" fillId="5" borderId="0" xfId="1" applyFont="1" applyFill="1" applyAlignment="1">
      <alignment horizontal="left" vertical="center"/>
    </xf>
    <xf numFmtId="0" fontId="13" fillId="5" borderId="0" xfId="1" applyFont="1" applyFill="1" applyAlignment="1">
      <alignment vertical="center" wrapText="1"/>
    </xf>
    <xf numFmtId="0" fontId="13" fillId="5" borderId="0" xfId="1" applyFont="1" applyFill="1" applyAlignment="1">
      <alignment horizontal="center" vertical="center"/>
    </xf>
    <xf numFmtId="0" fontId="13" fillId="5" borderId="0" xfId="1" applyFont="1" applyFill="1">
      <alignment vertical="center"/>
    </xf>
    <xf numFmtId="0" fontId="4" fillId="6" borderId="1" xfId="0" applyFont="1" applyFill="1" applyBorder="1" applyAlignment="1">
      <alignment horizontal="center" vertical="center"/>
    </xf>
    <xf numFmtId="11" fontId="7" fillId="2" borderId="1" xfId="0" applyNumberFormat="1" applyFont="1" applyFill="1" applyBorder="1" applyAlignment="1" applyProtection="1">
      <alignment horizontal="center" vertical="center"/>
      <protection locked="0"/>
    </xf>
    <xf numFmtId="0" fontId="5" fillId="0" borderId="2" xfId="1" applyFont="1" applyBorder="1" applyAlignment="1">
      <alignment horizontal="center" vertical="center"/>
    </xf>
    <xf numFmtId="0" fontId="6" fillId="4" borderId="10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6" fillId="4" borderId="14" xfId="0" applyFont="1" applyFill="1" applyBorder="1" applyAlignment="1">
      <alignment horizontal="center" vertical="center"/>
    </xf>
    <xf numFmtId="0" fontId="6" fillId="4" borderId="5" xfId="0" applyFont="1" applyFill="1" applyBorder="1" applyAlignment="1">
      <alignment horizontal="center" vertical="center"/>
    </xf>
  </cellXfs>
  <cellStyles count="3">
    <cellStyle name="Hyperlink" xfId="2" builtinId="8"/>
    <cellStyle name="Normal" xfId="0" builtinId="0"/>
    <cellStyle name="Normal 3" xfId="1" xr:uid="{8C1A4601-4B09-4BE0-B387-657882E2D017}"/>
  </cellStyles>
  <dxfs count="20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2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359226</xdr:colOff>
      <xdr:row>16</xdr:row>
      <xdr:rowOff>170853</xdr:rowOff>
    </xdr:from>
    <xdr:to>
      <xdr:col>9</xdr:col>
      <xdr:colOff>1850570</xdr:colOff>
      <xdr:row>28</xdr:row>
      <xdr:rowOff>130629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51855" y="6070910"/>
          <a:ext cx="8828315" cy="218046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80680" y="612588"/>
          <a:ext cx="6759712" cy="559219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2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3969" name="Button 1" hidden="1">
                <a:extLst>
                  <a:ext uri="{63B3BB69-23CF-44E3-9099-C40C66FF867C}">
                    <a14:compatExt spid="_x0000_s83969"/>
                  </a:ext>
                  <a:ext uri="{FF2B5EF4-FFF2-40B4-BE49-F238E27FC236}">
                    <a16:creationId xmlns:a16="http://schemas.microsoft.com/office/drawing/2014/main" id="{00000000-0008-0000-0100-000001480100}"/>
                  </a:ext>
                </a:extLst>
              </xdr:cNvPr>
              <xdr:cNvSpPr/>
            </xdr:nvSpPr>
            <xdr:spPr bwMode="auto">
              <a:xfrm>
                <a:off x="1505271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 pitchFamily="2" charset="0"/>
                    <a:cs typeface="Calibri" pitchFamily="2" charset="0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3970" name="Button 2" hidden="1">
                <a:extLst>
                  <a:ext uri="{63B3BB69-23CF-44E3-9099-C40C66FF867C}">
                    <a14:compatExt spid="_x0000_s83970"/>
                  </a:ext>
                  <a:ext uri="{FF2B5EF4-FFF2-40B4-BE49-F238E27FC236}">
                    <a16:creationId xmlns:a16="http://schemas.microsoft.com/office/drawing/2014/main" id="{00000000-0008-0000-0100-00000248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 pitchFamily="2" charset="0"/>
                    <a:cs typeface="Calibri" pitchFamily="2" charset="0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3971" name="Button 3" hidden="1">
                <a:extLst>
                  <a:ext uri="{63B3BB69-23CF-44E3-9099-C40C66FF867C}">
                    <a14:compatExt spid="_x0000_s83971"/>
                  </a:ext>
                  <a:ext uri="{FF2B5EF4-FFF2-40B4-BE49-F238E27FC236}">
                    <a16:creationId xmlns:a16="http://schemas.microsoft.com/office/drawing/2014/main" id="{00000000-0008-0000-0100-00000348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 pitchFamily="2" charset="0"/>
                    <a:cs typeface="Calibri" pitchFamily="2" charset="0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vkalman/Documents/github/toPSAil/4_example/TVSA2/1_simulation_inputs/0.1_simulation_configurations.xlsm" TargetMode="External"/><Relationship Id="rId1" Type="http://schemas.openxmlformats.org/officeDocument/2006/relationships/externalLinkPath" Target="0.1_simulation_configurations.xlsm" TargetMode="External"/></Relationships>
</file>

<file path=xl/externalLinks/_rels/externalLink2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/Users/vikto/Documents/MATLAB/toPSAil2.0/4_example/TVSA/1_simulation_inputs/1.2_adsorbate_properties.xlsm" TargetMode="External"/><Relationship Id="rId1" Type="http://schemas.openxmlformats.org/officeDocument/2006/relationships/externalLinkPath" Target="1.2_adsorbate_propertie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Revision History"/>
      <sheetName val="Initialization"/>
      <sheetName val="Model Selection"/>
      <sheetName val="Help"/>
      <sheetName val="Reference"/>
      <sheetName val="maintenance check list"/>
      <sheetName val="Data(Test)"/>
      <sheetName val="Data(Transposed)"/>
    </sheetNames>
    <sheetDataSet>
      <sheetData sheetId="0"/>
      <sheetData sheetId="1">
        <row r="22">
          <cell r="B22">
            <v>1</v>
          </cell>
        </row>
        <row r="24">
          <cell r="B24">
            <v>1</v>
          </cell>
        </row>
      </sheetData>
      <sheetData sheetId="2"/>
      <sheetData sheetId="3"/>
      <sheetData sheetId="4"/>
      <sheetData sheetId="5"/>
      <sheetData sheetId="6"/>
      <sheetData sheetId="7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Revision History"/>
      <sheetName val="Reference"/>
      <sheetName val="Initialization"/>
      <sheetName val="Physical Properties"/>
      <sheetName val="Thermodynamic Properties"/>
      <sheetName val="Help"/>
      <sheetName val="maintenance check list"/>
      <sheetName val="Data(Transposed)"/>
      <sheetName val="Data(Test)"/>
    </sheetNames>
    <sheetDataSet>
      <sheetData sheetId="0"/>
      <sheetData sheetId="1"/>
      <sheetData sheetId="2">
        <row r="10">
          <cell r="B10">
            <v>3</v>
          </cell>
        </row>
      </sheetData>
      <sheetData sheetId="3"/>
      <sheetData sheetId="4"/>
      <sheetData sheetId="5"/>
      <sheetData sheetId="6"/>
      <sheetData sheetId="7"/>
      <sheetData sheetId="8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9958D1E-D60C-4D61-BB3C-0C1DDFB07B7A}" name="Table11082" displayName="Table11082" ref="A9:J20" totalsRowShown="0" headerRowDxfId="14" dataDxfId="12" headerRowBorderDxfId="13" tableBorderDxfId="11" totalsRowBorderDxfId="10">
  <autoFilter ref="A9:J20" xr:uid="{B089C5C3-2CCE-4800-96CA-2131BB6E3E4F}"/>
  <tableColumns count="10">
    <tableColumn id="1" xr3:uid="{8CA72147-4D79-4652-A9E9-87D51653DA84}" name="Variable" dataDxfId="9"/>
    <tableColumn id="4" xr3:uid="{E819EB63-CB5D-404C-B2BA-29FF258DB4F8}" name="Value" dataDxfId="8"/>
    <tableColumn id="5" xr3:uid="{1794E572-D285-47C1-B741-27E454FDF4FD}" name="Unit" dataDxfId="7"/>
    <tableColumn id="6" xr3:uid="{7F8A147E-F024-4089-965F-D6A02CD18DC6}" name="Comparisons" dataDxfId="6"/>
    <tableColumn id="7" xr3:uid="{59037F64-D8B7-466E-B9B6-97F14C2CBDD9}" name="Variable Type" dataDxfId="5"/>
    <tableColumn id="8" xr3:uid="{B3A5DFE8-8D61-4FFC-837B-F606356A99BD}" name="Dependency" dataDxfId="4"/>
    <tableColumn id="12" xr3:uid="{6C20D82D-93BB-42A1-A91B-759FC99CBE8C}" name="Test 1" dataDxfId="3"/>
    <tableColumn id="10" xr3:uid="{87C7F8B7-5A99-489D-AB7E-B6E5697C481A}" name="Test 2" dataDxfId="2"/>
    <tableColumn id="2" xr3:uid="{55413903-6AA5-4148-81F3-1F6AD647C108}" name="Test 3" dataDxfId="1"/>
    <tableColumn id="9" xr3:uid="{48D67C6B-2FDE-4718-AF32-11DEAACCFD0C}" name="Description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jkscottresearchgroup.com/" TargetMode="Externa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1FD3E9-A526-492E-A298-EF04E20D1925}">
  <sheetPr codeName="Sheet1">
    <tabColor theme="1"/>
  </sheetPr>
  <dimension ref="A3:L29"/>
  <sheetViews>
    <sheetView showGridLines="0" view="pageBreakPreview" topLeftCell="C3" zoomScaleNormal="85" zoomScaleSheetLayoutView="100" workbookViewId="0">
      <selection activeCell="D5" sqref="D5:J5"/>
    </sheetView>
  </sheetViews>
  <sheetFormatPr baseColWidth="10" defaultColWidth="0" defaultRowHeight="15" zeroHeight="1" x14ac:dyDescent="0.2"/>
  <cols>
    <col min="1" max="2" width="3.33203125" style="32" hidden="1" customWidth="1"/>
    <col min="3" max="3" width="2.5" style="32" customWidth="1"/>
    <col min="4" max="4" width="13.6640625" style="32" customWidth="1"/>
    <col min="5" max="5" width="51.33203125" style="33" bestFit="1" customWidth="1"/>
    <col min="6" max="6" width="15.6640625" style="34" bestFit="1" customWidth="1"/>
    <col min="7" max="9" width="13.33203125" style="32" customWidth="1"/>
    <col min="10" max="10" width="48.6640625" style="32" customWidth="1"/>
    <col min="11" max="11" width="2.5" style="32" customWidth="1"/>
    <col min="12" max="12" width="0" style="32" hidden="1" customWidth="1"/>
    <col min="13" max="16384" width="9" style="32" hidden="1"/>
  </cols>
  <sheetData>
    <row r="3" spans="4:10" x14ac:dyDescent="0.2"/>
    <row r="4" spans="4:10" ht="19" x14ac:dyDescent="0.25">
      <c r="D4" s="46" t="s">
        <v>118</v>
      </c>
      <c r="E4" s="47"/>
      <c r="F4" s="48"/>
      <c r="G4" s="49"/>
      <c r="H4" s="49"/>
      <c r="I4" s="49"/>
      <c r="J4" s="35" t="s">
        <v>85</v>
      </c>
    </row>
    <row r="5" spans="4:10" ht="40" x14ac:dyDescent="0.2">
      <c r="D5" s="52" t="s">
        <v>37</v>
      </c>
      <c r="E5" s="52"/>
      <c r="F5" s="52"/>
      <c r="G5" s="52"/>
      <c r="H5" s="52"/>
      <c r="I5" s="52"/>
      <c r="J5" s="52"/>
    </row>
    <row r="6" spans="4:10" ht="20" x14ac:dyDescent="0.2">
      <c r="D6" s="43" t="s">
        <v>31</v>
      </c>
      <c r="E6" s="43" t="s">
        <v>113</v>
      </c>
      <c r="F6" s="43" t="s">
        <v>32</v>
      </c>
      <c r="G6" s="43" t="s">
        <v>33</v>
      </c>
      <c r="H6" s="43" t="s">
        <v>34</v>
      </c>
      <c r="I6" s="43" t="s">
        <v>35</v>
      </c>
      <c r="J6" s="43" t="s">
        <v>36</v>
      </c>
    </row>
    <row r="7" spans="4:10" ht="60" x14ac:dyDescent="0.2">
      <c r="D7" s="36">
        <v>1</v>
      </c>
      <c r="E7" s="37" t="s">
        <v>117</v>
      </c>
      <c r="F7" s="38">
        <v>44720</v>
      </c>
      <c r="G7" s="36" t="s">
        <v>38</v>
      </c>
      <c r="H7" s="36"/>
      <c r="I7" s="36"/>
      <c r="J7" s="37"/>
    </row>
    <row r="8" spans="4:10" ht="40" x14ac:dyDescent="0.2">
      <c r="D8" s="36">
        <v>2</v>
      </c>
      <c r="E8" s="37" t="s">
        <v>114</v>
      </c>
      <c r="F8" s="38">
        <v>44818</v>
      </c>
      <c r="G8" s="36" t="s">
        <v>38</v>
      </c>
      <c r="H8" s="36"/>
      <c r="I8" s="36"/>
      <c r="J8" s="37"/>
    </row>
    <row r="9" spans="4:10" ht="19" x14ac:dyDescent="0.2">
      <c r="D9" s="36">
        <v>3</v>
      </c>
      <c r="E9" s="37"/>
      <c r="F9" s="38"/>
      <c r="G9" s="36"/>
      <c r="H9" s="36"/>
      <c r="I9" s="36"/>
      <c r="J9" s="37"/>
    </row>
    <row r="10" spans="4:10" ht="19" x14ac:dyDescent="0.2">
      <c r="D10" s="36">
        <v>4</v>
      </c>
      <c r="E10" s="37"/>
      <c r="F10" s="38"/>
      <c r="G10" s="36"/>
      <c r="H10" s="36"/>
      <c r="I10" s="36"/>
      <c r="J10" s="37"/>
    </row>
    <row r="11" spans="4:10" ht="19" x14ac:dyDescent="0.2">
      <c r="D11" s="36">
        <v>5</v>
      </c>
      <c r="E11" s="37"/>
      <c r="F11" s="38"/>
      <c r="G11" s="36"/>
      <c r="H11" s="36"/>
      <c r="I11" s="36"/>
      <c r="J11" s="37"/>
    </row>
    <row r="12" spans="4:10" ht="19" x14ac:dyDescent="0.2">
      <c r="D12" s="36">
        <v>6</v>
      </c>
      <c r="E12" s="37"/>
      <c r="F12" s="38"/>
      <c r="G12" s="36"/>
      <c r="H12" s="36"/>
      <c r="I12" s="36"/>
      <c r="J12" s="37"/>
    </row>
    <row r="13" spans="4:10" ht="19" x14ac:dyDescent="0.2">
      <c r="D13" s="36">
        <v>7</v>
      </c>
      <c r="E13" s="37"/>
      <c r="F13" s="38"/>
      <c r="G13" s="36"/>
      <c r="H13" s="36"/>
      <c r="I13" s="36"/>
      <c r="J13" s="37"/>
    </row>
    <row r="14" spans="4:10" ht="19" x14ac:dyDescent="0.2">
      <c r="D14" s="36">
        <v>8</v>
      </c>
      <c r="E14" s="37"/>
      <c r="F14" s="38"/>
      <c r="G14" s="36"/>
      <c r="H14" s="36"/>
      <c r="I14" s="36"/>
      <c r="J14" s="37"/>
    </row>
    <row r="15" spans="4:10" ht="19" x14ac:dyDescent="0.2">
      <c r="D15" s="36">
        <v>9</v>
      </c>
      <c r="E15" s="37"/>
      <c r="F15" s="38"/>
      <c r="G15" s="36"/>
      <c r="H15" s="36"/>
      <c r="I15" s="36"/>
      <c r="J15" s="37"/>
    </row>
    <row r="16" spans="4:10" ht="19" x14ac:dyDescent="0.2">
      <c r="D16" s="36">
        <v>10</v>
      </c>
      <c r="E16" s="37"/>
      <c r="F16" s="38"/>
      <c r="G16" s="36"/>
      <c r="H16" s="36"/>
      <c r="I16" s="36"/>
      <c r="J16" s="39"/>
    </row>
    <row r="17" x14ac:dyDescent="0.2"/>
    <row r="18" x14ac:dyDescent="0.2"/>
    <row r="19" x14ac:dyDescent="0.2"/>
    <row r="20" x14ac:dyDescent="0.2"/>
    <row r="21" x14ac:dyDescent="0.2"/>
    <row r="22" x14ac:dyDescent="0.2"/>
    <row r="23" x14ac:dyDescent="0.2"/>
    <row r="24" x14ac:dyDescent="0.2"/>
    <row r="25" x14ac:dyDescent="0.2"/>
    <row r="26" x14ac:dyDescent="0.2"/>
    <row r="27" x14ac:dyDescent="0.2"/>
    <row r="28" x14ac:dyDescent="0.2"/>
    <row r="29" x14ac:dyDescent="0.2"/>
  </sheetData>
  <sheetProtection selectLockedCells="1" selectUnlockedCells="1"/>
  <mergeCells count="1">
    <mergeCell ref="D5:J5"/>
  </mergeCells>
  <hyperlinks>
    <hyperlink ref="J4" r:id="rId1" display="https://www.jkscottresearchgroup.com/" xr:uid="{721D8652-1704-4B6C-943A-FBCC4E95C13C}"/>
  </hyperlinks>
  <pageMargins left="0.7" right="0.7" top="0.75" bottom="0.75" header="0.3" footer="0.3"/>
  <pageSetup paperSize="9" scale="43"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4C85F6-CEEB-479F-B238-F0DAD74FBBC6}">
  <sheetPr codeName="Sheet22">
    <tabColor rgb="FF00B050"/>
  </sheetPr>
  <dimension ref="A1:K20"/>
  <sheetViews>
    <sheetView showGridLines="0" tabSelected="1" topLeftCell="A2" zoomScale="85" zoomScaleNormal="85" zoomScaleSheetLayoutView="85" workbookViewId="0">
      <pane ySplit="8" topLeftCell="A10" activePane="bottomLeft" state="frozen"/>
      <selection activeCell="B2" sqref="B2"/>
      <selection pane="bottomLeft" activeCell="B12" sqref="B12"/>
    </sheetView>
  </sheetViews>
  <sheetFormatPr baseColWidth="10" defaultColWidth="0" defaultRowHeight="14.75" customHeight="1" zeroHeight="1" x14ac:dyDescent="0.2"/>
  <cols>
    <col min="1" max="1" width="17" style="3" bestFit="1" customWidth="1"/>
    <col min="2" max="2" width="22.1640625" style="3" customWidth="1"/>
    <col min="3" max="3" width="20" style="3" customWidth="1"/>
    <col min="4" max="4" width="24.1640625" style="3" customWidth="1"/>
    <col min="5" max="5" width="17.33203125" style="3" customWidth="1"/>
    <col min="6" max="6" width="13.1640625" style="3" customWidth="1"/>
    <col min="7" max="9" width="15" style="3" customWidth="1"/>
    <col min="10" max="10" width="57.5" style="3" customWidth="1"/>
    <col min="11" max="11" width="0" style="3" hidden="1" customWidth="1"/>
    <col min="12" max="16384" width="8.6640625" style="3" hidden="1"/>
  </cols>
  <sheetData>
    <row r="1" spans="1:10" ht="15" hidden="1" x14ac:dyDescent="0.2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5" x14ac:dyDescent="0.2">
      <c r="A2" s="40" t="str">
        <f>'Revision History'!$D$4</f>
        <v>REV. NO.2 (9/14/2022)</v>
      </c>
      <c r="B2" s="41"/>
      <c r="C2" s="41"/>
      <c r="D2" s="41"/>
      <c r="E2" s="41"/>
      <c r="F2" s="41"/>
      <c r="G2" s="41"/>
      <c r="H2" s="41"/>
      <c r="I2" s="41"/>
      <c r="J2" s="42" t="str">
        <f>'Revision History'!$J$4</f>
        <v>Scott Research Group (jkscottresearchgroup.com)</v>
      </c>
    </row>
    <row r="3" spans="1:10" ht="19" x14ac:dyDescent="0.2">
      <c r="A3" s="53" t="s">
        <v>30</v>
      </c>
      <c r="B3" s="53"/>
      <c r="C3" s="53"/>
      <c r="D3" s="53"/>
      <c r="E3" s="53"/>
      <c r="F3" s="53"/>
      <c r="G3" s="53"/>
      <c r="H3" s="53"/>
      <c r="I3" s="53"/>
      <c r="J3" s="53"/>
    </row>
    <row r="4" spans="1:10" ht="14.75" customHeight="1" x14ac:dyDescent="0.2">
      <c r="A4" s="13"/>
      <c r="B4" s="14"/>
      <c r="C4" s="15"/>
      <c r="D4" s="16"/>
      <c r="E4" s="16"/>
      <c r="F4" s="16"/>
      <c r="G4" s="16"/>
      <c r="H4" s="16"/>
      <c r="I4" s="16"/>
      <c r="J4" s="54" t="str">
        <f>IF(COUNTIF(Table11082[Test 3],1)=COUNTA(Table11082[Value]),"Ready","Not Ready")</f>
        <v>Ready</v>
      </c>
    </row>
    <row r="5" spans="1:10" ht="14.75" customHeight="1" x14ac:dyDescent="0.2">
      <c r="A5" s="17"/>
      <c r="B5" s="18"/>
      <c r="C5" s="45"/>
      <c r="D5" s="45"/>
      <c r="E5" s="45"/>
      <c r="F5" s="45"/>
      <c r="G5" s="19"/>
      <c r="H5" s="45"/>
      <c r="I5" s="45"/>
      <c r="J5" s="55"/>
    </row>
    <row r="6" spans="1:10" ht="14.75" customHeight="1" x14ac:dyDescent="0.2">
      <c r="A6" s="17"/>
      <c r="B6" s="18"/>
      <c r="C6" s="45"/>
      <c r="D6" s="45"/>
      <c r="E6" s="45"/>
      <c r="F6" s="45"/>
      <c r="G6" s="19"/>
      <c r="H6" s="45"/>
      <c r="I6" s="45"/>
      <c r="J6" s="55"/>
    </row>
    <row r="7" spans="1:10" ht="14.75" customHeight="1" x14ac:dyDescent="0.2">
      <c r="A7" s="17"/>
      <c r="B7" s="18"/>
      <c r="C7" s="45"/>
      <c r="D7" s="45"/>
      <c r="E7" s="45"/>
      <c r="F7" s="45"/>
      <c r="G7" s="19"/>
      <c r="H7" s="45"/>
      <c r="I7" s="45"/>
      <c r="J7" s="55"/>
    </row>
    <row r="8" spans="1:10" ht="14.75" customHeight="1" x14ac:dyDescent="0.2">
      <c r="A8" s="20"/>
      <c r="B8" s="21"/>
      <c r="C8" s="22"/>
      <c r="D8" s="22"/>
      <c r="E8" s="22"/>
      <c r="F8" s="22"/>
      <c r="G8" s="23"/>
      <c r="H8" s="22"/>
      <c r="I8" s="22"/>
      <c r="J8" s="56"/>
    </row>
    <row r="9" spans="1:10" ht="16" x14ac:dyDescent="0.2">
      <c r="A9" s="25" t="s">
        <v>0</v>
      </c>
      <c r="B9" s="26" t="s">
        <v>1</v>
      </c>
      <c r="C9" s="26" t="s">
        <v>2</v>
      </c>
      <c r="D9" s="26" t="s">
        <v>14</v>
      </c>
      <c r="E9" s="26" t="s">
        <v>63</v>
      </c>
      <c r="F9" s="27" t="s">
        <v>39</v>
      </c>
      <c r="G9" s="27" t="s">
        <v>64</v>
      </c>
      <c r="H9" s="26" t="s">
        <v>65</v>
      </c>
      <c r="I9" s="28" t="s">
        <v>74</v>
      </c>
      <c r="J9" s="28" t="s">
        <v>12</v>
      </c>
    </row>
    <row r="10" spans="1:10" ht="48" x14ac:dyDescent="0.2">
      <c r="A10" s="44" t="s">
        <v>97</v>
      </c>
      <c r="B10" s="29">
        <v>283</v>
      </c>
      <c r="C10" s="31" t="s">
        <v>20</v>
      </c>
      <c r="D10" s="1" t="s">
        <v>17</v>
      </c>
      <c r="E10" s="1" t="s">
        <v>7</v>
      </c>
      <c r="F10" s="2" t="s">
        <v>47</v>
      </c>
      <c r="G10" s="1">
        <v>1</v>
      </c>
      <c r="H10" s="1">
        <v>1</v>
      </c>
      <c r="I10" s="6">
        <v>1</v>
      </c>
      <c r="J10" s="5" t="s">
        <v>116</v>
      </c>
    </row>
    <row r="11" spans="1:10" ht="32" x14ac:dyDescent="0.2">
      <c r="A11" s="44" t="s">
        <v>123</v>
      </c>
      <c r="B11" s="29">
        <v>0.4</v>
      </c>
      <c r="C11" s="31" t="s">
        <v>3</v>
      </c>
      <c r="D11" s="1" t="s">
        <v>17</v>
      </c>
      <c r="E11" s="1" t="s">
        <v>7</v>
      </c>
      <c r="F11" s="2" t="s">
        <v>57</v>
      </c>
      <c r="G11" s="1">
        <v>1</v>
      </c>
      <c r="H11" s="1">
        <v>1</v>
      </c>
      <c r="I11" s="6">
        <f>[1]Initialization!$B$24</f>
        <v>1</v>
      </c>
      <c r="J11" s="5" t="s">
        <v>124</v>
      </c>
    </row>
    <row r="12" spans="1:10" ht="32" x14ac:dyDescent="0.2">
      <c r="A12" s="4" t="s">
        <v>67</v>
      </c>
      <c r="B12" s="29">
        <f>1-B13-B14</f>
        <v>0.745</v>
      </c>
      <c r="C12" s="2" t="s">
        <v>3</v>
      </c>
      <c r="D12" s="1" t="s">
        <v>23</v>
      </c>
      <c r="E12" s="1" t="s">
        <v>7</v>
      </c>
      <c r="F12" s="2" t="s">
        <v>40</v>
      </c>
      <c r="G12" s="1">
        <v>1</v>
      </c>
      <c r="H12" s="50">
        <f>[2]Initialization!$B$10</f>
        <v>3</v>
      </c>
      <c r="I12" s="6">
        <v>1</v>
      </c>
      <c r="J12" s="5" t="s">
        <v>115</v>
      </c>
    </row>
    <row r="13" spans="1:10" ht="32" x14ac:dyDescent="0.2">
      <c r="A13" s="4" t="s">
        <v>68</v>
      </c>
      <c r="B13" s="29">
        <v>0.21</v>
      </c>
      <c r="C13" s="2" t="s">
        <v>3</v>
      </c>
      <c r="D13" s="1" t="s">
        <v>23</v>
      </c>
      <c r="E13" s="1" t="s">
        <v>7</v>
      </c>
      <c r="F13" s="2" t="s">
        <v>40</v>
      </c>
      <c r="G13" s="1"/>
      <c r="H13" s="50">
        <f>[2]Initialization!$B$10</f>
        <v>3</v>
      </c>
      <c r="I13" s="6">
        <v>1</v>
      </c>
      <c r="J13" s="5" t="s">
        <v>115</v>
      </c>
    </row>
    <row r="14" spans="1:10" ht="32" x14ac:dyDescent="0.2">
      <c r="A14" s="4" t="s">
        <v>119</v>
      </c>
      <c r="B14" s="29">
        <v>4.4999999999999998E-2</v>
      </c>
      <c r="C14" s="2" t="s">
        <v>3</v>
      </c>
      <c r="D14" s="1" t="s">
        <v>23</v>
      </c>
      <c r="E14" s="1" t="s">
        <v>7</v>
      </c>
      <c r="F14" s="2" t="s">
        <v>40</v>
      </c>
      <c r="G14" s="1"/>
      <c r="H14" s="50">
        <f>[2]Initialization!$B$10</f>
        <v>3</v>
      </c>
      <c r="I14" s="6">
        <v>1</v>
      </c>
      <c r="J14" s="5" t="s">
        <v>115</v>
      </c>
    </row>
    <row r="15" spans="1:10" ht="32" x14ac:dyDescent="0.2">
      <c r="A15" s="44" t="s">
        <v>120</v>
      </c>
      <c r="B15" s="29">
        <v>0.79</v>
      </c>
      <c r="C15" s="2" t="s">
        <v>3</v>
      </c>
      <c r="D15" s="1" t="s">
        <v>23</v>
      </c>
      <c r="E15" s="1" t="s">
        <v>7</v>
      </c>
      <c r="F15" s="2" t="s">
        <v>40</v>
      </c>
      <c r="G15" s="1">
        <v>1</v>
      </c>
      <c r="H15" s="50">
        <f>[2]Initialization!$B$10</f>
        <v>3</v>
      </c>
      <c r="I15" s="6">
        <f>[1]Initialization!$B$22</f>
        <v>1</v>
      </c>
      <c r="J15" s="5" t="s">
        <v>115</v>
      </c>
    </row>
    <row r="16" spans="1:10" ht="32" x14ac:dyDescent="0.2">
      <c r="A16" s="44" t="s">
        <v>121</v>
      </c>
      <c r="B16" s="29">
        <v>0.21</v>
      </c>
      <c r="C16" s="2" t="s">
        <v>3</v>
      </c>
      <c r="D16" s="1" t="s">
        <v>23</v>
      </c>
      <c r="E16" s="1" t="s">
        <v>7</v>
      </c>
      <c r="F16" s="2" t="s">
        <v>40</v>
      </c>
      <c r="G16" s="1"/>
      <c r="H16" s="50">
        <f>[2]Initialization!$B$10</f>
        <v>3</v>
      </c>
      <c r="I16" s="6">
        <f>[1]Initialization!$B$22</f>
        <v>1</v>
      </c>
      <c r="J16" s="5" t="s">
        <v>115</v>
      </c>
    </row>
    <row r="17" spans="1:10" ht="32" x14ac:dyDescent="0.2">
      <c r="A17" s="44" t="s">
        <v>122</v>
      </c>
      <c r="B17" s="29">
        <v>0</v>
      </c>
      <c r="C17" s="2" t="s">
        <v>3</v>
      </c>
      <c r="D17" s="1" t="s">
        <v>23</v>
      </c>
      <c r="E17" s="1" t="s">
        <v>7</v>
      </c>
      <c r="F17" s="2" t="s">
        <v>40</v>
      </c>
      <c r="G17" s="1"/>
      <c r="H17" s="50">
        <f>[2]Initialization!$B$10</f>
        <v>3</v>
      </c>
      <c r="I17" s="6">
        <f>[1]Initialization!$B$22</f>
        <v>1</v>
      </c>
      <c r="J17" s="5" t="s">
        <v>115</v>
      </c>
    </row>
    <row r="18" spans="1:10" ht="16" x14ac:dyDescent="0.2">
      <c r="A18" s="44" t="s">
        <v>107</v>
      </c>
      <c r="B18" s="29">
        <v>1.225E-3</v>
      </c>
      <c r="C18" s="31" t="s">
        <v>108</v>
      </c>
      <c r="D18" s="1" t="s">
        <v>27</v>
      </c>
      <c r="E18" s="1" t="s">
        <v>7</v>
      </c>
      <c r="F18" s="2" t="s">
        <v>48</v>
      </c>
      <c r="G18" s="1">
        <v>1</v>
      </c>
      <c r="H18" s="1">
        <v>1</v>
      </c>
      <c r="I18" s="6">
        <v>1</v>
      </c>
      <c r="J18" s="5" t="s">
        <v>109</v>
      </c>
    </row>
    <row r="19" spans="1:10" ht="16" x14ac:dyDescent="0.2">
      <c r="A19" s="44" t="s">
        <v>110</v>
      </c>
      <c r="B19" s="51">
        <v>1.8099999999999999E-5</v>
      </c>
      <c r="C19" s="31" t="s">
        <v>111</v>
      </c>
      <c r="D19" s="1" t="s">
        <v>27</v>
      </c>
      <c r="E19" s="1" t="s">
        <v>7</v>
      </c>
      <c r="F19" s="2" t="s">
        <v>48</v>
      </c>
      <c r="G19" s="1">
        <v>1</v>
      </c>
      <c r="H19" s="1">
        <v>1</v>
      </c>
      <c r="I19" s="6">
        <v>1</v>
      </c>
      <c r="J19" s="5" t="s">
        <v>112</v>
      </c>
    </row>
    <row r="20" spans="1:10" ht="16" x14ac:dyDescent="0.2">
      <c r="A20" s="8" t="s">
        <v>78</v>
      </c>
      <c r="B20" s="30"/>
      <c r="C20" s="9"/>
      <c r="D20" s="10"/>
      <c r="E20" s="10"/>
      <c r="F20" s="9"/>
      <c r="G20" s="10">
        <v>1</v>
      </c>
      <c r="H20" s="10">
        <v>1</v>
      </c>
      <c r="I20" s="11">
        <v>0</v>
      </c>
      <c r="J20" s="12" t="s">
        <v>79</v>
      </c>
    </row>
  </sheetData>
  <sheetProtection algorithmName="SHA-512" hashValue="FvhSbPc0TuBBrvpXLse7+OYqpxWCEDN4DfMGfpea5OfNqOvQcSNpM3Sjz6lZr4S8YNqSGOT8CID4AI5vQ+kwNg==" saltValue="vyWVLnPbGKkwjgRbk+RG/Q==" spinCount="100000" sheet="1" objects="1" scenarios="1" selectLockedCells="1"/>
  <mergeCells count="2">
    <mergeCell ref="A3:J3"/>
    <mergeCell ref="J4:J8"/>
  </mergeCells>
  <conditionalFormatting sqref="B10:B20">
    <cfRule type="expression" dxfId="19" priority="10">
      <formula>IF(AND($B10&lt;&gt;"",$I10=0),1,0)</formula>
    </cfRule>
    <cfRule type="expression" dxfId="18" priority="11">
      <formula>IF($B10&lt;&gt;"",1,0)</formula>
    </cfRule>
    <cfRule type="expression" dxfId="17" priority="12">
      <formula>$I10=0</formula>
    </cfRule>
  </conditionalFormatting>
  <conditionalFormatting sqref="J4">
    <cfRule type="expression" dxfId="16" priority="226">
      <formula>IF(COUNTA($B$10:$B$20)&lt;&gt;COUNTIF($I$10:$I$20,1),1,0)</formula>
    </cfRule>
    <cfRule type="expression" dxfId="15" priority="227">
      <formula>IF(COUNTA($B$10:$B$20)=COUNTIF($I$10:$I$20,1),1,0)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3969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177800</xdr:colOff>
                    <xdr:row>4</xdr:row>
                    <xdr:rowOff>76200</xdr:rowOff>
                  </from>
                  <to>
                    <xdr:col>1</xdr:col>
                    <xdr:colOff>901700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970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1003300</xdr:colOff>
                    <xdr:row>4</xdr:row>
                    <xdr:rowOff>76200</xdr:rowOff>
                  </from>
                  <to>
                    <xdr:col>3</xdr:col>
                    <xdr:colOff>50800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971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139700</xdr:colOff>
                    <xdr:row>4</xdr:row>
                    <xdr:rowOff>76200</xdr:rowOff>
                  </from>
                  <to>
                    <xdr:col>4</xdr:col>
                    <xdr:colOff>406400</xdr:colOff>
                    <xdr:row>6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EC75D849-865F-4CED-A496-CABE2C4A3593}">
          <x14:formula1>
            <xm:f>Reference!$A$2:$A$8</xm:f>
          </x14:formula1>
          <xm:sqref>E10:E20</xm:sqref>
        </x14:dataValidation>
        <x14:dataValidation type="list" allowBlank="1" showInputMessage="1" showErrorMessage="1" xr:uid="{D8A9307D-61EF-4B3A-AB70-C2EB75FB5AE2}">
          <x14:formula1>
            <xm:f>Reference!$B$2:$B$18</xm:f>
          </x14:formula1>
          <xm:sqref>D10:D20</xm:sqref>
        </x14:dataValidation>
        <x14:dataValidation type="list" allowBlank="1" showInputMessage="1" showErrorMessage="1" xr:uid="{4EB9C528-12B0-429F-B5BB-702FB68141D6}">
          <x14:formula1>
            <xm:f>Reference!$C$2:$C$23</xm:f>
          </x14:formula1>
          <xm:sqref>F10:F20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817C8-856B-451D-A903-79E949B849B7}">
  <sheetPr codeName="Sheet4"/>
  <dimension ref="A1:U23"/>
  <sheetViews>
    <sheetView workbookViewId="0">
      <selection activeCell="U10" sqref="U10"/>
    </sheetView>
  </sheetViews>
  <sheetFormatPr baseColWidth="10" defaultColWidth="8.6640625" defaultRowHeight="15" x14ac:dyDescent="0.2"/>
  <cols>
    <col min="1" max="1" width="12.6640625" customWidth="1"/>
    <col min="2" max="2" width="20.6640625" customWidth="1"/>
    <col min="3" max="3" width="17.33203125" customWidth="1"/>
    <col min="5" max="5" width="12" bestFit="1" customWidth="1"/>
    <col min="10" max="10" width="12.33203125" customWidth="1"/>
    <col min="15" max="15" width="12.6640625" bestFit="1" customWidth="1"/>
    <col min="17" max="17" width="20.6640625" bestFit="1" customWidth="1"/>
    <col min="21" max="21" width="10.5" customWidth="1"/>
  </cols>
  <sheetData>
    <row r="1" spans="1:21" x14ac:dyDescent="0.2">
      <c r="A1" t="s">
        <v>13</v>
      </c>
      <c r="B1" t="s">
        <v>14</v>
      </c>
      <c r="C1" t="s">
        <v>39</v>
      </c>
      <c r="D1" t="s">
        <v>66</v>
      </c>
      <c r="E1" t="s">
        <v>69</v>
      </c>
      <c r="F1" t="s">
        <v>70</v>
      </c>
      <c r="G1" s="1" t="s">
        <v>71</v>
      </c>
      <c r="H1" s="1" t="s">
        <v>72</v>
      </c>
      <c r="I1" s="1" t="s">
        <v>73</v>
      </c>
      <c r="J1" s="7" t="s">
        <v>75</v>
      </c>
      <c r="K1" s="7" t="s">
        <v>6</v>
      </c>
      <c r="L1" t="s">
        <v>83</v>
      </c>
      <c r="M1" t="s">
        <v>80</v>
      </c>
      <c r="N1" t="s">
        <v>81</v>
      </c>
      <c r="O1" t="s">
        <v>84</v>
      </c>
      <c r="P1" t="s">
        <v>89</v>
      </c>
      <c r="Q1" t="s">
        <v>92</v>
      </c>
      <c r="R1" t="s">
        <v>93</v>
      </c>
      <c r="S1" t="s">
        <v>94</v>
      </c>
      <c r="T1" t="s">
        <v>98</v>
      </c>
      <c r="U1" t="s">
        <v>99</v>
      </c>
    </row>
    <row r="2" spans="1:21" x14ac:dyDescent="0.2">
      <c r="A2" t="s">
        <v>8</v>
      </c>
      <c r="B2" t="s">
        <v>8</v>
      </c>
      <c r="C2" t="s">
        <v>8</v>
      </c>
      <c r="E2" t="s">
        <v>8</v>
      </c>
      <c r="F2" t="s">
        <v>8</v>
      </c>
      <c r="G2" t="s">
        <v>8</v>
      </c>
      <c r="H2" t="s">
        <v>8</v>
      </c>
      <c r="I2" t="s">
        <v>8</v>
      </c>
      <c r="J2" t="s">
        <v>8</v>
      </c>
      <c r="K2" t="s">
        <v>8</v>
      </c>
      <c r="L2" t="s">
        <v>8</v>
      </c>
      <c r="M2" t="s">
        <v>8</v>
      </c>
      <c r="N2" t="s">
        <v>8</v>
      </c>
      <c r="O2" t="s">
        <v>8</v>
      </c>
      <c r="P2" t="s">
        <v>8</v>
      </c>
      <c r="Q2" t="s">
        <v>8</v>
      </c>
      <c r="R2" t="s">
        <v>8</v>
      </c>
      <c r="S2" t="s">
        <v>8</v>
      </c>
      <c r="U2" t="s">
        <v>8</v>
      </c>
    </row>
    <row r="3" spans="1:21" x14ac:dyDescent="0.2">
      <c r="A3" t="s">
        <v>7</v>
      </c>
      <c r="B3" t="s">
        <v>25</v>
      </c>
      <c r="C3" t="s">
        <v>40</v>
      </c>
      <c r="D3" t="s">
        <v>76</v>
      </c>
      <c r="E3">
        <v>1</v>
      </c>
      <c r="F3">
        <v>1</v>
      </c>
      <c r="G3">
        <v>0</v>
      </c>
      <c r="H3">
        <v>0</v>
      </c>
      <c r="I3">
        <v>0</v>
      </c>
      <c r="J3">
        <v>1</v>
      </c>
      <c r="K3">
        <v>0</v>
      </c>
      <c r="L3">
        <v>1</v>
      </c>
      <c r="M3">
        <v>1</v>
      </c>
      <c r="N3">
        <v>0</v>
      </c>
      <c r="O3">
        <v>0</v>
      </c>
      <c r="P3">
        <v>1</v>
      </c>
      <c r="Q3">
        <v>0</v>
      </c>
      <c r="R3">
        <v>0</v>
      </c>
      <c r="S3">
        <v>1</v>
      </c>
      <c r="T3">
        <v>1</v>
      </c>
      <c r="U3" t="s">
        <v>100</v>
      </c>
    </row>
    <row r="4" spans="1:21" x14ac:dyDescent="0.2">
      <c r="A4" t="s">
        <v>82</v>
      </c>
      <c r="B4" t="s">
        <v>22</v>
      </c>
      <c r="C4" t="s">
        <v>44</v>
      </c>
      <c r="D4" t="s">
        <v>77</v>
      </c>
      <c r="E4">
        <v>2</v>
      </c>
      <c r="F4">
        <v>2</v>
      </c>
      <c r="G4">
        <v>1</v>
      </c>
      <c r="H4">
        <v>1</v>
      </c>
      <c r="I4">
        <v>1</v>
      </c>
      <c r="J4">
        <v>2</v>
      </c>
      <c r="K4">
        <v>1</v>
      </c>
      <c r="L4">
        <v>2</v>
      </c>
      <c r="M4">
        <v>2</v>
      </c>
      <c r="N4">
        <v>1</v>
      </c>
      <c r="O4">
        <v>1</v>
      </c>
      <c r="P4">
        <v>-1</v>
      </c>
      <c r="Q4">
        <v>1</v>
      </c>
      <c r="R4">
        <v>1</v>
      </c>
      <c r="T4">
        <v>2</v>
      </c>
      <c r="U4" t="s">
        <v>101</v>
      </c>
    </row>
    <row r="5" spans="1:21" x14ac:dyDescent="0.2">
      <c r="A5" t="s">
        <v>10</v>
      </c>
      <c r="B5" t="s">
        <v>23</v>
      </c>
      <c r="C5" t="s">
        <v>43</v>
      </c>
      <c r="D5" t="s">
        <v>62</v>
      </c>
      <c r="E5">
        <v>3</v>
      </c>
      <c r="F5">
        <v>3</v>
      </c>
      <c r="G5">
        <v>2</v>
      </c>
      <c r="H5">
        <v>2</v>
      </c>
      <c r="I5">
        <v>2</v>
      </c>
      <c r="J5">
        <v>3</v>
      </c>
      <c r="M5">
        <v>3</v>
      </c>
      <c r="N5">
        <v>2</v>
      </c>
      <c r="O5">
        <v>2</v>
      </c>
      <c r="Q5">
        <v>2</v>
      </c>
      <c r="U5" t="s">
        <v>102</v>
      </c>
    </row>
    <row r="6" spans="1:21" x14ac:dyDescent="0.2">
      <c r="A6" t="s">
        <v>6</v>
      </c>
      <c r="B6" t="s">
        <v>24</v>
      </c>
      <c r="C6" t="s">
        <v>45</v>
      </c>
      <c r="D6" t="s">
        <v>59</v>
      </c>
      <c r="E6">
        <v>4</v>
      </c>
      <c r="F6">
        <v>4</v>
      </c>
      <c r="G6">
        <v>3</v>
      </c>
      <c r="H6">
        <v>3</v>
      </c>
      <c r="I6">
        <v>3</v>
      </c>
      <c r="J6">
        <v>4</v>
      </c>
      <c r="N6">
        <v>3</v>
      </c>
      <c r="Q6">
        <v>3</v>
      </c>
      <c r="U6" t="s">
        <v>103</v>
      </c>
    </row>
    <row r="7" spans="1:21" x14ac:dyDescent="0.2">
      <c r="A7" t="s">
        <v>9</v>
      </c>
      <c r="B7" t="s">
        <v>26</v>
      </c>
      <c r="C7" t="s">
        <v>46</v>
      </c>
      <c r="D7" t="s">
        <v>60</v>
      </c>
      <c r="E7">
        <v>5</v>
      </c>
      <c r="F7">
        <v>5</v>
      </c>
      <c r="G7">
        <v>4</v>
      </c>
      <c r="H7">
        <v>4</v>
      </c>
      <c r="I7">
        <v>4</v>
      </c>
      <c r="J7">
        <v>5</v>
      </c>
      <c r="U7" t="s">
        <v>104</v>
      </c>
    </row>
    <row r="8" spans="1:21" x14ac:dyDescent="0.2">
      <c r="A8" t="s">
        <v>11</v>
      </c>
      <c r="B8" t="s">
        <v>27</v>
      </c>
      <c r="C8" t="s">
        <v>47</v>
      </c>
      <c r="D8" t="s">
        <v>61</v>
      </c>
      <c r="E8">
        <v>6</v>
      </c>
      <c r="F8">
        <v>6</v>
      </c>
      <c r="G8">
        <v>5</v>
      </c>
      <c r="H8">
        <v>5</v>
      </c>
      <c r="I8">
        <v>5</v>
      </c>
      <c r="U8" t="s">
        <v>105</v>
      </c>
    </row>
    <row r="9" spans="1:21" x14ac:dyDescent="0.2">
      <c r="B9" t="s">
        <v>90</v>
      </c>
      <c r="C9" t="s">
        <v>48</v>
      </c>
      <c r="E9">
        <v>7</v>
      </c>
      <c r="F9">
        <v>7</v>
      </c>
      <c r="G9">
        <v>6</v>
      </c>
      <c r="H9">
        <v>6</v>
      </c>
      <c r="I9">
        <v>6</v>
      </c>
      <c r="U9" t="s">
        <v>106</v>
      </c>
    </row>
    <row r="10" spans="1:21" x14ac:dyDescent="0.2">
      <c r="B10" t="s">
        <v>28</v>
      </c>
      <c r="C10" t="s">
        <v>49</v>
      </c>
      <c r="E10">
        <v>8</v>
      </c>
      <c r="F10">
        <v>8</v>
      </c>
      <c r="G10">
        <v>7</v>
      </c>
      <c r="H10">
        <v>7</v>
      </c>
      <c r="I10">
        <v>7</v>
      </c>
    </row>
    <row r="11" spans="1:21" x14ac:dyDescent="0.2">
      <c r="B11" t="s">
        <v>16</v>
      </c>
      <c r="C11" t="s">
        <v>50</v>
      </c>
      <c r="E11">
        <v>9</v>
      </c>
      <c r="F11">
        <v>9</v>
      </c>
      <c r="G11">
        <v>8</v>
      </c>
      <c r="H11">
        <v>8</v>
      </c>
      <c r="I11">
        <v>8</v>
      </c>
      <c r="J11" t="s">
        <v>95</v>
      </c>
    </row>
    <row r="12" spans="1:21" x14ac:dyDescent="0.2">
      <c r="B12" t="s">
        <v>91</v>
      </c>
      <c r="C12" t="s">
        <v>51</v>
      </c>
      <c r="G12">
        <v>9</v>
      </c>
      <c r="H12">
        <v>9</v>
      </c>
      <c r="I12">
        <v>9</v>
      </c>
      <c r="J12" t="s">
        <v>8</v>
      </c>
    </row>
    <row r="13" spans="1:21" x14ac:dyDescent="0.2">
      <c r="B13" t="s">
        <v>17</v>
      </c>
      <c r="C13" t="s">
        <v>52</v>
      </c>
      <c r="J13">
        <v>1</v>
      </c>
    </row>
    <row r="14" spans="1:21" x14ac:dyDescent="0.2">
      <c r="B14" t="s">
        <v>21</v>
      </c>
      <c r="C14" t="s">
        <v>53</v>
      </c>
      <c r="J14">
        <v>2</v>
      </c>
    </row>
    <row r="15" spans="1:21" x14ac:dyDescent="0.2">
      <c r="B15" t="s">
        <v>15</v>
      </c>
      <c r="C15" t="s">
        <v>54</v>
      </c>
    </row>
    <row r="16" spans="1:21" x14ac:dyDescent="0.2">
      <c r="B16" t="s">
        <v>58</v>
      </c>
      <c r="C16" t="s">
        <v>55</v>
      </c>
      <c r="J16" t="s">
        <v>96</v>
      </c>
    </row>
    <row r="17" spans="2:10" x14ac:dyDescent="0.2">
      <c r="B17" t="s">
        <v>18</v>
      </c>
      <c r="C17" t="s">
        <v>56</v>
      </c>
      <c r="J17" t="s">
        <v>8</v>
      </c>
    </row>
    <row r="18" spans="2:10" x14ac:dyDescent="0.2">
      <c r="B18" t="s">
        <v>19</v>
      </c>
      <c r="C18" t="s">
        <v>57</v>
      </c>
      <c r="J18">
        <v>1</v>
      </c>
    </row>
    <row r="19" spans="2:10" x14ac:dyDescent="0.2">
      <c r="C19" t="s">
        <v>29</v>
      </c>
      <c r="J19">
        <v>2</v>
      </c>
    </row>
    <row r="20" spans="2:10" x14ac:dyDescent="0.2">
      <c r="C20" t="s">
        <v>4</v>
      </c>
      <c r="J20">
        <v>3</v>
      </c>
    </row>
    <row r="21" spans="2:10" x14ac:dyDescent="0.2">
      <c r="C21" t="s">
        <v>42</v>
      </c>
      <c r="J21">
        <v>4</v>
      </c>
    </row>
    <row r="22" spans="2:10" x14ac:dyDescent="0.2">
      <c r="C22" t="s">
        <v>41</v>
      </c>
    </row>
    <row r="23" spans="2:10" x14ac:dyDescent="0.2">
      <c r="C23" t="s">
        <v>5</v>
      </c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319B7-1967-46D0-8D87-4BC407B474B1}">
  <sheetPr codeName="Sheet16"/>
  <dimension ref="A1:A3"/>
  <sheetViews>
    <sheetView workbookViewId="0">
      <selection activeCell="A2" sqref="A2"/>
    </sheetView>
  </sheetViews>
  <sheetFormatPr baseColWidth="10" defaultColWidth="8.6640625" defaultRowHeight="15" x14ac:dyDescent="0.2"/>
  <sheetData>
    <row r="1" spans="1:1" x14ac:dyDescent="0.2">
      <c r="A1" t="s">
        <v>88</v>
      </c>
    </row>
    <row r="2" spans="1:1" x14ac:dyDescent="0.2">
      <c r="A2" t="s">
        <v>86</v>
      </c>
    </row>
    <row r="3" spans="1:1" x14ac:dyDescent="0.2">
      <c r="A3" t="s">
        <v>87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79A7-74DB-4D85-8B2D-0532AFDE8723}">
  <sheetPr codeName="Sheet3">
    <tabColor rgb="FFFFC000"/>
  </sheetPr>
  <dimension ref="A1:K2"/>
  <sheetViews>
    <sheetView workbookViewId="0">
      <selection activeCell="CM2" sqref="CM2"/>
    </sheetView>
  </sheetViews>
  <sheetFormatPr baseColWidth="10" defaultColWidth="8.6640625" defaultRowHeight="15" x14ac:dyDescent="0.2"/>
  <sheetData>
    <row r="1" spans="1:11" x14ac:dyDescent="0.2">
      <c r="A1" t="s">
        <v>97</v>
      </c>
      <c r="B1" t="s">
        <v>123</v>
      </c>
      <c r="C1" t="s">
        <v>67</v>
      </c>
      <c r="D1" t="s">
        <v>68</v>
      </c>
      <c r="E1" t="s">
        <v>119</v>
      </c>
      <c r="F1" t="s">
        <v>120</v>
      </c>
      <c r="G1" t="s">
        <v>121</v>
      </c>
      <c r="H1" t="s">
        <v>122</v>
      </c>
      <c r="I1" t="s">
        <v>107</v>
      </c>
      <c r="J1" t="s">
        <v>110</v>
      </c>
      <c r="K1" t="s">
        <v>78</v>
      </c>
    </row>
    <row r="2" spans="1:11" x14ac:dyDescent="0.2">
      <c r="A2">
        <v>283</v>
      </c>
      <c r="B2">
        <v>0.4</v>
      </c>
      <c r="C2">
        <v>0.745</v>
      </c>
      <c r="D2">
        <v>0.21</v>
      </c>
      <c r="E2">
        <v>4.4999999999999998E-2</v>
      </c>
      <c r="F2">
        <v>0.79</v>
      </c>
      <c r="G2">
        <v>0.21</v>
      </c>
      <c r="H2">
        <v>0</v>
      </c>
      <c r="I2">
        <v>1.225E-3</v>
      </c>
      <c r="J2">
        <v>1.8099999999999999E-5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38338-8DBA-460B-B2BA-61B74F5844E1}">
  <sheetPr codeName="Sheet9">
    <tabColor rgb="FFFFC000"/>
  </sheetPr>
  <dimension ref="A1:K2"/>
  <sheetViews>
    <sheetView workbookViewId="0">
      <selection activeCell="CR2" sqref="CR2"/>
    </sheetView>
  </sheetViews>
  <sheetFormatPr baseColWidth="10" defaultColWidth="8.6640625" defaultRowHeight="15" x14ac:dyDescent="0.2"/>
  <sheetData>
    <row r="1" spans="1:11" x14ac:dyDescent="0.2">
      <c r="A1" t="s">
        <v>97</v>
      </c>
      <c r="B1" t="s">
        <v>123</v>
      </c>
      <c r="C1" t="s">
        <v>67</v>
      </c>
      <c r="D1" t="s">
        <v>68</v>
      </c>
      <c r="E1" t="s">
        <v>119</v>
      </c>
      <c r="F1" t="s">
        <v>120</v>
      </c>
      <c r="G1" t="s">
        <v>121</v>
      </c>
      <c r="H1" t="s">
        <v>122</v>
      </c>
      <c r="I1" t="s">
        <v>107</v>
      </c>
      <c r="J1" t="s">
        <v>110</v>
      </c>
      <c r="K1" t="s">
        <v>78</v>
      </c>
    </row>
    <row r="2" spans="1:11" x14ac:dyDescent="0.2">
      <c r="A2">
        <v>1</v>
      </c>
      <c r="B2">
        <v>1</v>
      </c>
      <c r="C2">
        <v>1</v>
      </c>
      <c r="D2">
        <v>1</v>
      </c>
      <c r="E2">
        <v>1</v>
      </c>
      <c r="F2">
        <v>1</v>
      </c>
      <c r="G2">
        <v>1</v>
      </c>
      <c r="H2">
        <v>1</v>
      </c>
      <c r="I2">
        <v>1</v>
      </c>
      <c r="J2">
        <v>1</v>
      </c>
      <c r="K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2</vt:i4>
      </vt:variant>
    </vt:vector>
  </HeadingPairs>
  <TitlesOfParts>
    <vt:vector size="8" baseType="lpstr">
      <vt:lpstr>Revision History</vt:lpstr>
      <vt:lpstr>Stream Properties</vt:lpstr>
      <vt:lpstr>Reference</vt:lpstr>
      <vt:lpstr>maintenance check list</vt:lpstr>
      <vt:lpstr>Data(Transposed)</vt:lpstr>
      <vt:lpstr>Data(Test)</vt:lpstr>
      <vt:lpstr>'Revision History'!Print_Area</vt:lpstr>
      <vt:lpstr>'Stream Properties'!Print_Area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Kim, Taehun</dc:creator>
  <cp:lastModifiedBy>Kalman, Viktor</cp:lastModifiedBy>
  <cp:lastPrinted>2020-11-27T00:08:43Z</cp:lastPrinted>
  <dcterms:created xsi:type="dcterms:W3CDTF">2020-11-24T18:36:54Z</dcterms:created>
  <dcterms:modified xsi:type="dcterms:W3CDTF">2025-01-14T17:20:48Z</dcterms:modified>
</cp:coreProperties>
</file>