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035C5EE9-8BFA-4A4C-A5D6-1489F790F780}" xr6:coauthVersionLast="47" xr6:coauthVersionMax="47" xr10:uidLastSave="{00000000-0000-0000-0000-000000000000}"/>
  <bookViews>
    <workbookView xWindow="4660" yWindow="1620" windowWidth="22920" windowHeight="1794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Isotherm'!$A$2:$J$77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54" l="1"/>
  <c r="H11" i="54"/>
  <c r="I13" i="53"/>
  <c r="H13" i="53"/>
  <c r="I12" i="53"/>
  <c r="H12" i="53"/>
  <c r="I16" i="53"/>
  <c r="H16" i="53"/>
  <c r="I15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I46" i="53"/>
  <c r="H46" i="53"/>
  <c r="I45" i="53"/>
  <c r="H45" i="53"/>
  <c r="I49" i="53"/>
  <c r="H49" i="53"/>
  <c r="I48" i="53"/>
  <c r="H48" i="53"/>
  <c r="I52" i="53"/>
  <c r="H52" i="53"/>
  <c r="I51" i="53"/>
  <c r="H51" i="53"/>
  <c r="I55" i="53"/>
  <c r="H55" i="53"/>
  <c r="I54" i="53"/>
  <c r="H54" i="53"/>
  <c r="I58" i="53"/>
  <c r="H58" i="53"/>
  <c r="I57" i="53"/>
  <c r="H57" i="53"/>
  <c r="I61" i="53"/>
  <c r="H61" i="53"/>
  <c r="I60" i="53"/>
  <c r="H60" i="53"/>
  <c r="I64" i="53"/>
  <c r="H64" i="53"/>
  <c r="I63" i="53"/>
  <c r="H63" i="53"/>
  <c r="I67" i="53"/>
  <c r="H67" i="53"/>
  <c r="I66" i="53"/>
  <c r="H66" i="53"/>
  <c r="I70" i="53"/>
  <c r="H70" i="53"/>
  <c r="I69" i="53"/>
  <c r="H69" i="53"/>
  <c r="I73" i="53"/>
  <c r="H73" i="53"/>
  <c r="I72" i="53"/>
  <c r="H72" i="53"/>
  <c r="I76" i="53"/>
  <c r="H76" i="53"/>
  <c r="I75" i="53"/>
  <c r="H75" i="53"/>
  <c r="B12" i="57"/>
  <c r="I74" i="53" l="1"/>
  <c r="H74" i="53"/>
  <c r="I71" i="53"/>
  <c r="H71" i="53"/>
  <c r="I68" i="53"/>
  <c r="H68" i="53"/>
  <c r="H65" i="53"/>
  <c r="I65" i="53"/>
  <c r="I62" i="53"/>
  <c r="H62" i="53"/>
  <c r="I59" i="53"/>
  <c r="I56" i="53"/>
  <c r="I53" i="53"/>
  <c r="I50" i="53"/>
  <c r="I47" i="53"/>
  <c r="I44" i="53"/>
  <c r="H59" i="53"/>
  <c r="H56" i="53"/>
  <c r="H53" i="53"/>
  <c r="H50" i="53"/>
  <c r="H47" i="53"/>
  <c r="H44" i="53"/>
  <c r="I14" i="53" l="1"/>
  <c r="B10" i="58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<sst xmlns="http://schemas.openxmlformats.org/spreadsheetml/2006/main" count="847" uniqueCount="245">
  <si>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</si>
  <si>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</si>
  <si>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</si>
  <si>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</si>
  <si>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</si>
  <si>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</si>
  <si>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</si>
  <si>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</si>
  <si>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</si>
  <si>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</si>
  <si>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</si>
  <si>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</si>
  <si>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</si>
  <si>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</si>
  <si>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</si>
  <si>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</si>
  <si>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</si>
  <si>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</si>
  <si>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</si>
  <si>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</si>
  <si>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</si>
  <si>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</si>
  <si>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</si>
  <si>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</si>
  <si>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</si>
  <si>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</si>
  <si>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</si>
  <si>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</si>
  <si>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</si>
  <si>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</si>
  <si>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</si>
  <si>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</si>
  <si>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</si>
  <si>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</si>
  <si>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</si>
  <si>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</si>
  <si>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</si>
  <si>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</si>
  <si>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</si>
  <si>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</si>
  <si>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</si>
  <si>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</si>
  <si>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</si>
  <si>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</si>
  <si>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</si>
  <si>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</si>
  <si>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</si>
  <si>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</si>
  <si>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</si>
  <si>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</si>
  <si>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</si>
  <si>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</si>
  <si>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</si>
  <si>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</si>
  <si>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</si>
  <si>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</si>
  <si>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</si>
  <si>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</si>
  <si>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</si>
  <si>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</si>
  <si>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</si>
  <si>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</si>
  <si>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</si>
  <si>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</si>
  <si>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</si>
  <si>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</si>
  <si>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</si>
  <si>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</si>
  <si>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</si>
  <si>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</si>
  <si>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</si>
  <si>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</si>
  <si>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</si>
  <si>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</si>
  <si>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</si>
  <si>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</si>
  <si>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</si>
  <si>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</si>
  <si>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</si>
  <si>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</si>
  <si>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</si>
  <si>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</si>
  <si>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</si>
  <si>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</si>
  <si>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</si>
  <si>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</si>
  <si>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</si>
  <si>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</si>
  <si>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</si>
  <si>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</si>
  <si>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</si>
  <si>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</si>
  <si>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</si>
  <si>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</si>
  <si>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</si>
  <si>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</si>
  <si>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</si>
  <si>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</si>
  <si>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</si>
  <si>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</si>
  <si>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</si>
  <si>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</si>
  <si>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</si>
  <si>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</si>
  <si>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</si>
  <si>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</si>
  <si>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</si>
  <si>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</si>
  <si>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</si>
  <si>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</si>
  <si>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</si>
  <si>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</si>
  <si>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</si>
  <si>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</si>
  <si>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</si>
  <si>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</si>
  <si>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</si>
  <si>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</si>
  <si>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</si>
  <si>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</si>
  <si>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</si>
  <si>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</si>
  <si>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</si>
  <si>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</si>
  <si>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</si>
  <si>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</si>
  <si>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</si>
  <si>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</si>
  <si>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</si>
  <si>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</si>
  <si>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</si>
  <si>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</si>
  <si>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</si>
  <si>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</si>
  <si>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</si>
  <si>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</si>
  <si>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</si>
  <si>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</si>
  <si>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</si>
  <si>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</si>
  <si>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</si>
  <si>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</si>
  <si>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</si>
  <si>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</si>
  <si>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</si>
  <si>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</si>
  <si>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</si>
  <si>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</si>
  <si>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</si>
  <si>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</si>
  <si>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</si>
  <si>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</si>
  <si>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</si>
  <si>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</si>
  <si>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</si>
  <si>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</si>
  <si>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</si>
  <si>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</si>
  <si>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</si>
  <si>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</si>
  <si>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</si>
  <si>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</si>
  <si>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</si>
  <si>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</si>
  <si>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</si>
  <si>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</si>
  <si>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</si>
  <si>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</si>
  <si>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</si>
  <si>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</si>
  <si>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</si>
  <si>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</si>
  <si>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</si>
  <si>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</si>
  <si>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</si>
  <si>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</si>
  <si>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</si>
  <si>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</si>
  <si>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</si>
  <si>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</si>
  <si>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</si>
  <si>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</si>
  <si>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</si>
  <si>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</si>
  <si>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</si>
  <si>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</si>
  <si>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</si>
  <si>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</si>
  <si>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</si>
  <si>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</si>
  <si>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</si>
  <si>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</si>
  <si>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</si>
  <si>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</si>
  <si>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</si>
  <si>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</si>
  <si>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</si>
  <si>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</si>
  <si>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</si>
  <si>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</si>
  <si>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</si>
  <si>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</si>
  <si>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</si>
  <si>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</si>
  <si>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</si>
  <si>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</si>
  <si>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</si>
  <si>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</si>
  <si>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</si>
  <si>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</si>
  <si>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</si>
  <si>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</si>
  <si>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</si>
  <si>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</si>
  <si>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</si>
  <si>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</si>
  <si>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alphaC2</t>
  </si>
  <si>
    <t>t0C2</t>
  </si>
  <si>
    <t>b0C2</t>
  </si>
  <si>
    <t>ChiC2</t>
  </si>
  <si>
    <t>nS0C1</t>
  </si>
  <si>
    <t>nS0C2</t>
  </si>
  <si>
    <t>alphaC3</t>
  </si>
  <si>
    <t>t0C3</t>
  </si>
  <si>
    <t>b0C3</t>
  </si>
  <si>
    <t>ChiC3</t>
  </si>
  <si>
    <t>nS0C3</t>
  </si>
  <si>
    <t>nSiteTwoC3</t>
  </si>
  <si>
    <t>nSiteOneC3</t>
  </si>
  <si>
    <t>bSiteTwoC3</t>
  </si>
  <si>
    <t>bSiteOneC3</t>
  </si>
  <si>
    <t>qSatSiteTwoC3</t>
  </si>
  <si>
    <t>qSatSiteOneC3</t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</si>
  <si>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</si>
  <si>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</si>
  <si>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</si>
  <si>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</si>
  <si>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</si>
  <si>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</si>
  <si>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</si>
  <si>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</si>
  <si>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bC3</t>
  </si>
  <si>
    <t>qSatC3</t>
  </si>
  <si>
    <t>henryC3</t>
  </si>
  <si>
    <t>ldfMtc3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</si>
</sst>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5091"/>
          <a:ext cx="6759712" cy="54088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29765" y="1184087"/>
          <a:ext cx="47819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VSA2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est)"/>
      <sheetName val="Data(Transposed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77" totalsRowShown="0" headerRowDxfId="57" dataDxfId="55" headerRowBorderDxfId="56" tableBorderDxfId="54" totalsRowBorderDxfId="53">
  <autoFilter ref="A9:J77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40" x14ac:dyDescent="0.2">
      <c r="D5" s="60" t="s">
        <v>39</v>
      </c>
      <c r="E5" s="60"/>
      <c r="F5" s="60"/>
      <c r="G5" s="60"/>
      <c r="H5" s="60"/>
      <c r="I5" s="60"/>
      <c r="J5" s="60"/>
    </row>
    <row r="6" spans="4:10" ht="20" x14ac:dyDescent="0.2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 x14ac:dyDescent="0.2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 x14ac:dyDescent="0.2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 x14ac:dyDescent="0.2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147</v>
      </c>
      <c r="B10" s="33">
        <v>0.36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80" x14ac:dyDescent="0.2">
      <c r="A10" s="4" t="s">
        <v>120</v>
      </c>
      <c r="B10" s="33">
        <v>2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6" x14ac:dyDescent="0.2">
      <c r="A11" s="4" t="s">
        <v>134</v>
      </c>
      <c r="B11" s="33">
        <v>0.81100000000000005</v>
      </c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1</v>
      </c>
      <c r="J11" s="5" t="s">
        <v>132</v>
      </c>
    </row>
    <row r="12" spans="1:10" ht="16" x14ac:dyDescent="0.2">
      <c r="A12" s="4" t="s">
        <v>135</v>
      </c>
      <c r="B12" s="33">
        <f>1-B11</f>
        <v>0.18899999999999995</v>
      </c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1</v>
      </c>
      <c r="J12" s="5" t="s">
        <v>133</v>
      </c>
    </row>
    <row r="13" spans="1:10" ht="16" x14ac:dyDescent="0.2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cnj+90qmWKsgY3M0OsW7zwMyRnBLWRV4D7Y6vAQukQMwutHXmoJO7ZsOFZFnDOCD16AjsTF19G/n/zJmeHCRTg==" saltValue="+tKG+rfLYjb4swqgxLDw9Q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2" x14ac:dyDescent="0.2">
      <c r="A11" s="4" t="s">
        <v>67</v>
      </c>
      <c r="B11" s="59">
        <v>5.5399999999999998E-5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6" x14ac:dyDescent="0.2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qsoLHCx21f9/cSSgEtOaJqIq0DqqK+5Ff4qwKMjaONZ+UmqbNZ78CgMH5/5wIGgCOldkevr2BXQpqr8gJqgmqw==" saltValue="QlDEqsYuxHs5IVCTYxNtx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97"/>
  <sheetViews>
    <sheetView showGridLines="0" tabSelected="1" topLeftCell="A2" zoomScale="110" zoomScaleNormal="11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130</v>
      </c>
      <c r="B10" s="33">
        <v>280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98" x14ac:dyDescent="0.2">
      <c r="A11" s="46" t="s">
        <v>155</v>
      </c>
      <c r="B11" s="33"/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0</v>
      </c>
      <c r="J11" s="5" t="s">
        <v>172</v>
      </c>
    </row>
    <row r="12" spans="1:10" ht="98" x14ac:dyDescent="0.2">
      <c r="A12" s="46" t="s">
        <v>209</v>
      </c>
      <c r="B12" s="33"/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0</v>
      </c>
      <c r="J12" s="5" t="s">
        <v>172</v>
      </c>
    </row>
    <row r="13" spans="1:10" ht="98" x14ac:dyDescent="0.2">
      <c r="A13" s="46" t="s">
        <v>243</v>
      </c>
      <c r="B13" s="33"/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0</v>
      </c>
      <c r="J13" s="5" t="s">
        <v>172</v>
      </c>
    </row>
    <row r="14" spans="1:10" ht="50" x14ac:dyDescent="0.2">
      <c r="A14" s="4" t="s">
        <v>71</v>
      </c>
      <c r="B14" s="33"/>
      <c r="C14" s="35" t="s">
        <v>158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0</v>
      </c>
      <c r="J14" s="5" t="s">
        <v>180</v>
      </c>
    </row>
    <row r="15" spans="1:10" ht="50" x14ac:dyDescent="0.2">
      <c r="A15" s="4" t="s">
        <v>208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0</v>
      </c>
      <c r="J15" s="5" t="s">
        <v>180</v>
      </c>
    </row>
    <row r="16" spans="1:10" ht="50" x14ac:dyDescent="0.2">
      <c r="A16" s="4" t="s">
        <v>242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0</v>
      </c>
      <c r="J16" s="5" t="s">
        <v>180</v>
      </c>
    </row>
    <row r="17" spans="1:10" ht="66" x14ac:dyDescent="0.2">
      <c r="A17" s="4" t="s">
        <v>72</v>
      </c>
      <c r="B17" s="33"/>
      <c r="C17" s="2" t="s">
        <v>157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173</v>
      </c>
    </row>
    <row r="18" spans="1:10" ht="66" x14ac:dyDescent="0.2">
      <c r="A18" s="4" t="s">
        <v>207</v>
      </c>
      <c r="B18" s="33"/>
      <c r="C18" s="2" t="s">
        <v>157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173</v>
      </c>
    </row>
    <row r="19" spans="1:10" ht="66" x14ac:dyDescent="0.2">
      <c r="A19" s="4" t="s">
        <v>241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173</v>
      </c>
    </row>
    <row r="20" spans="1:10" ht="98" x14ac:dyDescent="0.2">
      <c r="A20" s="46" t="s">
        <v>160</v>
      </c>
      <c r="B20" s="33"/>
      <c r="C20" s="35" t="s">
        <v>157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0</v>
      </c>
      <c r="J20" s="5" t="s">
        <v>174</v>
      </c>
    </row>
    <row r="21" spans="1:10" ht="98" x14ac:dyDescent="0.2">
      <c r="A21" s="46" t="s">
        <v>206</v>
      </c>
      <c r="B21" s="33"/>
      <c r="C21" s="35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0</v>
      </c>
      <c r="J21" s="5" t="s">
        <v>174</v>
      </c>
    </row>
    <row r="22" spans="1:10" ht="98" x14ac:dyDescent="0.2">
      <c r="A22" s="46" t="s">
        <v>240</v>
      </c>
      <c r="B22" s="33"/>
      <c r="C22" s="35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0</v>
      </c>
      <c r="J22" s="5" t="s">
        <v>174</v>
      </c>
    </row>
    <row r="23" spans="1:10" ht="50" x14ac:dyDescent="0.2">
      <c r="A23" s="46" t="s">
        <v>161</v>
      </c>
      <c r="B23" s="33"/>
      <c r="C23" s="35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0</v>
      </c>
      <c r="J23" s="5" t="s">
        <v>175</v>
      </c>
    </row>
    <row r="24" spans="1:10" ht="50" x14ac:dyDescent="0.2">
      <c r="A24" s="46" t="s">
        <v>205</v>
      </c>
      <c r="B24" s="33"/>
      <c r="C24" s="35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0</v>
      </c>
      <c r="J24" s="5" t="s">
        <v>175</v>
      </c>
    </row>
    <row r="25" spans="1:10" ht="50" x14ac:dyDescent="0.2">
      <c r="A25" s="46" t="s">
        <v>239</v>
      </c>
      <c r="B25" s="33"/>
      <c r="C25" s="35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0</v>
      </c>
      <c r="J25" s="5" t="s">
        <v>175</v>
      </c>
    </row>
    <row r="26" spans="1:10" ht="66" x14ac:dyDescent="0.2">
      <c r="A26" s="46" t="s">
        <v>162</v>
      </c>
      <c r="B26" s="33"/>
      <c r="C26" s="35" t="s">
        <v>158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5" t="s">
        <v>176</v>
      </c>
    </row>
    <row r="27" spans="1:10" ht="66" x14ac:dyDescent="0.2">
      <c r="A27" s="46" t="s">
        <v>204</v>
      </c>
      <c r="B27" s="33"/>
      <c r="C27" s="35" t="s">
        <v>158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5" t="s">
        <v>176</v>
      </c>
    </row>
    <row r="28" spans="1:10" ht="66" x14ac:dyDescent="0.2">
      <c r="A28" s="46" t="s">
        <v>238</v>
      </c>
      <c r="B28" s="33"/>
      <c r="C28" s="35" t="s">
        <v>158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5" t="s">
        <v>176</v>
      </c>
    </row>
    <row r="29" spans="1:10" ht="66" x14ac:dyDescent="0.2">
      <c r="A29" s="46" t="s">
        <v>163</v>
      </c>
      <c r="B29" s="33"/>
      <c r="C29" s="35" t="s">
        <v>171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5" t="s">
        <v>177</v>
      </c>
    </row>
    <row r="30" spans="1:10" ht="66" x14ac:dyDescent="0.2">
      <c r="A30" s="46" t="s">
        <v>203</v>
      </c>
      <c r="B30" s="33"/>
      <c r="C30" s="35" t="s">
        <v>171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5" t="s">
        <v>177</v>
      </c>
    </row>
    <row r="31" spans="1:10" ht="66" x14ac:dyDescent="0.2">
      <c r="A31" s="46" t="s">
        <v>237</v>
      </c>
      <c r="B31" s="33"/>
      <c r="C31" s="35" t="s">
        <v>171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5" t="s">
        <v>177</v>
      </c>
    </row>
    <row r="32" spans="1:10" ht="66" x14ac:dyDescent="0.2">
      <c r="A32" s="46" t="s">
        <v>164</v>
      </c>
      <c r="B32" s="33"/>
      <c r="C32" s="35" t="s">
        <v>181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5" t="s">
        <v>178</v>
      </c>
    </row>
    <row r="33" spans="1:10" ht="66" x14ac:dyDescent="0.2">
      <c r="A33" s="46" t="s">
        <v>202</v>
      </c>
      <c r="B33" s="33"/>
      <c r="C33" s="35" t="s">
        <v>181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178</v>
      </c>
    </row>
    <row r="34" spans="1:10" ht="66" x14ac:dyDescent="0.2">
      <c r="A34" s="46" t="s">
        <v>236</v>
      </c>
      <c r="B34" s="33"/>
      <c r="C34" s="35" t="s">
        <v>181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178</v>
      </c>
    </row>
    <row r="35" spans="1:10" ht="66" x14ac:dyDescent="0.2">
      <c r="A35" s="46" t="s">
        <v>165</v>
      </c>
      <c r="B35" s="33"/>
      <c r="C35" s="35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179</v>
      </c>
    </row>
    <row r="36" spans="1:10" ht="66" x14ac:dyDescent="0.2">
      <c r="A36" s="46" t="s">
        <v>166</v>
      </c>
      <c r="B36" s="33"/>
      <c r="C36" s="35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179</v>
      </c>
    </row>
    <row r="37" spans="1:10" ht="66" x14ac:dyDescent="0.2">
      <c r="A37" s="46" t="s">
        <v>235</v>
      </c>
      <c r="B37" s="33"/>
      <c r="C37" s="35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179</v>
      </c>
    </row>
    <row r="38" spans="1:10" ht="98" x14ac:dyDescent="0.2">
      <c r="A38" s="46" t="s">
        <v>167</v>
      </c>
      <c r="B38" s="33"/>
      <c r="C38" s="35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5" t="s">
        <v>182</v>
      </c>
    </row>
    <row r="39" spans="1:10" ht="98" x14ac:dyDescent="0.2">
      <c r="A39" s="46" t="s">
        <v>168</v>
      </c>
      <c r="B39" s="33"/>
      <c r="C39" s="35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5" t="s">
        <v>182</v>
      </c>
    </row>
    <row r="40" spans="1:10" ht="98" x14ac:dyDescent="0.2">
      <c r="A40" s="46" t="s">
        <v>234</v>
      </c>
      <c r="B40" s="33"/>
      <c r="C40" s="35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182</v>
      </c>
    </row>
    <row r="41" spans="1:10" ht="66" x14ac:dyDescent="0.2">
      <c r="A41" s="46" t="s">
        <v>169</v>
      </c>
      <c r="B41" s="33"/>
      <c r="C41" s="35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5" t="s">
        <v>183</v>
      </c>
    </row>
    <row r="42" spans="1:10" ht="66" x14ac:dyDescent="0.2">
      <c r="A42" s="46" t="s">
        <v>170</v>
      </c>
      <c r="B42" s="33"/>
      <c r="C42" s="35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183</v>
      </c>
    </row>
    <row r="43" spans="1:10" ht="66" x14ac:dyDescent="0.2">
      <c r="A43" s="46" t="s">
        <v>233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5" t="s">
        <v>183</v>
      </c>
    </row>
    <row r="44" spans="1:10" ht="48" x14ac:dyDescent="0.2">
      <c r="A44" s="56" t="s">
        <v>184</v>
      </c>
      <c r="B44" s="57"/>
      <c r="C44" s="35" t="s">
        <v>158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58" t="s">
        <v>185</v>
      </c>
    </row>
    <row r="45" spans="1:10" ht="48" x14ac:dyDescent="0.2">
      <c r="A45" s="56" t="s">
        <v>186</v>
      </c>
      <c r="B45" s="57"/>
      <c r="C45" s="35" t="s">
        <v>158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58" t="s">
        <v>185</v>
      </c>
    </row>
    <row r="46" spans="1:10" ht="48" x14ac:dyDescent="0.2">
      <c r="A46" s="56" t="s">
        <v>232</v>
      </c>
      <c r="B46" s="57"/>
      <c r="C46" s="35" t="s">
        <v>158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58" t="s">
        <v>185</v>
      </c>
    </row>
    <row r="47" spans="1:10" ht="48" x14ac:dyDescent="0.2">
      <c r="A47" s="56" t="s">
        <v>187</v>
      </c>
      <c r="B47" s="57"/>
      <c r="C47" s="35" t="s">
        <v>158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58" t="s">
        <v>188</v>
      </c>
    </row>
    <row r="48" spans="1:10" ht="48" x14ac:dyDescent="0.2">
      <c r="A48" s="56" t="s">
        <v>189</v>
      </c>
      <c r="B48" s="57"/>
      <c r="C48" s="35" t="s">
        <v>158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58" t="s">
        <v>188</v>
      </c>
    </row>
    <row r="49" spans="1:10" ht="48" x14ac:dyDescent="0.2">
      <c r="A49" s="56" t="s">
        <v>231</v>
      </c>
      <c r="B49" s="57"/>
      <c r="C49" s="35" t="s">
        <v>158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58" t="s">
        <v>188</v>
      </c>
    </row>
    <row r="50" spans="1:10" ht="48" x14ac:dyDescent="0.2">
      <c r="A50" s="56" t="s">
        <v>190</v>
      </c>
      <c r="B50" s="57"/>
      <c r="C50" s="35" t="s">
        <v>157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58" t="s">
        <v>191</v>
      </c>
    </row>
    <row r="51" spans="1:10" ht="48" x14ac:dyDescent="0.2">
      <c r="A51" s="56" t="s">
        <v>192</v>
      </c>
      <c r="B51" s="57"/>
      <c r="C51" s="35" t="s">
        <v>157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58" t="s">
        <v>191</v>
      </c>
    </row>
    <row r="52" spans="1:10" ht="48" x14ac:dyDescent="0.2">
      <c r="A52" s="56" t="s">
        <v>230</v>
      </c>
      <c r="B52" s="57"/>
      <c r="C52" s="35" t="s">
        <v>157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58" t="s">
        <v>191</v>
      </c>
    </row>
    <row r="53" spans="1:10" ht="48" x14ac:dyDescent="0.2">
      <c r="A53" s="56" t="s">
        <v>193</v>
      </c>
      <c r="B53" s="57"/>
      <c r="C53" s="35" t="s">
        <v>157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58" t="s">
        <v>194</v>
      </c>
    </row>
    <row r="54" spans="1:10" ht="48" x14ac:dyDescent="0.2">
      <c r="A54" s="56" t="s">
        <v>195</v>
      </c>
      <c r="B54" s="57"/>
      <c r="C54" s="35" t="s">
        <v>157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58" t="s">
        <v>194</v>
      </c>
    </row>
    <row r="55" spans="1:10" ht="48" x14ac:dyDescent="0.2">
      <c r="A55" s="56" t="s">
        <v>229</v>
      </c>
      <c r="B55" s="57"/>
      <c r="C55" s="35" t="s">
        <v>157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58" t="s">
        <v>194</v>
      </c>
    </row>
    <row r="56" spans="1:10" ht="32" x14ac:dyDescent="0.2">
      <c r="A56" s="56" t="s">
        <v>196</v>
      </c>
      <c r="B56" s="57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58" t="s">
        <v>197</v>
      </c>
    </row>
    <row r="57" spans="1:10" ht="32" x14ac:dyDescent="0.2">
      <c r="A57" s="56" t="s">
        <v>198</v>
      </c>
      <c r="B57" s="57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8" t="s">
        <v>197</v>
      </c>
    </row>
    <row r="58" spans="1:10" ht="32" x14ac:dyDescent="0.2">
      <c r="A58" s="56" t="s">
        <v>228</v>
      </c>
      <c r="B58" s="57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8" t="s">
        <v>197</v>
      </c>
    </row>
    <row r="59" spans="1:10" ht="32" x14ac:dyDescent="0.2">
      <c r="A59" s="56" t="s">
        <v>199</v>
      </c>
      <c r="B59" s="57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8" t="s">
        <v>200</v>
      </c>
    </row>
    <row r="60" spans="1:10" ht="32" x14ac:dyDescent="0.2">
      <c r="A60" s="56" t="s">
        <v>201</v>
      </c>
      <c r="B60" s="57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8" t="s">
        <v>200</v>
      </c>
    </row>
    <row r="61" spans="1:10" ht="32" x14ac:dyDescent="0.2">
      <c r="A61" s="56" t="s">
        <v>227</v>
      </c>
      <c r="B61" s="57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8" t="s">
        <v>200</v>
      </c>
    </row>
    <row r="62" spans="1:10" ht="48" x14ac:dyDescent="0.2">
      <c r="A62" s="46" t="s">
        <v>220</v>
      </c>
      <c r="B62" s="59">
        <v>9.9999999999999995E-7</v>
      </c>
      <c r="C62" s="35" t="s">
        <v>211</v>
      </c>
      <c r="D62" s="1" t="s">
        <v>24</v>
      </c>
      <c r="E62" s="1" t="s">
        <v>11</v>
      </c>
      <c r="F62" s="2" t="s">
        <v>5</v>
      </c>
      <c r="G62" s="1">
        <v>1</v>
      </c>
      <c r="H62" s="55">
        <f>[1]Initialization!$B$10</f>
        <v>3</v>
      </c>
      <c r="I62" s="44">
        <f>IF('[2]Model Selection'!$B$10=7,1,0)</f>
        <v>1</v>
      </c>
      <c r="J62" s="5" t="s">
        <v>210</v>
      </c>
    </row>
    <row r="63" spans="1:10" ht="48" x14ac:dyDescent="0.2">
      <c r="A63" s="46" t="s">
        <v>221</v>
      </c>
      <c r="B63" s="59">
        <v>9.9999999999999995E-7</v>
      </c>
      <c r="C63" s="35" t="s">
        <v>211</v>
      </c>
      <c r="D63" s="1" t="s">
        <v>24</v>
      </c>
      <c r="E63" s="1" t="s">
        <v>11</v>
      </c>
      <c r="F63" s="2" t="s">
        <v>5</v>
      </c>
      <c r="G63" s="1"/>
      <c r="H63" s="55">
        <f>[1]Initialization!$B$10</f>
        <v>3</v>
      </c>
      <c r="I63" s="44">
        <f>IF('[2]Model Selection'!$B$10=7,1,0)</f>
        <v>1</v>
      </c>
      <c r="J63" s="5" t="s">
        <v>210</v>
      </c>
    </row>
    <row r="64" spans="1:10" ht="48" x14ac:dyDescent="0.2">
      <c r="A64" s="46" t="s">
        <v>226</v>
      </c>
      <c r="B64" s="59">
        <v>197</v>
      </c>
      <c r="C64" s="35" t="s">
        <v>211</v>
      </c>
      <c r="D64" s="1" t="s">
        <v>24</v>
      </c>
      <c r="E64" s="1" t="s">
        <v>11</v>
      </c>
      <c r="F64" s="2" t="s">
        <v>5</v>
      </c>
      <c r="G64" s="1"/>
      <c r="H64" s="55">
        <f>[1]Initialization!$B$10</f>
        <v>3</v>
      </c>
      <c r="I64" s="44">
        <f>IF('[2]Model Selection'!$B$10=7,1,0)</f>
        <v>1</v>
      </c>
      <c r="J64" s="5" t="s">
        <v>210</v>
      </c>
    </row>
    <row r="65" spans="1:10" ht="48" x14ac:dyDescent="0.2">
      <c r="A65" s="46" t="s">
        <v>213</v>
      </c>
      <c r="B65" s="33">
        <v>0.01</v>
      </c>
      <c r="C65" s="35" t="s">
        <v>3</v>
      </c>
      <c r="D65" s="1" t="s">
        <v>24</v>
      </c>
      <c r="E65" s="1" t="s">
        <v>11</v>
      </c>
      <c r="F65" s="2" t="s">
        <v>5</v>
      </c>
      <c r="G65" s="1">
        <v>1</v>
      </c>
      <c r="H65" s="55">
        <f>[1]Initialization!$B$10</f>
        <v>3</v>
      </c>
      <c r="I65" s="44">
        <f>IF('[2]Model Selection'!$B$10=7,1,0)</f>
        <v>1</v>
      </c>
      <c r="J65" s="5" t="s">
        <v>210</v>
      </c>
    </row>
    <row r="66" spans="1:10" ht="48" x14ac:dyDescent="0.2">
      <c r="A66" s="46" t="s">
        <v>219</v>
      </c>
      <c r="B66" s="33">
        <v>0.01</v>
      </c>
      <c r="C66" s="35" t="s">
        <v>3</v>
      </c>
      <c r="D66" s="1" t="s">
        <v>24</v>
      </c>
      <c r="E66" s="1" t="s">
        <v>11</v>
      </c>
      <c r="F66" s="2" t="s">
        <v>5</v>
      </c>
      <c r="G66" s="1"/>
      <c r="H66" s="55">
        <f>[1]Initialization!$B$10</f>
        <v>3</v>
      </c>
      <c r="I66" s="44">
        <f>IF('[2]Model Selection'!$B$10=7,1,0)</f>
        <v>1</v>
      </c>
      <c r="J66" s="5" t="s">
        <v>210</v>
      </c>
    </row>
    <row r="67" spans="1:10" ht="48" x14ac:dyDescent="0.2">
      <c r="A67" s="46" t="s">
        <v>225</v>
      </c>
      <c r="B67" s="33">
        <v>2.37</v>
      </c>
      <c r="C67" s="35" t="s">
        <v>3</v>
      </c>
      <c r="D67" s="1" t="s">
        <v>24</v>
      </c>
      <c r="E67" s="1" t="s">
        <v>11</v>
      </c>
      <c r="F67" s="2" t="s">
        <v>5</v>
      </c>
      <c r="G67" s="1"/>
      <c r="H67" s="55">
        <f>[1]Initialization!$B$10</f>
        <v>3</v>
      </c>
      <c r="I67" s="44">
        <f>IF('[2]Model Selection'!$B$10=7,1,0)</f>
        <v>1</v>
      </c>
      <c r="J67" s="5" t="s">
        <v>210</v>
      </c>
    </row>
    <row r="68" spans="1:10" ht="48" x14ac:dyDescent="0.2">
      <c r="A68" s="46" t="s">
        <v>212</v>
      </c>
      <c r="B68" s="59">
        <v>9.9999999999999995E-7</v>
      </c>
      <c r="C68" s="35" t="s">
        <v>157</v>
      </c>
      <c r="D68" s="1" t="s">
        <v>24</v>
      </c>
      <c r="E68" s="1" t="s">
        <v>11</v>
      </c>
      <c r="F68" s="2" t="s">
        <v>5</v>
      </c>
      <c r="G68" s="1">
        <v>1</v>
      </c>
      <c r="H68" s="55">
        <f>[1]Initialization!$B$10</f>
        <v>3</v>
      </c>
      <c r="I68" s="44">
        <f>IF('[2]Model Selection'!$B$10=7,1,0)</f>
        <v>1</v>
      </c>
      <c r="J68" s="5" t="s">
        <v>210</v>
      </c>
    </row>
    <row r="69" spans="1:10" ht="48" x14ac:dyDescent="0.2">
      <c r="A69" s="46" t="s">
        <v>218</v>
      </c>
      <c r="B69" s="59">
        <v>9.9999999999999995E-7</v>
      </c>
      <c r="C69" s="35" t="s">
        <v>157</v>
      </c>
      <c r="D69" s="1" t="s">
        <v>24</v>
      </c>
      <c r="E69" s="1" t="s">
        <v>11</v>
      </c>
      <c r="F69" s="2" t="s">
        <v>5</v>
      </c>
      <c r="G69" s="1"/>
      <c r="H69" s="55">
        <f>[1]Initialization!$B$10</f>
        <v>3</v>
      </c>
      <c r="I69" s="44">
        <f>IF('[2]Model Selection'!$B$10=7,1,0)</f>
        <v>1</v>
      </c>
      <c r="J69" s="5" t="s">
        <v>210</v>
      </c>
    </row>
    <row r="70" spans="1:10" ht="48" x14ac:dyDescent="0.2">
      <c r="A70" s="46" t="s">
        <v>224</v>
      </c>
      <c r="B70" s="59">
        <v>22500</v>
      </c>
      <c r="C70" s="35" t="s">
        <v>157</v>
      </c>
      <c r="D70" s="1" t="s">
        <v>24</v>
      </c>
      <c r="E70" s="1" t="s">
        <v>11</v>
      </c>
      <c r="F70" s="2" t="s">
        <v>5</v>
      </c>
      <c r="G70" s="1"/>
      <c r="H70" s="55">
        <f>[1]Initialization!$B$10</f>
        <v>3</v>
      </c>
      <c r="I70" s="44">
        <f>IF('[2]Model Selection'!$B$10=7,1,0)</f>
        <v>1</v>
      </c>
      <c r="J70" s="5" t="s">
        <v>210</v>
      </c>
    </row>
    <row r="71" spans="1:10" ht="48" x14ac:dyDescent="0.2">
      <c r="A71" s="46" t="s">
        <v>214</v>
      </c>
      <c r="B71" s="33">
        <v>0</v>
      </c>
      <c r="C71" s="35" t="s">
        <v>3</v>
      </c>
      <c r="D71" s="1" t="s">
        <v>24</v>
      </c>
      <c r="E71" s="1" t="s">
        <v>11</v>
      </c>
      <c r="F71" s="2" t="s">
        <v>5</v>
      </c>
      <c r="G71" s="1">
        <v>1</v>
      </c>
      <c r="H71" s="55">
        <f>[1]Initialization!$B$10</f>
        <v>3</v>
      </c>
      <c r="I71" s="44">
        <f>IF('[2]Model Selection'!$B$10=7,1,0)</f>
        <v>1</v>
      </c>
      <c r="J71" s="5" t="s">
        <v>210</v>
      </c>
    </row>
    <row r="72" spans="1:10" ht="48" x14ac:dyDescent="0.2">
      <c r="A72" s="46" t="s">
        <v>217</v>
      </c>
      <c r="B72" s="33">
        <v>0</v>
      </c>
      <c r="C72" s="35" t="s">
        <v>3</v>
      </c>
      <c r="D72" s="1" t="s">
        <v>24</v>
      </c>
      <c r="E72" s="1" t="s">
        <v>11</v>
      </c>
      <c r="F72" s="2" t="s">
        <v>5</v>
      </c>
      <c r="G72" s="1"/>
      <c r="H72" s="55">
        <f>[1]Initialization!$B$10</f>
        <v>3</v>
      </c>
      <c r="I72" s="44">
        <f>IF('[2]Model Selection'!$B$10=7,1,0)</f>
        <v>1</v>
      </c>
      <c r="J72" s="5" t="s">
        <v>210</v>
      </c>
    </row>
    <row r="73" spans="1:10" ht="48" x14ac:dyDescent="0.2">
      <c r="A73" s="46" t="s">
        <v>223</v>
      </c>
      <c r="B73" s="33">
        <v>0.42199999999999999</v>
      </c>
      <c r="C73" s="35" t="s">
        <v>3</v>
      </c>
      <c r="D73" s="1" t="s">
        <v>24</v>
      </c>
      <c r="E73" s="1" t="s">
        <v>11</v>
      </c>
      <c r="F73" s="2" t="s">
        <v>5</v>
      </c>
      <c r="G73" s="1"/>
      <c r="H73" s="55">
        <f>[1]Initialization!$B$10</f>
        <v>3</v>
      </c>
      <c r="I73" s="44">
        <f>IF('[2]Model Selection'!$B$10=7,1,0)</f>
        <v>1</v>
      </c>
      <c r="J73" s="5" t="s">
        <v>210</v>
      </c>
    </row>
    <row r="74" spans="1:10" ht="48" x14ac:dyDescent="0.2">
      <c r="A74" s="46" t="s">
        <v>215</v>
      </c>
      <c r="B74" s="33">
        <v>0.01</v>
      </c>
      <c r="C74" s="35" t="s">
        <v>3</v>
      </c>
      <c r="D74" s="1" t="s">
        <v>24</v>
      </c>
      <c r="E74" s="1" t="s">
        <v>11</v>
      </c>
      <c r="F74" s="2" t="s">
        <v>5</v>
      </c>
      <c r="G74" s="1">
        <v>1</v>
      </c>
      <c r="H74" s="55">
        <f>[1]Initialization!$B$10</f>
        <v>3</v>
      </c>
      <c r="I74" s="44">
        <f>IF('[2]Model Selection'!$B$10=7,1,0)</f>
        <v>1</v>
      </c>
      <c r="J74" s="5" t="s">
        <v>210</v>
      </c>
    </row>
    <row r="75" spans="1:10" ht="48" x14ac:dyDescent="0.2">
      <c r="A75" s="46" t="s">
        <v>216</v>
      </c>
      <c r="B75" s="33">
        <v>0.01</v>
      </c>
      <c r="C75" s="35" t="s">
        <v>3</v>
      </c>
      <c r="D75" s="1" t="s">
        <v>24</v>
      </c>
      <c r="E75" s="1" t="s">
        <v>11</v>
      </c>
      <c r="F75" s="2" t="s">
        <v>5</v>
      </c>
      <c r="G75" s="1"/>
      <c r="H75" s="55">
        <f>[1]Initialization!$B$10</f>
        <v>3</v>
      </c>
      <c r="I75" s="44">
        <f>IF('[2]Model Selection'!$B$10=7,1,0)</f>
        <v>1</v>
      </c>
      <c r="J75" s="5" t="s">
        <v>210</v>
      </c>
    </row>
    <row r="76" spans="1:10" ht="48" x14ac:dyDescent="0.2">
      <c r="A76" s="46" t="s">
        <v>222</v>
      </c>
      <c r="B76" s="33">
        <v>0.94899999999999995</v>
      </c>
      <c r="C76" s="35" t="s">
        <v>3</v>
      </c>
      <c r="D76" s="1" t="s">
        <v>24</v>
      </c>
      <c r="E76" s="1" t="s">
        <v>11</v>
      </c>
      <c r="F76" s="2" t="s">
        <v>5</v>
      </c>
      <c r="G76" s="1"/>
      <c r="H76" s="55">
        <f>[1]Initialization!$B$10</f>
        <v>3</v>
      </c>
      <c r="I76" s="44">
        <f>IF('[2]Model Selection'!$B$10=7,1,0)</f>
        <v>1</v>
      </c>
      <c r="J76" s="5" t="s">
        <v>210</v>
      </c>
    </row>
    <row r="77" spans="1:10" ht="16" x14ac:dyDescent="0.2">
      <c r="A77" s="8" t="s">
        <v>86</v>
      </c>
      <c r="B77" s="34"/>
      <c r="C77" s="9"/>
      <c r="D77" s="10"/>
      <c r="E77" s="10"/>
      <c r="F77" s="9"/>
      <c r="G77" s="10">
        <v>1</v>
      </c>
      <c r="H77" s="10">
        <v>1</v>
      </c>
      <c r="I77" s="11">
        <v>0</v>
      </c>
      <c r="J77" s="12" t="s">
        <v>87</v>
      </c>
    </row>
    <row r="78" spans="1:10" ht="14.75" hidden="1" customHeight="1" x14ac:dyDescent="0.2"/>
    <row r="79" spans="1:10" ht="14.75" hidden="1" customHeight="1" x14ac:dyDescent="0.2"/>
    <row r="80" spans="1:10" ht="14.75" hidden="1" customHeight="1" x14ac:dyDescent="0.2"/>
    <row r="81" ht="14.75" hidden="1" customHeight="1" x14ac:dyDescent="0.2"/>
    <row r="82" ht="14.75" hidden="1" customHeight="1" x14ac:dyDescent="0.2"/>
    <row r="83" ht="14.75" hidden="1" customHeight="1" x14ac:dyDescent="0.2"/>
    <row r="84" ht="14.75" hidden="1" customHeight="1" x14ac:dyDescent="0.2"/>
    <row r="85" ht="14.75" hidden="1" customHeight="1" x14ac:dyDescent="0.2"/>
    <row r="86" ht="14.75" hidden="1" customHeight="1" x14ac:dyDescent="0.2"/>
    <row r="87" ht="14.75" hidden="1" customHeight="1" x14ac:dyDescent="0.2"/>
    <row r="88" ht="14.75" hidden="1" customHeight="1" x14ac:dyDescent="0.2"/>
    <row r="89" ht="14.75" hidden="1" customHeight="1" x14ac:dyDescent="0.2"/>
    <row r="90" ht="14.75" hidden="1" customHeight="1" x14ac:dyDescent="0.2"/>
    <row r="91" ht="14.75" hidden="1" customHeight="1" x14ac:dyDescent="0.2"/>
    <row r="92" ht="14.75" hidden="1" customHeight="1" x14ac:dyDescent="0.2"/>
    <row r="93" ht="14.75" hidden="1" customHeight="1" x14ac:dyDescent="0.2"/>
    <row r="94" ht="14.75" hidden="1" customHeight="1" x14ac:dyDescent="0.2"/>
    <row r="95" ht="14.75" hidden="1" customHeight="1" x14ac:dyDescent="0.2"/>
    <row r="96" ht="14.75" hidden="1" customHeight="1" x14ac:dyDescent="0.2"/>
    <row r="97" ht="14.75" hidden="1" customHeight="1" x14ac:dyDescent="0.2"/>
  </sheetData>
  <sheetProtection algorithmName="SHA-512" hashValue="Iad9To7V+FpoKlZcLxbJeEnFf0zaFkURAfZEpDbL+wnJUq0fQ3HmgKBSVsX8vyoxI/pnPY0Z4APqv4Zf7KhjFw==" saltValue="dJVgqVcwydatyDtORkOU3Q==" spinCount="100000" sheet="1" objects="1" scenarios="1" selectLockedCells="1"/>
  <mergeCells count="2">
    <mergeCell ref="A3:J3"/>
    <mergeCell ref="J4:J8"/>
  </mergeCells>
  <conditionalFormatting sqref="B10:B77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790">
      <formula>IF(COUNTA($B$10:$B$77)&lt;&gt;COUNTIF($I$10:$I$77,1),1,0)</formula>
    </cfRule>
    <cfRule type="expression" dxfId="58" priority="3791">
      <formula>IF(COUNTA($B$10:$B$77)=COUNTIF($I$10:$I$77,1),1,0)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E10:E77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F10:F77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D10:D77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5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82</v>
      </c>
      <c r="B10" s="59">
        <v>1E-3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74</v>
      </c>
    </row>
    <row r="11" spans="1:10" ht="32" x14ac:dyDescent="0.2">
      <c r="A11" s="4" t="s">
        <v>83</v>
      </c>
      <c r="B11" s="59">
        <v>1E-3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74</v>
      </c>
    </row>
    <row r="12" spans="1:10" ht="32" x14ac:dyDescent="0.2">
      <c r="A12" s="4" t="s">
        <v>244</v>
      </c>
      <c r="B12" s="59">
        <v>3.3300000000000001E-3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74</v>
      </c>
    </row>
    <row r="13" spans="1:10" ht="16" x14ac:dyDescent="0.2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  <row r="14" spans="1:10" ht="14.75" hidden="1" customHeight="1" x14ac:dyDescent="0.2"/>
    <row r="15" spans="1:10" ht="14.75" hidden="1" customHeight="1" x14ac:dyDescent="0.2"/>
  </sheetData>
  <sheetProtection algorithmName="SHA-512" hashValue="bq0LF8fO0vJhOaxxUgiX6fhFSu+RWbfetGHrZR36df+N3SVNUNbIuTQURmT0O0SA1FHruV4BHpkSHtzyG/eC9Q==" saltValue="FgQSmXtuB9GQ4YG2OtWJCA==" spinCount="100000" sheet="1" objects="1" scenarios="1" selectLockedCells="1"/>
  <mergeCells count="2">
    <mergeCell ref="A3:J3"/>
    <mergeCell ref="J4:J8"/>
  </mergeCells>
  <conditionalFormatting sqref="B10:B13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814">
      <formula>IF(COUNTA($B$10:$B$13)&lt;&gt;COUNTIF($I$10:$I$13,1),1,0)</formula>
    </cfRule>
    <cfRule type="expression" dxfId="38" priority="381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125</v>
      </c>
      <c r="B10" s="33">
        <v>2070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vow1336XC8DmmCxw/CaKzTEr2iRkE55YWz8WCFr1Kh2xQBUA2RKaBairH8qpKef1nd8oVMvcacuRkaTrMrzZg==" saltValue="+DFzr6u61IgzCMwm9H0vH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baseColWidth="10" defaultColWidth="0" defaultRowHeight="14.75" customHeight="1" zeroHeight="1" x14ac:dyDescent="0.2"/>
  <cols>
    <col min="1" max="2" width="8.6640625" style="48" customWidth="1"/>
    <col min="3" max="3" width="13.1640625" style="48" customWidth="1"/>
    <col min="4" max="4" width="13.5" style="48" customWidth="1"/>
    <col min="5" max="7" width="8.6640625" style="48" customWidth="1"/>
    <col min="8" max="8" width="14.66406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6640625" style="48" customWidth="1"/>
    <col min="13" max="18" width="8.6640625" style="48" customWidth="1"/>
    <col min="19" max="48" width="0" style="48" hidden="1" customWidth="1"/>
    <col min="49" max="16384" width="8.6640625" style="48" hidden="1"/>
  </cols>
  <sheetData>
    <row r="1" spans="1:18" ht="14.75" customHeight="1" x14ac:dyDescent="0.2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 x14ac:dyDescent="0.2">
      <c r="A2" s="65" t="s">
        <v>101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E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83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243</v>
      </c>
      <c r="N1" t="s">
        <v>71</v>
      </c>
      <c r="O1" t="s">
        <v>208</v>
      </c>
      <c r="P1" t="s">
        <v>242</v>
      </c>
      <c r="Q1" t="s">
        <v>72</v>
      </c>
      <c r="R1" t="s">
        <v>207</v>
      </c>
      <c r="S1" t="s">
        <v>241</v>
      </c>
      <c r="T1" t="s">
        <v>160</v>
      </c>
      <c r="U1" t="s">
        <v>206</v>
      </c>
      <c r="V1" t="s">
        <v>240</v>
      </c>
      <c r="W1" t="s">
        <v>161</v>
      </c>
      <c r="X1" t="s">
        <v>205</v>
      </c>
      <c r="Y1" t="s">
        <v>239</v>
      </c>
      <c r="Z1" t="s">
        <v>162</v>
      </c>
      <c r="AA1" t="s">
        <v>204</v>
      </c>
      <c r="AB1" t="s">
        <v>238</v>
      </c>
      <c r="AC1" t="s">
        <v>163</v>
      </c>
      <c r="AD1" t="s">
        <v>203</v>
      </c>
      <c r="AE1" t="s">
        <v>237</v>
      </c>
      <c r="AF1" t="s">
        <v>164</v>
      </c>
      <c r="AG1" t="s">
        <v>202</v>
      </c>
      <c r="AH1" t="s">
        <v>236</v>
      </c>
      <c r="AI1" t="s">
        <v>165</v>
      </c>
      <c r="AJ1" t="s">
        <v>166</v>
      </c>
      <c r="AK1" t="s">
        <v>235</v>
      </c>
      <c r="AL1" t="s">
        <v>167</v>
      </c>
      <c r="AM1" t="s">
        <v>168</v>
      </c>
      <c r="AN1" t="s">
        <v>234</v>
      </c>
      <c r="AO1" t="s">
        <v>169</v>
      </c>
      <c r="AP1" t="s">
        <v>170</v>
      </c>
      <c r="AQ1" t="s">
        <v>233</v>
      </c>
      <c r="AR1" t="s">
        <v>184</v>
      </c>
      <c r="AS1" t="s">
        <v>186</v>
      </c>
      <c r="AT1" t="s">
        <v>232</v>
      </c>
      <c r="AU1" t="s">
        <v>187</v>
      </c>
      <c r="AV1" t="s">
        <v>189</v>
      </c>
      <c r="AW1" t="s">
        <v>231</v>
      </c>
      <c r="AX1" t="s">
        <v>190</v>
      </c>
      <c r="AY1" t="s">
        <v>192</v>
      </c>
      <c r="AZ1" t="s">
        <v>230</v>
      </c>
      <c r="BA1" t="s">
        <v>193</v>
      </c>
      <c r="BB1" t="s">
        <v>195</v>
      </c>
      <c r="BC1" t="s">
        <v>229</v>
      </c>
      <c r="BD1" t="s">
        <v>196</v>
      </c>
      <c r="BE1" t="s">
        <v>198</v>
      </c>
      <c r="BF1" t="s">
        <v>228</v>
      </c>
      <c r="BG1" t="s">
        <v>199</v>
      </c>
      <c r="BH1" t="s">
        <v>201</v>
      </c>
      <c r="BI1" t="s">
        <v>227</v>
      </c>
      <c r="BJ1" t="s">
        <v>220</v>
      </c>
      <c r="BK1" t="s">
        <v>221</v>
      </c>
      <c r="BL1" t="s">
        <v>226</v>
      </c>
      <c r="BM1" t="s">
        <v>213</v>
      </c>
      <c r="BN1" t="s">
        <v>219</v>
      </c>
      <c r="BO1" t="s">
        <v>225</v>
      </c>
      <c r="BP1" t="s">
        <v>212</v>
      </c>
      <c r="BQ1" t="s">
        <v>218</v>
      </c>
      <c r="BR1" t="s">
        <v>224</v>
      </c>
      <c r="BS1" t="s">
        <v>214</v>
      </c>
      <c r="BT1" t="s">
        <v>217</v>
      </c>
      <c r="BU1" t="s">
        <v>223</v>
      </c>
      <c r="BV1" t="s">
        <v>215</v>
      </c>
      <c r="BW1" t="s">
        <v>216</v>
      </c>
      <c r="BX1" t="s">
        <v>222</v>
      </c>
      <c r="BY1" t="s">
        <v>86</v>
      </c>
      <c r="BZ1" t="s">
        <v>82</v>
      </c>
      <c r="CA1" t="s">
        <v>83</v>
      </c>
      <c r="CB1" t="s">
        <v>244</v>
      </c>
      <c r="CC1" t="s">
        <v>86</v>
      </c>
      <c r="CD1" t="s">
        <v>125</v>
      </c>
      <c r="CE1" t="s">
        <v>86</v>
      </c>
    </row>
    <row r="2" spans="1:83" x14ac:dyDescent="0.2">
      <c r="A2">
        <v>0.36</v>
      </c>
      <c r="C2">
        <v>2</v>
      </c>
      <c r="D2">
        <v>0.81100000000000005</v>
      </c>
      <c r="E2">
        <v>0.18899999999999995</v>
      </c>
      <c r="G2">
        <v>1.1299999999999999E-3</v>
      </c>
      <c r="H2">
        <v>5.5399999999999998E-5</v>
      </c>
      <c r="J2">
        <v>280</v>
      </c>
      <c r="BJ2">
        <v>9.9999999999999995E-7</v>
      </c>
      <c r="BK2">
        <v>9.9999999999999995E-7</v>
      </c>
      <c r="BL2">
        <v>197</v>
      </c>
      <c r="BM2">
        <v>0.01</v>
      </c>
      <c r="BN2">
        <v>0.01</v>
      </c>
      <c r="BO2">
        <v>2.37</v>
      </c>
      <c r="BP2">
        <v>9.9999999999999995E-7</v>
      </c>
      <c r="BQ2">
        <v>9.9999999999999995E-7</v>
      </c>
      <c r="BR2">
        <v>22500</v>
      </c>
      <c r="BS2">
        <v>0</v>
      </c>
      <c r="BT2">
        <v>0</v>
      </c>
      <c r="BU2">
        <v>0.42199999999999999</v>
      </c>
      <c r="BV2">
        <v>0.01</v>
      </c>
      <c r="BW2">
        <v>0.01</v>
      </c>
      <c r="BX2">
        <v>0.94899999999999995</v>
      </c>
      <c r="BZ2">
        <v>1E-3</v>
      </c>
      <c r="CA2">
        <v>1E-3</v>
      </c>
      <c r="CB2">
        <v>3.3300000000000001E-3</v>
      </c>
      <c r="CD2">
        <v>2070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E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83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243</v>
      </c>
      <c r="N1" t="s">
        <v>71</v>
      </c>
      <c r="O1" t="s">
        <v>208</v>
      </c>
      <c r="P1" t="s">
        <v>242</v>
      </c>
      <c r="Q1" t="s">
        <v>72</v>
      </c>
      <c r="R1" t="s">
        <v>207</v>
      </c>
      <c r="S1" t="s">
        <v>241</v>
      </c>
      <c r="T1" t="s">
        <v>160</v>
      </c>
      <c r="U1" t="s">
        <v>206</v>
      </c>
      <c r="V1" t="s">
        <v>240</v>
      </c>
      <c r="W1" t="s">
        <v>161</v>
      </c>
      <c r="X1" t="s">
        <v>205</v>
      </c>
      <c r="Y1" t="s">
        <v>239</v>
      </c>
      <c r="Z1" t="s">
        <v>162</v>
      </c>
      <c r="AA1" t="s">
        <v>204</v>
      </c>
      <c r="AB1" t="s">
        <v>238</v>
      </c>
      <c r="AC1" t="s">
        <v>163</v>
      </c>
      <c r="AD1" t="s">
        <v>203</v>
      </c>
      <c r="AE1" t="s">
        <v>237</v>
      </c>
      <c r="AF1" t="s">
        <v>164</v>
      </c>
      <c r="AG1" t="s">
        <v>202</v>
      </c>
      <c r="AH1" t="s">
        <v>236</v>
      </c>
      <c r="AI1" t="s">
        <v>165</v>
      </c>
      <c r="AJ1" t="s">
        <v>166</v>
      </c>
      <c r="AK1" t="s">
        <v>235</v>
      </c>
      <c r="AL1" t="s">
        <v>167</v>
      </c>
      <c r="AM1" t="s">
        <v>168</v>
      </c>
      <c r="AN1" t="s">
        <v>234</v>
      </c>
      <c r="AO1" t="s">
        <v>169</v>
      </c>
      <c r="AP1" t="s">
        <v>170</v>
      </c>
      <c r="AQ1" t="s">
        <v>233</v>
      </c>
      <c r="AR1" t="s">
        <v>184</v>
      </c>
      <c r="AS1" t="s">
        <v>186</v>
      </c>
      <c r="AT1" t="s">
        <v>232</v>
      </c>
      <c r="AU1" t="s">
        <v>187</v>
      </c>
      <c r="AV1" t="s">
        <v>189</v>
      </c>
      <c r="AW1" t="s">
        <v>231</v>
      </c>
      <c r="AX1" t="s">
        <v>190</v>
      </c>
      <c r="AY1" t="s">
        <v>192</v>
      </c>
      <c r="AZ1" t="s">
        <v>230</v>
      </c>
      <c r="BA1" t="s">
        <v>193</v>
      </c>
      <c r="BB1" t="s">
        <v>195</v>
      </c>
      <c r="BC1" t="s">
        <v>229</v>
      </c>
      <c r="BD1" t="s">
        <v>196</v>
      </c>
      <c r="BE1" t="s">
        <v>198</v>
      </c>
      <c r="BF1" t="s">
        <v>228</v>
      </c>
      <c r="BG1" t="s">
        <v>199</v>
      </c>
      <c r="BH1" t="s">
        <v>201</v>
      </c>
      <c r="BI1" t="s">
        <v>227</v>
      </c>
      <c r="BJ1" t="s">
        <v>220</v>
      </c>
      <c r="BK1" t="s">
        <v>221</v>
      </c>
      <c r="BL1" t="s">
        <v>226</v>
      </c>
      <c r="BM1" t="s">
        <v>213</v>
      </c>
      <c r="BN1" t="s">
        <v>219</v>
      </c>
      <c r="BO1" t="s">
        <v>225</v>
      </c>
      <c r="BP1" t="s">
        <v>212</v>
      </c>
      <c r="BQ1" t="s">
        <v>218</v>
      </c>
      <c r="BR1" t="s">
        <v>224</v>
      </c>
      <c r="BS1" t="s">
        <v>214</v>
      </c>
      <c r="BT1" t="s">
        <v>217</v>
      </c>
      <c r="BU1" t="s">
        <v>223</v>
      </c>
      <c r="BV1" t="s">
        <v>215</v>
      </c>
      <c r="BW1" t="s">
        <v>216</v>
      </c>
      <c r="BX1" t="s">
        <v>222</v>
      </c>
      <c r="BY1" t="s">
        <v>86</v>
      </c>
      <c r="BZ1" t="s">
        <v>82</v>
      </c>
      <c r="CA1" t="s">
        <v>83</v>
      </c>
      <c r="CB1" t="s">
        <v>244</v>
      </c>
      <c r="CC1" t="s">
        <v>86</v>
      </c>
      <c r="CD1" t="s">
        <v>125</v>
      </c>
      <c r="CE1" t="s">
        <v>86</v>
      </c>
    </row>
    <row r="2" spans="1:83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0</v>
      </c>
      <c r="BZ2">
        <v>1</v>
      </c>
      <c r="CA2">
        <v>1</v>
      </c>
      <c r="CB2">
        <v>1</v>
      </c>
      <c r="CC2">
        <v>0</v>
      </c>
      <c r="CD2">
        <v>1</v>
      </c>
      <c r="C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2025-01-22T18:19:09Z</dcterms:modified>
</cp:coreProperties>
</file>