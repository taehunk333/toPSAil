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2purge\1_simulation_inputs\"/>
    </mc:Choice>
  </mc:AlternateContent>
  <xr:revisionPtr revIDLastSave="0" documentId="13_ncr:1_{0981C1A0-DCE9-47D6-ADE4-230994AD9E07}" xr6:coauthVersionLast="47" xr6:coauthVersionMax="47" xr10:uidLastSave="{00000000-0000-0000-0000-000000000000}"/>
  <bookViews>
    <workbookView xWindow="3120" yWindow="3120" windowWidth="21600" windowHeight="11385" tabRatio="818" activeTab="1" xr2:uid="{CB583278-6AF7-49E7-A969-6064EAB4A9B4}"/>
  </bookViews>
  <sheets>
    <sheet name="Revision History" sheetId="4" r:id="rId1"/>
    <sheet name="Stream Properties" sheetId="39" r:id="rId2"/>
    <sheet name="Reference" sheetId="2" state="hidden" r:id="rId3"/>
    <sheet name="maintenance check list" sheetId="28" state="hidden" r:id="rId4"/>
    <sheet name="Data(Transposed)" sheetId="3" r:id="rId5"/>
    <sheet name="Data(Test)" sheetId="9" r:id="rId6"/>
  </sheets>
  <functionGroups builtInGroupCount="19"/>
  <externalReferences>
    <externalReference r:id="rId7"/>
    <externalReference r:id="rId8"/>
  </externalReferences>
  <definedNames>
    <definedName name="_xlnm._FilterDatabase" localSheetId="1" hidden="1">'Stream Properties'!$A$9:$J$10</definedName>
    <definedName name="_xlnm.Print_Area" localSheetId="0">'Revision History'!$C$3:$K$51</definedName>
    <definedName name="_xlnm.Print_Area" localSheetId="1">'Stream Properties'!$A$2:$J$19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I16" i="39"/>
  <c r="H16" i="39"/>
  <c r="I15" i="39"/>
  <c r="H15" i="39"/>
  <c r="I14" i="39"/>
  <c r="H14" i="39"/>
  <c r="H11" i="39" l="1"/>
  <c r="J4" i="39" l="1"/>
  <c r="J2" i="39"/>
  <c r="A2" i="39"/>
</calcChain>
</file>

<file path=xl/sharedStrings.xml><?xml version="1.0" encoding="utf-8"?>
<sst xmlns="http://schemas.openxmlformats.org/spreadsheetml/2006/main" count="204" uniqueCount="123">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</sst>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5118"/>
          <a:ext cx="5967830" cy="559218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1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1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1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dev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Documents\MATLAB\toPSAil\4_example\tank_test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22">
          <cell r="B22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9" totalsRowShown="0" headerRowDxfId="14" dataDxfId="12" headerRowBorderDxfId="13" tableBorderDxfId="11" totalsRowBorderDxfId="10">
  <autoFilter ref="A9:J19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2" t="s">
        <v>37</v>
      </c>
      <c r="E5" s="52"/>
      <c r="F5" s="52"/>
      <c r="G5" s="52"/>
      <c r="H5" s="52"/>
      <c r="I5" s="52"/>
      <c r="J5" s="52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9"/>
  <sheetViews>
    <sheetView showGridLines="0" tabSelected="1" topLeftCell="A2" zoomScale="85" zoomScaleNormal="85" zoomScaleSheetLayoutView="85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6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3" t="s">
        <v>30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IF(COUNTIF(Table11082[Test 3],1)=COUNTA(Table11082[Value]),"Ready","Not Ready")</f>
        <v>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5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5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5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>
        <v>298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>
        <v>0.7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5">
      <c r="A12" s="4" t="s">
        <v>68</v>
      </c>
      <c r="B12" s="29">
        <v>0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5">
      <c r="A13" s="4" t="s">
        <v>119</v>
      </c>
      <c r="B13" s="29">
        <v>0.3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45">
      <c r="A14" s="44" t="s">
        <v>120</v>
      </c>
      <c r="B14" s="29">
        <v>0.5</v>
      </c>
      <c r="C14" s="2" t="s">
        <v>3</v>
      </c>
      <c r="D14" s="1" t="s">
        <v>23</v>
      </c>
      <c r="E14" s="1" t="s">
        <v>7</v>
      </c>
      <c r="F14" s="2" t="s">
        <v>40</v>
      </c>
      <c r="G14" s="1">
        <v>1</v>
      </c>
      <c r="H14" s="50">
        <f>[1]Initialization!$B$10</f>
        <v>3</v>
      </c>
      <c r="I14" s="6">
        <f>[2]Initialization!$B$22</f>
        <v>1</v>
      </c>
      <c r="J14" s="5" t="s">
        <v>115</v>
      </c>
    </row>
    <row r="15" spans="1:10" ht="45">
      <c r="A15" s="44" t="s">
        <v>121</v>
      </c>
      <c r="B15" s="29">
        <v>0.2</v>
      </c>
      <c r="C15" s="2" t="s">
        <v>3</v>
      </c>
      <c r="D15" s="1" t="s">
        <v>23</v>
      </c>
      <c r="E15" s="1" t="s">
        <v>7</v>
      </c>
      <c r="F15" s="2" t="s">
        <v>40</v>
      </c>
      <c r="G15" s="1"/>
      <c r="H15" s="50">
        <f>[1]Initialization!$B$10</f>
        <v>3</v>
      </c>
      <c r="I15" s="6">
        <f>[2]Initialization!$B$22</f>
        <v>1</v>
      </c>
      <c r="J15" s="5" t="s">
        <v>115</v>
      </c>
    </row>
    <row r="16" spans="1:10" ht="45">
      <c r="A16" s="44" t="s">
        <v>122</v>
      </c>
      <c r="B16" s="29">
        <v>0.3</v>
      </c>
      <c r="C16" s="2" t="s">
        <v>3</v>
      </c>
      <c r="D16" s="1" t="s">
        <v>23</v>
      </c>
      <c r="E16" s="1" t="s">
        <v>7</v>
      </c>
      <c r="F16" s="2" t="s">
        <v>40</v>
      </c>
      <c r="G16" s="1"/>
      <c r="H16" s="50">
        <f>[1]Initialization!$B$10</f>
        <v>3</v>
      </c>
      <c r="I16" s="6">
        <f>[2]Initialization!$B$22</f>
        <v>1</v>
      </c>
      <c r="J16" s="5" t="s">
        <v>115</v>
      </c>
    </row>
    <row r="17" spans="1:10" ht="15">
      <c r="A17" s="44" t="s">
        <v>107</v>
      </c>
      <c r="B17" s="29">
        <v>1.225E-3</v>
      </c>
      <c r="C17" s="31" t="s">
        <v>108</v>
      </c>
      <c r="D17" s="1" t="s">
        <v>27</v>
      </c>
      <c r="E17" s="1" t="s">
        <v>7</v>
      </c>
      <c r="F17" s="2" t="s">
        <v>48</v>
      </c>
      <c r="G17" s="1">
        <v>1</v>
      </c>
      <c r="H17" s="1">
        <v>1</v>
      </c>
      <c r="I17" s="6">
        <v>1</v>
      </c>
      <c r="J17" s="5" t="s">
        <v>109</v>
      </c>
    </row>
    <row r="18" spans="1:10" ht="15">
      <c r="A18" s="44" t="s">
        <v>110</v>
      </c>
      <c r="B18" s="51">
        <v>1.8099999999999999E-5</v>
      </c>
      <c r="C18" s="31" t="s">
        <v>111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112</v>
      </c>
    </row>
    <row r="19" spans="1:10" ht="15">
      <c r="A19" s="8" t="s">
        <v>78</v>
      </c>
      <c r="B19" s="30"/>
      <c r="C19" s="9"/>
      <c r="D19" s="10"/>
      <c r="E19" s="10"/>
      <c r="F19" s="9"/>
      <c r="G19" s="10">
        <v>1</v>
      </c>
      <c r="H19" s="10">
        <v>1</v>
      </c>
      <c r="I19" s="11">
        <v>0</v>
      </c>
      <c r="J19" s="12" t="s">
        <v>79</v>
      </c>
    </row>
  </sheetData>
  <sheetProtection algorithmName="SHA-512" hashValue="4lokrguCrRvsyw2JHVWATMnTffnHFMWWOFjOQGai355vVOp/YniIQflDl0YFAEfGLVP5tOv4Ypj7R9OlICmhTg==" saltValue="ate8aF9Qd0blg1OzBpfNew==" spinCount="100000" sheet="1" objects="1" scenarios="1" selectLockedCells="1"/>
  <mergeCells count="2">
    <mergeCell ref="A3:J3"/>
    <mergeCell ref="J4:J8"/>
  </mergeCells>
  <conditionalFormatting sqref="B10:B19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226">
      <formula>IF(COUNTA($B$10:$B$19)&lt;&gt;COUNTIF($I$10:$I$19,1),1,0)</formula>
    </cfRule>
    <cfRule type="expression" dxfId="15" priority="227">
      <formula>IF(COUNTA($B$10:$B$19)=COUNTIF($I$10:$I$19,1),1,0)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180975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E10:E19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D10:D19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J2"/>
  <sheetViews>
    <sheetView workbookViewId="0">
      <selection activeCell="CM2" sqref="CM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298</v>
      </c>
      <c r="B2">
        <v>0.7</v>
      </c>
      <c r="C2">
        <v>0</v>
      </c>
      <c r="D2">
        <v>0.3</v>
      </c>
      <c r="E2">
        <v>0.5</v>
      </c>
      <c r="F2">
        <v>0.2</v>
      </c>
      <c r="G2">
        <v>0.3</v>
      </c>
      <c r="H2">
        <v>1.225E-3</v>
      </c>
      <c r="I2">
        <v>1.8099999999999999E-5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J2"/>
  <sheetViews>
    <sheetView workbookViewId="0">
      <selection activeCell="CR2" sqref="CR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2024-11-11T14:28:23Z</dcterms:modified>
</cp:coreProperties>
</file>