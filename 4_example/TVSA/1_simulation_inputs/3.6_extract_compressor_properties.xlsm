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2D6B2E9A-1A31-A8AD-A733-73C221103EEE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kalman/Documents/github/toPSAil/4_example/TVSA/1_simulation_inputs/"/>
    </mc:Choice>
  </mc:AlternateContent>
  <xr:revisionPtr revIDLastSave="0" documentId="13_ncr:1_{9BF7E4AE-C5E3-2C4C-95C0-9FA3F8DBBD12}" xr6:coauthVersionLast="47" xr6:coauthVersionMax="47" xr10:uidLastSave="{00000000-0000-0000-0000-000000000000}"/>
  <bookViews>
    <workbookView xWindow="0" yWindow="880" windowWidth="36000" windowHeight="21440" tabRatio="818" activeTab="2" xr2:uid="{CB583278-6AF7-49E7-A969-6064EAB4A9B4}"/>
  </bookViews>
  <sheets>
    <sheet name="Revision History" sheetId="4" r:id="rId1"/>
    <sheet name="Reference" sheetId="2" state="hidden" r:id="rId2"/>
    <sheet name="Thermodynamic Properties" sheetId="40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definedNames>
    <definedName name="_xlnm._FilterDatabase" localSheetId="2" hidden="1">'Thermodynamic Properties'!$A$9:$J$9</definedName>
    <definedName name="_xlnm.Print_Area" localSheetId="0">'Revision History'!$C$3:$K$51</definedName>
    <definedName name="_xlnm.Print_Area" localSheetId="2">'Thermodynamic Properties'!$A$2:$J$11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" i="40" l="1"/>
  <c r="J4" i="40" l="1"/>
  <c r="J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tc={3D841CC4-BAC8-49CA-94C8-1681D2A28E77}</author>
    <author>tc={190EFEDD-2DC1-491C-8B1C-21EA83B058D9}</author>
    <author>tc={A7E182D6-6839-45FA-A539-AED1E191837C}</author>
  </authors>
  <commentList>
    <comment ref="G9" authorId="0" shapeId="0" xr:uid="{3D841CC4-BAC8-49CA-94C8-1681D2A28E7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90EFEDD-2DC1-491C-8B1C-21EA83B058D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7E182D6-6839-45FA-A539-AED1E191837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<sst xmlns="http://schemas.openxmlformats.org/spreadsheetml/2006/main" count="140" uniqueCount="109">
  <si>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</si>
  <si>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</si>
  <si>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</si>
  <si>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</si>
  <si>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</si>
  <si>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</si>
  <si>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</si>
  <si>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</si>
  <si>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</si>
  <si>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</si>
  <si>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</si>
  <si>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</si>
  <si>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</si>
  <si>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</si>
  <si>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</si>
  <si>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</si>
  <si>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</si>
  <si>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</si>
  <si>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</si>
  <si>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</si>
  <si>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</si>
  <si>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</si>
  <si>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</si>
  <si>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</si>
  <si>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</si>
  <si>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</si>
  <si>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</si>
  <si>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</si>
  <si>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</si>
  <si>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</si>
  <si>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</si>
  <si>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</si>
  <si>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</si>
  <si>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</si>
  <si>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</si>
  <si>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</si>
  <si>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</si>
  <si>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</si>
  <si>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</si>
  <si>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</si>
  <si>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</si>
  <si>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</si>
  <si>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</si>
  <si>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</si>
  <si>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</si>
  <si>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</si>
  <si>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</si>
  <si>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</si>
  <si>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</si>
  <si>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</si>
  <si>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</si>
  <si>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</si>
  <si>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</si>
  <si>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</si>
  <si>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</si>
  <si>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</si>
  <si>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</si>
  <si>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</si>
  <si>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</si>
  <si>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</si>
  <si>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</si>
  <si>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</si>
  <si>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</si>
  <si>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</si>
  <si>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</si>
  <si>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</si>
  <si>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</si>
  <si>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</si>
  <si>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</si>
  <si>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</si>
  <si>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</si>
  <si>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</si>
  <si>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</si>
  <si>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</si>
  <si>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</si>
  <si>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</si>
  <si>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</si>
  <si>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</si>
  <si>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</si>
  <si>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</si>
  <si>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</si>
  <si>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</si>
  <si>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</si>
  <si>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</si>
  <si>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</si>
  <si>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</si>
  <si>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</si>
  <si>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</si>
  <si>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</si>
  <si>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</si>
  <si>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</si>
  <si>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</si>
  <si>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isentropic efficiency factor for compressor or vacuum pump: from 0 to 1.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</si>
  <si>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</si>
  <si>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</si>
  <si>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</si>
  <si>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</si>
  <si>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</si>
  <si>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</si>
  <si>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</si>
  <si>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</si>
  <si>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</si>
  <si>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</si>
  <si>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</si>
  <si>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</si>
  <si>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isEntEffExComp</t>
  </si>
  <si>
    <t>Finalized the spreadsheet for the v1.0 release</t>
  </si>
  <si>
    <t>REV. NO.2 (9/14/2022)</t>
  </si>
  <si>
    <t>Initial development of the "3.6_extract_compressor_properties.xlsm" sheet.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</si>
</sst>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1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1" fillId="5" borderId="8" xfId="0" applyFont="1" applyFill="1" applyBorder="1" applyAlignment="1" applyProtection="1">
      <alignment horizontal="right" vertical="center"/>
      <protection locked="0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5C4B734-464E-4719-BCC6-665B22C0DB4A}" name="Table110423" displayName="Table110423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A0950A90-6EBF-4AAE-82DC-77D2C5597D01}" name="Variable" dataDxfId="9"/>
    <tableColumn id="4" xr3:uid="{2355D9FB-E58B-4C44-B7EA-B0DCB5885EA2}" name="Value" dataDxfId="8"/>
    <tableColumn id="5" xr3:uid="{210665E1-9807-44CE-A675-AA4CAA5BEC8B}" name="Unit" dataDxfId="7"/>
    <tableColumn id="6" xr3:uid="{FA8E07BD-E881-43A5-9BC8-FE8750ECD0C0}" name="Comparisons" dataDxfId="6"/>
    <tableColumn id="7" xr3:uid="{7BFE2033-DFAC-4E9E-8732-5A93D1B6237F}" name="Variable Type" dataDxfId="5"/>
    <tableColumn id="8" xr3:uid="{B8E78B10-6057-43CA-A14C-4152818A790C}" name="Dependency" dataDxfId="4"/>
    <tableColumn id="12" xr3:uid="{76DFDF29-EA8F-4E63-A1CA-087129889F4A}" name="Test 1" dataDxfId="3"/>
    <tableColumn id="10" xr3:uid="{47E57267-D8DE-4407-ADE6-CE085EED1577}" name="Test 2" dataDxfId="2"/>
    <tableColumn id="2" xr3:uid="{DEFE9C7D-4523-4B50-9FD3-17852989B233}" name="Test 3" dataDxfId="1"/>
    <tableColumn id="9" xr3:uid="{ACA3664C-CE49-4158-9F29-7E5A3DB9D28A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3D841CC4-BAC8-49CA-94C8-1681D2A28E77}">
    <text>place 1 if we want to keep the row when re-initializing. Otherwise, leave it as a blank.</text>
  </threadedComment>
  <threadedComment ref="H9" dT="2020-11-26T18:35:03.27" personId="{7F98AE94-13FB-49E1-9262-339C11E0EDB4}" id="{190EFEDD-2DC1-491C-8B1C-21EA83B058D9}">
    <text>supply a value greater than 1 if you want to duplicate the row</text>
  </threadedComment>
  <threadedComment ref="I9" dT="2020-11-28T01:53:47.29" personId="{7F98AE94-13FB-49E1-9262-339C11E0EDB4}" id="{A7E182D6-6839-45FA-A539-AED1E191837C}">
    <text>1 means we need to have the variable specified; 0 means we need not have the variable specified</text>
  </threadedComment>
  <threadedComment ref="I9" dT="2020-11-28T01:56:42.32" personId="{7F98AE94-13FB-49E1-9262-339C11E0EDB4}" id="{2B103E12-C5D2-4459-B03E-C0D574ADA074}" parentId="{A7E182D6-6839-45FA-A539-AED1E191837C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8" sqref="E8"/>
    </sheetView>
  </sheetViews>
  <sheetFormatPr baseColWidth="10" defaultColWidth="0" defaultRowHeight="15" zeroHeight="1" x14ac:dyDescent="0.2"/>
  <cols>
    <col min="1" max="2" width="3.33203125" style="31" hidden="1" customWidth="1"/>
    <col min="3" max="3" width="2.5" style="31" customWidth="1"/>
    <col min="4" max="4" width="13.83203125" style="31" customWidth="1"/>
    <col min="5" max="5" width="51.33203125" style="32" bestFit="1" customWidth="1"/>
    <col min="6" max="6" width="15.83203125" style="33" bestFit="1" customWidth="1"/>
    <col min="7" max="9" width="13.33203125" style="31" customWidth="1"/>
    <col min="10" max="10" width="48.83203125" style="31" customWidth="1"/>
    <col min="11" max="11" width="2.5" style="31" customWidth="1"/>
    <col min="12" max="12" width="0" style="31" hidden="1" customWidth="1"/>
    <col min="13" max="16384" width="9" style="31" hidden="1"/>
  </cols>
  <sheetData>
    <row r="3" spans="4:10" x14ac:dyDescent="0.2"/>
    <row r="4" spans="4:10" ht="19" x14ac:dyDescent="0.25">
      <c r="D4" s="45" t="s">
        <v>107</v>
      </c>
      <c r="E4" s="46"/>
      <c r="F4" s="47"/>
      <c r="G4" s="48"/>
      <c r="H4" s="48"/>
      <c r="I4" s="48"/>
      <c r="J4" s="34" t="s">
        <v>82</v>
      </c>
    </row>
    <row r="5" spans="4:10" ht="40" x14ac:dyDescent="0.2">
      <c r="D5" s="49" t="s">
        <v>36</v>
      </c>
      <c r="E5" s="49"/>
      <c r="F5" s="49"/>
      <c r="G5" s="49"/>
      <c r="H5" s="49"/>
      <c r="I5" s="49"/>
      <c r="J5" s="49"/>
    </row>
    <row r="6" spans="4:10" ht="20" x14ac:dyDescent="0.2">
      <c r="D6" s="44" t="s">
        <v>30</v>
      </c>
      <c r="E6" s="44" t="s">
        <v>104</v>
      </c>
      <c r="F6" s="44" t="s">
        <v>31</v>
      </c>
      <c r="G6" s="44" t="s">
        <v>32</v>
      </c>
      <c r="H6" s="44" t="s">
        <v>33</v>
      </c>
      <c r="I6" s="44" t="s">
        <v>34</v>
      </c>
      <c r="J6" s="44" t="s">
        <v>35</v>
      </c>
    </row>
    <row r="7" spans="4:10" ht="60" x14ac:dyDescent="0.2">
      <c r="D7" s="35">
        <v>1</v>
      </c>
      <c r="E7" s="36" t="s">
        <v>108</v>
      </c>
      <c r="F7" s="37">
        <v>44720</v>
      </c>
      <c r="G7" s="35" t="s">
        <v>37</v>
      </c>
      <c r="H7" s="35"/>
      <c r="I7" s="35"/>
      <c r="J7" s="36"/>
    </row>
    <row r="8" spans="4:10" ht="40" x14ac:dyDescent="0.2">
      <c r="D8" s="35">
        <v>2</v>
      </c>
      <c r="E8" s="36" t="s">
        <v>106</v>
      </c>
      <c r="F8" s="37">
        <v>44818</v>
      </c>
      <c r="G8" s="35" t="s">
        <v>37</v>
      </c>
      <c r="H8" s="35"/>
      <c r="I8" s="35"/>
      <c r="J8" s="36"/>
    </row>
    <row r="9" spans="4:10" ht="19" x14ac:dyDescent="0.2">
      <c r="D9" s="35">
        <v>3</v>
      </c>
      <c r="E9" s="36"/>
      <c r="F9" s="37"/>
      <c r="G9" s="35"/>
      <c r="H9" s="35"/>
      <c r="I9" s="35"/>
      <c r="J9" s="36"/>
    </row>
    <row r="10" spans="4:10" ht="19" x14ac:dyDescent="0.2">
      <c r="D10" s="35">
        <v>4</v>
      </c>
      <c r="E10" s="36"/>
      <c r="F10" s="37"/>
      <c r="G10" s="35"/>
      <c r="H10" s="35"/>
      <c r="I10" s="35"/>
      <c r="J10" s="36"/>
    </row>
    <row r="11" spans="4:10" ht="19" x14ac:dyDescent="0.2">
      <c r="D11" s="35">
        <v>5</v>
      </c>
      <c r="E11" s="36"/>
      <c r="F11" s="37"/>
      <c r="G11" s="35"/>
      <c r="H11" s="35"/>
      <c r="I11" s="35"/>
      <c r="J11" s="36"/>
    </row>
    <row r="12" spans="4:10" ht="19" x14ac:dyDescent="0.2">
      <c r="D12" s="35">
        <v>6</v>
      </c>
      <c r="E12" s="36"/>
      <c r="F12" s="37"/>
      <c r="G12" s="35"/>
      <c r="H12" s="35"/>
      <c r="I12" s="35"/>
      <c r="J12" s="36"/>
    </row>
    <row r="13" spans="4:10" ht="19" x14ac:dyDescent="0.2">
      <c r="D13" s="35">
        <v>7</v>
      </c>
      <c r="E13" s="36"/>
      <c r="F13" s="37"/>
      <c r="G13" s="35"/>
      <c r="H13" s="35"/>
      <c r="I13" s="35"/>
      <c r="J13" s="36"/>
    </row>
    <row r="14" spans="4:10" ht="19" x14ac:dyDescent="0.2">
      <c r="D14" s="35">
        <v>8</v>
      </c>
      <c r="E14" s="36"/>
      <c r="F14" s="37"/>
      <c r="G14" s="35"/>
      <c r="H14" s="35"/>
      <c r="I14" s="35"/>
      <c r="J14" s="36"/>
    </row>
    <row r="15" spans="4:10" ht="19" x14ac:dyDescent="0.2">
      <c r="D15" s="35">
        <v>9</v>
      </c>
      <c r="E15" s="36"/>
      <c r="F15" s="37"/>
      <c r="G15" s="35"/>
      <c r="H15" s="35"/>
      <c r="I15" s="35"/>
      <c r="J15" s="36"/>
    </row>
    <row r="16" spans="4:10" ht="19" x14ac:dyDescent="0.2">
      <c r="D16" s="35">
        <v>10</v>
      </c>
      <c r="E16" s="36"/>
      <c r="F16" s="37"/>
      <c r="G16" s="35"/>
      <c r="H16" s="35"/>
      <c r="I16" s="35"/>
      <c r="J16" s="38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5CE34D0B-C8B4-4172-919A-FEA06778BACD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6" t="s">
        <v>72</v>
      </c>
      <c r="K1" s="6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95</v>
      </c>
      <c r="U1" t="s">
        <v>96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97</v>
      </c>
    </row>
    <row r="4" spans="1:21" x14ac:dyDescent="0.2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98</v>
      </c>
    </row>
    <row r="5" spans="1:21" x14ac:dyDescent="0.2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99</v>
      </c>
    </row>
    <row r="6" spans="1:21" x14ac:dyDescent="0.2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100</v>
      </c>
    </row>
    <row r="7" spans="1:21" x14ac:dyDescent="0.2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101</v>
      </c>
    </row>
    <row r="8" spans="1:21" x14ac:dyDescent="0.2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102</v>
      </c>
    </row>
    <row r="9" spans="1:21" x14ac:dyDescent="0.2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103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93</v>
      </c>
    </row>
    <row r="12" spans="1:21" x14ac:dyDescent="0.2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94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BC5286-3572-4323-B943-CFBFA947074D}">
  <sheetPr codeName="Sheet17">
    <tabColor rgb="FF00B050"/>
  </sheetPr>
  <dimension ref="A1:K11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A2" sqref="A2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3"/>
      <c r="B1" s="23"/>
      <c r="C1" s="23"/>
      <c r="D1" s="23"/>
      <c r="E1" s="23"/>
      <c r="F1" s="23"/>
      <c r="G1" s="23"/>
      <c r="H1" s="23"/>
      <c r="I1" s="23"/>
      <c r="J1" s="23"/>
    </row>
    <row r="2" spans="1:10" ht="15" x14ac:dyDescent="0.2">
      <c r="A2" s="39" t="str">
        <f>'Revision History'!$D$4</f>
        <v>REV. NO.2 (9/14/2022)</v>
      </c>
      <c r="B2" s="40"/>
      <c r="C2" s="40"/>
      <c r="D2" s="40"/>
      <c r="E2" s="40"/>
      <c r="F2" s="40"/>
      <c r="G2" s="40"/>
      <c r="H2" s="40"/>
      <c r="I2" s="40"/>
      <c r="J2" s="41" t="str">
        <f>'Revision History'!$J$4</f>
        <v>Scott Research Group (jkscottresearchgroup.com)</v>
      </c>
    </row>
    <row r="3" spans="1:10" ht="19" x14ac:dyDescent="0.2">
      <c r="A3" s="50" t="s">
        <v>29</v>
      </c>
      <c r="B3" s="50"/>
      <c r="C3" s="50"/>
      <c r="D3" s="50"/>
      <c r="E3" s="50"/>
      <c r="F3" s="50"/>
      <c r="G3" s="50"/>
      <c r="H3" s="50"/>
      <c r="I3" s="50"/>
      <c r="J3" s="50"/>
    </row>
    <row r="4" spans="1:10" ht="14.5" customHeight="1" x14ac:dyDescent="0.2">
      <c r="A4" s="12"/>
      <c r="B4" s="13"/>
      <c r="C4" s="14"/>
      <c r="D4" s="15"/>
      <c r="E4" s="15"/>
      <c r="F4" s="15"/>
      <c r="G4" s="15"/>
      <c r="H4" s="15"/>
      <c r="I4" s="15"/>
      <c r="J4" s="51" t="str">
        <f>IF(COUNTIF(Table110423[Test 3],1)=COUNTA(Table110423[Value]),"Ready","Not Ready")</f>
        <v>Ready</v>
      </c>
    </row>
    <row r="5" spans="1:10" ht="14.5" customHeight="1" x14ac:dyDescent="0.2">
      <c r="A5" s="16"/>
      <c r="B5" s="17"/>
      <c r="C5" s="43"/>
      <c r="D5" s="43"/>
      <c r="E5" s="43"/>
      <c r="F5" s="43"/>
      <c r="G5" s="18"/>
      <c r="H5" s="43"/>
      <c r="I5" s="43"/>
      <c r="J5" s="52"/>
    </row>
    <row r="6" spans="1:10" ht="14.5" customHeight="1" x14ac:dyDescent="0.2">
      <c r="A6" s="16"/>
      <c r="B6" s="17"/>
      <c r="C6" s="43"/>
      <c r="D6" s="43"/>
      <c r="E6" s="43"/>
      <c r="F6" s="43"/>
      <c r="G6" s="18"/>
      <c r="H6" s="43"/>
      <c r="I6" s="43"/>
      <c r="J6" s="52"/>
    </row>
    <row r="7" spans="1:10" ht="14.5" customHeight="1" x14ac:dyDescent="0.2">
      <c r="A7" s="16"/>
      <c r="B7" s="17"/>
      <c r="C7" s="43"/>
      <c r="D7" s="43"/>
      <c r="E7" s="43"/>
      <c r="F7" s="43"/>
      <c r="G7" s="18"/>
      <c r="H7" s="43"/>
      <c r="I7" s="43"/>
      <c r="J7" s="52"/>
    </row>
    <row r="8" spans="1:10" ht="14.5" customHeight="1" x14ac:dyDescent="0.2">
      <c r="A8" s="19"/>
      <c r="B8" s="20"/>
      <c r="C8" s="21"/>
      <c r="D8" s="21"/>
      <c r="E8" s="21"/>
      <c r="F8" s="21"/>
      <c r="G8" s="22"/>
      <c r="H8" s="21"/>
      <c r="I8" s="21"/>
      <c r="J8" s="53"/>
    </row>
    <row r="9" spans="1:10" ht="16" x14ac:dyDescent="0.2">
      <c r="A9" s="24" t="s">
        <v>0</v>
      </c>
      <c r="B9" s="25" t="s">
        <v>1</v>
      </c>
      <c r="C9" s="25" t="s">
        <v>2</v>
      </c>
      <c r="D9" s="25" t="s">
        <v>14</v>
      </c>
      <c r="E9" s="25" t="s">
        <v>62</v>
      </c>
      <c r="F9" s="26" t="s">
        <v>38</v>
      </c>
      <c r="G9" s="26" t="s">
        <v>63</v>
      </c>
      <c r="H9" s="25" t="s">
        <v>64</v>
      </c>
      <c r="I9" s="27" t="s">
        <v>71</v>
      </c>
      <c r="J9" s="27" t="s">
        <v>12</v>
      </c>
    </row>
    <row r="10" spans="1:10" ht="32" x14ac:dyDescent="0.2">
      <c r="A10" s="42" t="s">
        <v>105</v>
      </c>
      <c r="B10" s="28">
        <v>0.75</v>
      </c>
      <c r="C10" s="30" t="s">
        <v>3</v>
      </c>
      <c r="D10" s="1" t="s">
        <v>17</v>
      </c>
      <c r="E10" s="1" t="s">
        <v>7</v>
      </c>
      <c r="F10" s="2" t="s">
        <v>52</v>
      </c>
      <c r="G10" s="1">
        <v>1</v>
      </c>
      <c r="H10" s="1">
        <v>1</v>
      </c>
      <c r="I10" s="5">
        <v>1</v>
      </c>
      <c r="J10" s="4" t="s">
        <v>92</v>
      </c>
    </row>
    <row r="11" spans="1:10" ht="16" x14ac:dyDescent="0.2">
      <c r="A11" s="7" t="s">
        <v>75</v>
      </c>
      <c r="B11" s="29"/>
      <c r="C11" s="8"/>
      <c r="D11" s="9"/>
      <c r="E11" s="9"/>
      <c r="F11" s="8"/>
      <c r="G11" s="9">
        <v>1</v>
      </c>
      <c r="H11" s="9">
        <v>1</v>
      </c>
      <c r="I11" s="10">
        <v>0</v>
      </c>
      <c r="J11" s="11" t="s">
        <v>76</v>
      </c>
    </row>
  </sheetData>
  <sheetProtection algorithmName="SHA-512" hashValue="F/6j4HuWSzG1THW0QFeq9mcSQvJ7mwiKA83/bKfGImar0XiT1+46joY8T7ESsJqHjuv1KHsCnK7SCPHOmZqcoQ==" saltValue="MlKR00OaAlhGrV6iIjhH9Q==" spinCount="100000" sheet="1" objects="1" scenarios="1" selectLockedCells="1"/>
  <mergeCells count="2">
    <mergeCell ref="A3:J3"/>
    <mergeCell ref="J4:J8"/>
  </mergeCells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4">
      <formula>IF(COUNTA($B$10:$B$11)&lt;&gt;COUNTIF($I$10:$I$11,1),1,0)</formula>
    </cfRule>
    <cfRule type="expression" dxfId="15" priority="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901700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1003300</xdr:colOff>
                    <xdr:row>4</xdr:row>
                    <xdr:rowOff>76200</xdr:rowOff>
                  </from>
                  <to>
                    <xdr:col>3</xdr:col>
                    <xdr:colOff>50800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406400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DBF8BF5-D593-48F9-A511-018A202EF2AE}">
          <x14:formula1>
            <xm:f>Reference!$C$2:$C$23</xm:f>
          </x14:formula1>
          <xm:sqref>F10:F11</xm:sqref>
        </x14:dataValidation>
        <x14:dataValidation type="list" allowBlank="1" showInputMessage="1" showErrorMessage="1" xr:uid="{ECF85614-D984-43E5-8158-19AA885D15E4}">
          <x14:formula1>
            <xm:f>Reference!$B$2:$B$18</xm:f>
          </x14:formula1>
          <xm:sqref>D10:D11</xm:sqref>
        </x14:dataValidation>
        <x14:dataValidation type="list" allowBlank="1" showInputMessage="1" showErrorMessage="1" xr:uid="{3EAB7B57-B85D-478D-A4FF-28D83776CF5C}">
          <x14:formula1>
            <xm:f>Reference!$A$2:$A$8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85</v>
      </c>
    </row>
    <row r="2" spans="1:1" x14ac:dyDescent="0.2">
      <c r="A2" t="s">
        <v>83</v>
      </c>
    </row>
    <row r="3" spans="1:1" x14ac:dyDescent="0.2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B2"/>
  <sheetViews>
    <sheetView topLeftCell="CF1" workbookViewId="0">
      <selection activeCell="CM2" sqref="CM2"/>
    </sheetView>
  </sheetViews>
  <sheetFormatPr baseColWidth="10" defaultColWidth="8.83203125" defaultRowHeight="15" x14ac:dyDescent="0.2"/>
  <sheetData>
    <row r="1" spans="1:2" x14ac:dyDescent="0.2">
      <c r="A1" t="s">
        <v>105</v>
      </c>
      <c r="B1" t="s">
        <v>75</v>
      </c>
    </row>
    <row r="2" spans="1:2" x14ac:dyDescent="0.2">
      <c r="A2">
        <v>0.75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B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2" x14ac:dyDescent="0.2">
      <c r="A1" t="s">
        <v>105</v>
      </c>
      <c r="B1" t="s">
        <v>75</v>
      </c>
    </row>
    <row r="2" spans="1:2" x14ac:dyDescent="0.2">
      <c r="A2">
        <v>1</v>
      </c>
      <c r="B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Thermodynamic Properties</vt:lpstr>
      <vt:lpstr>maintenance check list</vt:lpstr>
      <vt:lpstr>Data(Transposed)</vt:lpstr>
      <vt:lpstr>Data(Test)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Kalman, Viktor</cp:lastModifiedBy>
  <cp:lastPrinted>2020-11-27T00:08:43Z</cp:lastPrinted>
  <dcterms:created xsi:type="dcterms:W3CDTF">2020-11-24T18:36:54Z</dcterms:created>
  <dcterms:modified xsi:type="dcterms:W3CDTF">2024-12-03T21:04:38Z</dcterms:modified>
</cp:coreProperties>
</file>