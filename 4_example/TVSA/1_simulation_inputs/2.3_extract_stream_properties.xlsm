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/1_simulation_inputs/"/>
    </mc:Choice>
  </mc:AlternateContent>
  <xr:revisionPtr revIDLastSave="0" documentId="13_ncr:1_{63897A3E-6488-EE40-8845-E6894D7D4B74}" xr6:coauthVersionLast="47" xr6:coauthVersionMax="47" xr10:uidLastSave="{00000000-0000-0000-0000-000000000000}"/>
  <bookViews>
    <workbookView xWindow="0" yWindow="880" windowWidth="29040" windowHeight="15840" tabRatio="818" activeTab="1" xr2:uid="{CB583278-6AF7-49E7-A969-6064EAB4A9B4}"/>
  </bookViews>
  <sheets>
    <sheet name="Revision History" sheetId="4" r:id="rId1"/>
    <sheet name="Stream Properties" sheetId="40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1" hidden="1">'Stream Properties'!$A$9:$J$9</definedName>
    <definedName name="_xlnm.Print_Area" localSheetId="0">'Revision History'!$C$3:$K$51</definedName>
    <definedName name="_xlnm.Print_Area" localSheetId="1">'Stream Properties'!$A$2:$J$14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3" i="40" l="1"/>
  <c r="H12" i="40"/>
  <c r="H11" i="40"/>
  <c r="J2" i="40" l="1"/>
  <c r="A2" i="40"/>
  <c r="H10" i="40" l="1"/>
  <c r="J4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tc={EC35CD65-F6A0-2843-AEA8-B28CEBAB5730}</author>
    <author>tc={4F66F176-4F1E-4244-B224-6522953A59A8}</author>
    <author>tc={D4085501-5E29-584B-B204-BA69BFB905B8}</author>
  </authors>
  <commentList>
    <comment ref="G9" authorId="0" shapeId="0" xr:uid="{EC35CD65-F6A0-2843-AEA8-B28CEBAB573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F66F176-4F1E-4244-B224-6522953A59A8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4085501-5E29-584B-B204-BA69BFB905B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<sst xmlns="http://schemas.openxmlformats.org/spreadsheetml/2006/main" count="164" uniqueCount="112">
  <si>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</si>
  <si>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</si>
  <si>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</si>
  <si>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</si>
  <si>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</si>
  <si>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</si>
  <si>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</si>
  <si>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</si>
  <si>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</si>
  <si>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</si>
  <si>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</si>
  <si>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</si>
  <si>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</si>
  <si>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</si>
  <si>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</si>
  <si>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</si>
  <si>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</si>
  <si>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</si>
  <si>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</si>
  <si>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</si>
  <si>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</si>
  <si>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</si>
  <si>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</si>
  <si>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</si>
  <si>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</si>
  <si>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</si>
  <si>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</si>
  <si>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</si>
  <si>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</si>
  <si>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</si>
  <si>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</si>
  <si>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</si>
  <si>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</si>
  <si>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</si>
  <si>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</si>
  <si>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</si>
  <si>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</si>
  <si>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</si>
  <si>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</si>
  <si>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</si>
  <si>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</si>
  <si>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</si>
  <si>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</si>
  <si>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</si>
  <si>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</si>
  <si>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</si>
  <si>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</si>
  <si>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</si>
  <si>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</si>
  <si>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</si>
  <si>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</si>
  <si>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</si>
  <si>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</si>
  <si>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</si>
  <si>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</si>
  <si>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</si>
  <si>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</si>
  <si>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</si>
  <si>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</si>
  <si>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</si>
  <si>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</si>
  <si>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</si>
  <si>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</si>
  <si>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</si>
  <si>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</si>
  <si>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</si>
  <si>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</si>
  <si>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</si>
  <si>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</si>
  <si>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</si>
  <si>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</si>
  <si>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</si>
  <si>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</si>
  <si>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</si>
  <si>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</si>
  <si>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</si>
  <si>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</si>
  <si>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</si>
  <si>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</si>
  <si>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</si>
  <si>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</si>
  <si>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</si>
  <si>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</si>
  <si>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</si>
  <si>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</si>
  <si>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</si>
  <si>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</si>
  <si>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</si>
  <si>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</si>
  <si>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</si>
  <si>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</si>
  <si>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</si>
  <si>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yExC1</t>
  </si>
  <si>
    <t>yExC2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</si>
  <si>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</si>
  <si>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</si>
  <si>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</si>
  <si>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</si>
  <si>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</si>
  <si>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</si>
  <si>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</si>
  <si>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</si>
  <si>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</si>
  <si>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</si>
  <si>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</si>
  <si>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</si>
  <si>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</si>
  <si>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"2.3_extract_stream_properties.xlsm" sheet.</t>
  </si>
  <si>
    <t>REV. NO.2 (9/14/2022)</t>
  </si>
  <si>
    <t>The initial extract product mole fraction of ith component at the raffinate product pressure; the first nLK components are the light key</t>
  </si>
  <si>
    <t>yExC3</t>
  </si>
  <si>
    <t>yExC4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</si>
</sst>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8001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3" name="Button 1" hidden="1">
                <a:extLst>
                  <a:ext uri="{63B3BB69-23CF-44E3-9099-C40C66FF867C}">
                    <a14:compatExt spid="_x0000_s84993"/>
                  </a:ext>
                  <a:ext uri="{FF2B5EF4-FFF2-40B4-BE49-F238E27FC236}">
                    <a16:creationId xmlns:a16="http://schemas.microsoft.com/office/drawing/2014/main" id="{00000000-0008-0000-0100-0000014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4" name="Button 2" hidden="1">
                <a:extLst>
                  <a:ext uri="{63B3BB69-23CF-44E3-9099-C40C66FF867C}">
                    <a14:compatExt spid="_x0000_s84994"/>
                  </a:ext>
                  <a:ext uri="{FF2B5EF4-FFF2-40B4-BE49-F238E27FC236}">
                    <a16:creationId xmlns:a16="http://schemas.microsoft.com/office/drawing/2014/main" id="{00000000-0008-0000-0100-0000024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5" name="Button 3" hidden="1">
                <a:extLst>
                  <a:ext uri="{63B3BB69-23CF-44E3-9099-C40C66FF867C}">
                    <a14:compatExt spid="_x0000_s84995"/>
                  </a:ext>
                  <a:ext uri="{FF2B5EF4-FFF2-40B4-BE49-F238E27FC236}">
                    <a16:creationId xmlns:a16="http://schemas.microsoft.com/office/drawing/2014/main" id="{00000000-0008-0000-0100-0000034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/TU%20Wien%20Arbeit/MATLAB/2024Aug/toPSAil/4_example/desorp_lowflow2/1_simulation_inputs/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4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B4F31D-53BA-6E49-9826-6749D7B9535C}" name="Table11082" displayName="Table1108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036EF48E-8B2B-0A41-B977-65B637A0CA82}" name="Variable" dataDxfId="9"/>
    <tableColumn id="4" xr3:uid="{D9E76E46-0F5F-4C44-8EFE-794152685663}" name="Value" dataDxfId="8"/>
    <tableColumn id="5" xr3:uid="{917AE284-601D-0E46-BFAF-24ACA9592E10}" name="Unit" dataDxfId="7"/>
    <tableColumn id="6" xr3:uid="{C47C9C25-53E6-8041-984E-7F35AED4CB77}" name="Comparisons" dataDxfId="6"/>
    <tableColumn id="7" xr3:uid="{C1B1908D-308A-0541-A4ED-67BB6C997952}" name="Variable Type" dataDxfId="5"/>
    <tableColumn id="8" xr3:uid="{268FCCAD-6B40-0B46-8E22-3BD9F833DCC0}" name="Dependency" dataDxfId="4"/>
    <tableColumn id="12" xr3:uid="{C4DB334C-4F3D-654A-8F5B-B2A89455D5AB}" name="Test 1" dataDxfId="3"/>
    <tableColumn id="10" xr3:uid="{5A6F5FFC-CD8B-5C49-BBFD-3856E773BD09}" name="Test 2" dataDxfId="2"/>
    <tableColumn id="2" xr3:uid="{513514C6-535A-6D48-A54F-C93A508612C4}" name="Test 3" dataDxfId="1"/>
    <tableColumn id="9" xr3:uid="{B3207BCD-3EDF-2B4E-A6F2-44846C8948F7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35CD65-F6A0-2843-AEA8-B28CEBAB5730}">
    <text>place 1 if we want to keep the row when re-initializing. Otherwise, leave it as a blank.</text>
  </threadedComment>
  <threadedComment ref="H9" dT="2020-11-26T18:35:03.27" personId="{7F98AE94-13FB-49E1-9262-339C11E0EDB4}" id="{4F66F176-4F1E-4244-B224-6522953A59A8}">
    <text>supply a value greater than 1 if you want to duplicate the row</text>
  </threadedComment>
  <threadedComment ref="I9" dT="2020-11-28T01:53:47.29" personId="{7F98AE94-13FB-49E1-9262-339C11E0EDB4}" id="{D4085501-5E29-584B-B204-BA69BFB905B8}">
    <text>1 means we need to have the variable specified; 0 means we need not have the variable specified</text>
  </threadedComment>
  <threadedComment ref="I9" dT="2020-11-28T01:56:42.32" personId="{7F98AE94-13FB-49E1-9262-339C11E0EDB4}" id="{D552AE71-122C-0347-84C0-F7D3F31078C8}" parentId="{D4085501-5E29-584B-B204-BA69BFB905B8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3"/>
  <sheetViews>
    <sheetView showGridLines="0" view="pageBreakPreview" topLeftCell="C3" zoomScaleNormal="85" zoomScaleSheetLayoutView="100" workbookViewId="0">
      <selection activeCell="G8" sqref="G8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6640625" style="31" customWidth="1"/>
    <col min="5" max="5" width="51.33203125" style="32" bestFit="1" customWidth="1"/>
    <col min="6" max="6" width="15.6640625" style="33" bestFit="1" customWidth="1"/>
    <col min="7" max="9" width="13.33203125" style="31" customWidth="1"/>
    <col min="10" max="10" width="48.66406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4" t="s">
        <v>108</v>
      </c>
      <c r="E4" s="45"/>
      <c r="F4" s="46"/>
      <c r="G4" s="47"/>
      <c r="H4" s="47"/>
      <c r="I4" s="47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60" x14ac:dyDescent="0.2">
      <c r="D7" s="35">
        <v>1</v>
      </c>
      <c r="E7" s="36" t="s">
        <v>107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9" x14ac:dyDescent="0.2">
      <c r="D9" s="35">
        <v>3</v>
      </c>
      <c r="E9" s="36"/>
      <c r="F9" s="37"/>
      <c r="G9" s="35"/>
      <c r="H9" s="35"/>
      <c r="I9" s="35"/>
      <c r="J9" s="36"/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  <row r="31" x14ac:dyDescent="0.2"/>
    <row r="32" x14ac:dyDescent="0.2"/>
    <row r="33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A7799-6226-144C-96F7-6246B77A06C0}">
  <sheetPr codeName="Sheet22">
    <tabColor rgb="FF00B050"/>
  </sheetPr>
  <dimension ref="A1:K16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activeCell="B12" sqref="B12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39" t="str">
        <f>'Revision History'!D4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History'!J4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75" customHeight="1" x14ac:dyDescent="0.2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75" customHeight="1" x14ac:dyDescent="0.2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75" customHeight="1" x14ac:dyDescent="0.2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8" x14ac:dyDescent="0.2">
      <c r="A10" s="4" t="s">
        <v>92</v>
      </c>
      <c r="B10" s="29">
        <v>0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4</v>
      </c>
      <c r="I10" s="6">
        <v>1</v>
      </c>
      <c r="J10" s="5" t="s">
        <v>109</v>
      </c>
    </row>
    <row r="11" spans="1:10" ht="48" x14ac:dyDescent="0.2">
      <c r="A11" s="4" t="s">
        <v>93</v>
      </c>
      <c r="B11" s="29">
        <v>0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4</v>
      </c>
      <c r="I11" s="6">
        <v>1</v>
      </c>
      <c r="J11" s="5" t="s">
        <v>109</v>
      </c>
    </row>
    <row r="12" spans="1:10" ht="48" x14ac:dyDescent="0.2">
      <c r="A12" s="4" t="s">
        <v>110</v>
      </c>
      <c r="B12" s="29">
        <v>1</v>
      </c>
      <c r="C12" s="2" t="s">
        <v>3</v>
      </c>
      <c r="D12" s="1" t="s">
        <v>22</v>
      </c>
      <c r="E12" s="1" t="s">
        <v>7</v>
      </c>
      <c r="F12" s="2" t="s">
        <v>39</v>
      </c>
      <c r="G12" s="1"/>
      <c r="H12" s="48">
        <f>[1]Initialization!$B$10</f>
        <v>4</v>
      </c>
      <c r="I12" s="6">
        <v>1</v>
      </c>
      <c r="J12" s="5" t="s">
        <v>109</v>
      </c>
    </row>
    <row r="13" spans="1:10" ht="48" x14ac:dyDescent="0.2">
      <c r="A13" s="4" t="s">
        <v>111</v>
      </c>
      <c r="B13" s="29">
        <v>0</v>
      </c>
      <c r="C13" s="2" t="s">
        <v>3</v>
      </c>
      <c r="D13" s="1" t="s">
        <v>22</v>
      </c>
      <c r="E13" s="1" t="s">
        <v>7</v>
      </c>
      <c r="F13" s="2" t="s">
        <v>39</v>
      </c>
      <c r="G13" s="1"/>
      <c r="H13" s="48">
        <f>[1]Initialization!$B$10</f>
        <v>4</v>
      </c>
      <c r="I13" s="6">
        <v>1</v>
      </c>
      <c r="J13" s="5" t="s">
        <v>109</v>
      </c>
    </row>
    <row r="14" spans="1:10" ht="16" x14ac:dyDescent="0.2">
      <c r="A14" s="8" t="s">
        <v>75</v>
      </c>
      <c r="B14" s="30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76</v>
      </c>
    </row>
    <row r="15" spans="1:10" ht="14.75" hidden="1" customHeight="1" x14ac:dyDescent="0.2"/>
    <row r="16" spans="1:10" ht="14.75" hidden="1" customHeight="1" x14ac:dyDescent="0.2"/>
  </sheetData>
  <sheetProtection algorithmName="SHA-512" hashValue="5G9iWCo8XDoOHwiFyb6fiT+/2u3+dtE/H6FAQ3g2gEtGjg+grorPhsaySAVcsehgUkgCQS1RjyAY5HXzFEtKvw==" saltValue="5O07MUY4u2bnWyG8VzEw0Q==" spinCount="100000" sheet="1" objects="1" scenarios="1" selectLockedCells="1"/>
  <mergeCells count="2">
    <mergeCell ref="A3:J3"/>
    <mergeCell ref="J4:J8"/>
  </mergeCells>
  <conditionalFormatting sqref="B10:B14">
    <cfRule type="expression" dxfId="19" priority="4">
      <formula>IF(AND($B10&lt;&gt;"",$I10=0),1,0)</formula>
    </cfRule>
    <cfRule type="expression" dxfId="18" priority="5">
      <formula>IF($B10&lt;&gt;"",1,0)</formula>
    </cfRule>
    <cfRule type="expression" dxfId="17" priority="6">
      <formula>$I10=0</formula>
    </cfRule>
  </conditionalFormatting>
  <conditionalFormatting sqref="J4">
    <cfRule type="expression" dxfId="16" priority="57">
      <formula>IF(COUNTA($B$10:$B$14)&lt;&gt;COUNTIF($I$10:$I$14,1),1,0)</formula>
    </cfRule>
    <cfRule type="expression" dxfId="15" priority="5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95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E2"/>
  <sheetViews>
    <sheetView topLeftCell="CF1" workbookViewId="0">
      <selection activeCell="CM2" sqref="CM2"/>
    </sheetView>
  </sheetViews>
  <sheetFormatPr baseColWidth="10" defaultColWidth="8.6640625" defaultRowHeight="15" x14ac:dyDescent="0.2"/>
  <sheetData>
    <row r="1" spans="1:5" x14ac:dyDescent="0.2">
      <c r="A1" t="s">
        <v>92</v>
      </c>
      <c r="B1" t="s">
        <v>93</v>
      </c>
      <c r="C1" t="s">
        <v>110</v>
      </c>
      <c r="D1" t="s">
        <v>111</v>
      </c>
      <c r="E1" t="s">
        <v>75</v>
      </c>
    </row>
    <row r="2" spans="1:5" x14ac:dyDescent="0.2">
      <c r="A2">
        <v>0</v>
      </c>
      <c r="B2">
        <v>0</v>
      </c>
      <c r="C2">
        <v>1</v>
      </c>
      <c r="D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E2"/>
  <sheetViews>
    <sheetView topLeftCell="CC1" workbookViewId="0">
      <selection activeCell="CR2" sqref="CR2"/>
    </sheetView>
  </sheetViews>
  <sheetFormatPr baseColWidth="10" defaultColWidth="8.6640625" defaultRowHeight="15" x14ac:dyDescent="0.2"/>
  <sheetData>
    <row r="1" spans="1:5" x14ac:dyDescent="0.2">
      <c r="A1" t="s">
        <v>92</v>
      </c>
      <c r="B1" t="s">
        <v>93</v>
      </c>
      <c r="C1" t="s">
        <v>110</v>
      </c>
      <c r="D1" t="s">
        <v>111</v>
      </c>
      <c r="E1" t="s">
        <v>75</v>
      </c>
    </row>
    <row r="2" spans="1:5" x14ac:dyDescent="0.2">
      <c r="A2">
        <v>1</v>
      </c>
      <c r="B2">
        <v>1</v>
      </c>
      <c r="C2">
        <v>1</v>
      </c>
      <c r="D2">
        <v>1</v>
      </c>
      <c r="E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Stream Properties</vt:lpstr>
      <vt:lpstr>Reference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2024-11-30T20:30:00Z</dcterms:modified>
</cp:coreProperties>
</file>