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TVSA\1_simulation_inputs\"/>
    </mc:Choice>
  </mc:AlternateContent>
  <xr:revisionPtr revIDLastSave="0" documentId="13_ncr:1_{E904719F-F62F-45BB-95FF-04C1472C77B4}" xr6:coauthVersionLast="47" xr6:coauthVersionMax="47" xr10:uidLastSave="{00000000-0000-0000-0000-000000000000}"/>
  <bookViews>
    <workbookView xWindow="3120" yWindow="330" windowWidth="21600" windowHeight="14175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Initialization!$A$2:$J$16</definedName>
    <definedName name="_xlnm.Print_Area" localSheetId="3">'Physical Properties'!$A$2:$J$14</definedName>
    <definedName name="_xlnm.Print_Area" localSheetId="0">'Revision History'!$C$3:$K$51</definedName>
    <definedName name="_xlnm.Print_Area" localSheetId="4">'Thermodynamic Properties'!$A$2:$J$26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" i="44" l="1"/>
  <c r="B20" i="44"/>
  <c r="B21" i="44"/>
  <c r="B18" i="44"/>
  <c r="I13" i="44"/>
  <c r="H13" i="44"/>
  <c r="I12" i="44"/>
  <c r="H12" i="44"/>
  <c r="I11" i="44"/>
  <c r="H11" i="44"/>
  <c r="H17" i="44"/>
  <c r="H16" i="44"/>
  <c r="H15" i="44"/>
  <c r="H21" i="44"/>
  <c r="H20" i="44"/>
  <c r="H19" i="44"/>
  <c r="H25" i="44"/>
  <c r="H24" i="44"/>
  <c r="H23" i="44"/>
  <c r="H13" i="48"/>
  <c r="H12" i="48"/>
  <c r="H11" i="48"/>
  <c r="H15" i="40"/>
  <c r="H14" i="40"/>
  <c r="H13" i="40"/>
  <c r="H10" i="48" l="1"/>
  <c r="J4" i="48"/>
  <c r="J2" i="48"/>
  <c r="A2" i="48"/>
  <c r="I10" i="44"/>
  <c r="H22" i="44" l="1"/>
  <c r="H18" i="44"/>
  <c r="H14" i="44"/>
  <c r="H10" i="44"/>
  <c r="J4" i="44"/>
  <c r="J2" i="44"/>
  <c r="A2" i="44"/>
  <c r="H12" i="40" l="1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<sst xmlns="http://schemas.openxmlformats.org/spreadsheetml/2006/main" count="385" uniqueCount="154">
  <si>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</si>
  <si>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</si>
  <si>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</si>
  <si>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</si>
  <si>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</si>
  <si>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</si>
  <si>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</si>
  <si>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</si>
  <si>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</si>
  <si>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</si>
  <si>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</si>
  <si>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</si>
  <si>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</si>
  <si>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</si>
  <si>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</si>
  <si>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</si>
  <si>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</si>
  <si>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</si>
  <si>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</si>
  <si>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</si>
  <si>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</si>
  <si>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</si>
  <si>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</si>
  <si>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</si>
  <si>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</si>
  <si>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</si>
  <si>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</si>
  <si>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</si>
  <si>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</si>
  <si>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</si>
  <si>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</si>
  <si>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</si>
  <si>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</si>
  <si>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</si>
  <si>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</si>
  <si>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</si>
  <si>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</si>
  <si>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</si>
  <si>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</si>
  <si>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</si>
  <si>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</si>
  <si>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</si>
  <si>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</si>
  <si>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</si>
  <si>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</si>
  <si>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</si>
  <si>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</si>
  <si>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</si>
  <si>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</si>
  <si>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</si>
  <si>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</si>
  <si>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</si>
  <si>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</si>
  <si>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</si>
  <si>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</si>
  <si>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</si>
  <si>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</si>
  <si>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</si>
  <si>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</si>
  <si>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</si>
  <si>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</si>
  <si>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</si>
  <si>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</si>
  <si>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</si>
  <si>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</si>
  <si>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</si>
  <si>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</si>
  <si>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</si>
  <si>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</si>
  <si>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</si>
  <si>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</si>
  <si>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</si>
  <si>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</si>
  <si>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</si>
  <si>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</si>
  <si>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</si>
  <si>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</si>
  <si>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</si>
  <si>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</si>
  <si>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</si>
  <si>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</si>
  <si>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</si>
  <si>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</si>
  <si>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</si>
  <si>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</si>
  <si>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</si>
  <si>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</si>
  <si>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</si>
  <si>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</si>
  <si>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</si>
  <si>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</si>
  <si>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</si>
  <si>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</si>
  <si>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</si>
  <si>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</si>
  <si>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</si>
  <si>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</si>
  <si>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</si>
  <si>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</si>
  <si>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</si>
  <si>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</si>
  <si>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</si>
  <si>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</si>
  <si>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</si>
  <si>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</si>
  <si>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</si>
  <si>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</si>
  <si>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</si>
  <si>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</si>
  <si>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</si>
  <si>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</si>
  <si>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</si>
  <si>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</si>
  <si>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</si>
  <si>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</si>
  <si>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</si>
  <si>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</si>
  <si>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</si>
  <si>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</si>
  <si>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</si>
  <si>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</si>
  <si>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</si>
  <si>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</si>
  <si>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</si>
  <si>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</si>
  <si>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</si>
  <si>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</si>
  <si>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</si>
  <si>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</si>
  <si>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</si>
  <si>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</si>
  <si>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</si>
  <si>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</si>
  <si>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</si>
  <si>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</si>
  <si>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</si>
  <si>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</si>
  <si>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</si>
  <si>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N2</t>
  </si>
  <si>
    <t>sCom3</t>
  </si>
  <si>
    <t>molecWtC3</t>
  </si>
  <si>
    <t>compFacC3</t>
  </si>
  <si>
    <t>htCapCvC3</t>
  </si>
  <si>
    <t>htCapCpC3</t>
  </si>
  <si>
    <t>isoStHtC3</t>
  </si>
  <si>
    <t>O2</t>
  </si>
  <si>
    <t>sCom4</t>
  </si>
  <si>
    <t>Co2</t>
  </si>
  <si>
    <t>H2O</t>
  </si>
  <si>
    <t>molecWtC4</t>
  </si>
  <si>
    <t>compFacC4</t>
  </si>
  <si>
    <t>htCapCvC4</t>
  </si>
  <si>
    <t>htCapCpC4</t>
  </si>
  <si>
    <t>isoStHtC4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</si>
</sst>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u/>
      <sz val="11"/>
      <color theme="1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5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8001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8001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8001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Documents\MATLAB\toPSAil\4_example\dev\1_simulation_inputs\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6" totalsRowShown="0" headerRowDxfId="54" dataDxfId="52" headerRowBorderDxfId="53" tableBorderDxfId="51" totalsRowBorderDxfId="50">
  <autoFilter ref="A9:J16" xr:uid="{B089C5C3-2CCE-4800-96CA-2131BB6E3E4F}"/>
  <tableColumns count="10">
    <tableColumn id="1" xr3:uid="{F0083DBC-BA3F-499A-AB41-58DC14E7EC9B}" name="Variable" dataDxfId="49"/>
    <tableColumn id="4" xr3:uid="{2D9C78CB-0A98-4E06-A17A-328F6643A2AB}" name="Value" dataDxfId="48"/>
    <tableColumn id="5" xr3:uid="{2D40A785-0BF0-4D20-A6A3-606AF3EAEA1D}" name="Unit" dataDxfId="47"/>
    <tableColumn id="6" xr3:uid="{47E47CE1-84EE-4BBF-AF16-7CD09E32C8D5}" name="Comparisons" dataDxfId="46"/>
    <tableColumn id="7" xr3:uid="{1E01755C-F10B-47AF-87D2-261FE9E5C304}" name="Variable Type" dataDxfId="45"/>
    <tableColumn id="8" xr3:uid="{A1508BC9-F251-4C78-AFE1-9780568F4570}" name="Dependency" dataDxfId="44"/>
    <tableColumn id="12" xr3:uid="{483B9187-B663-438A-A6C2-F92DD2C5981E}" name="Test 1" dataDxfId="43"/>
    <tableColumn id="10" xr3:uid="{B0989B53-E4FA-42D2-AC40-B81EF1952308}" name="Test 2" dataDxfId="42"/>
    <tableColumn id="2" xr3:uid="{3B51E6F8-78E0-4FDA-AE7D-0D8F50BB7A78}" name="Test 3" dataDxfId="41"/>
    <tableColumn id="9" xr3:uid="{87AE414E-FFE1-4067-A57C-04659EEE8430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4" totalsRowShown="0" headerRowDxfId="34" dataDxfId="32" headerRowBorderDxfId="33" tableBorderDxfId="31" totalsRowBorderDxfId="30">
  <autoFilter ref="A9:J14" xr:uid="{B089C5C3-2CCE-4800-96CA-2131BB6E3E4F}"/>
  <tableColumns count="10">
    <tableColumn id="1" xr3:uid="{D4652DE0-AD05-4BC4-B7DC-B91D6E15B5B2}" name="Variable" dataDxfId="29"/>
    <tableColumn id="4" xr3:uid="{2F59C491-C7E1-4257-A250-2EA854EB6288}" name="Value" dataDxfId="28"/>
    <tableColumn id="5" xr3:uid="{34876DE5-AC85-42AE-9A77-1A7DBC37EA9C}" name="Unit" dataDxfId="27"/>
    <tableColumn id="6" xr3:uid="{16522C00-28AB-414D-9B4E-DF5790D96FB0}" name="Comparisons" dataDxfId="26"/>
    <tableColumn id="7" xr3:uid="{A1C9D628-05B1-4FEF-97C7-8DAC16591D17}" name="Variable Type" dataDxfId="25"/>
    <tableColumn id="8" xr3:uid="{21ED6E86-E0CA-4EA6-8452-7E8EC49D47E9}" name="Dependency" dataDxfId="24"/>
    <tableColumn id="12" xr3:uid="{833F4E3C-8288-4E33-9D60-BB141BA16440}" name="Test 1" dataDxfId="23"/>
    <tableColumn id="10" xr3:uid="{B5ACF3FF-F7B5-4328-AF7F-9A1641C64EBC}" name="Test 2" dataDxfId="22"/>
    <tableColumn id="2" xr3:uid="{69651FF2-E47D-4C8B-88C9-DEAB4746E36D}" name="Test 3" dataDxfId="21"/>
    <tableColumn id="9" xr3:uid="{7323C7D4-0CE9-41A5-811B-0D3D008EC15F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26" totalsRowShown="0" headerRowDxfId="14" dataDxfId="12" headerRowBorderDxfId="13" tableBorderDxfId="11" totalsRowBorderDxfId="10">
  <autoFilter ref="A9:J26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33" hidden="1" customWidth="1"/>
    <col min="3" max="3" width="2.42578125" style="33" customWidth="1"/>
    <col min="4" max="4" width="13.7109375" style="33" customWidth="1"/>
    <col min="5" max="5" width="51.28515625" style="34" bestFit="1" customWidth="1"/>
    <col min="6" max="6" width="15.7109375" style="35" bestFit="1" customWidth="1"/>
    <col min="7" max="9" width="13.28515625" style="33" customWidth="1"/>
    <col min="10" max="10" width="48.7109375" style="33" customWidth="1"/>
    <col min="11" max="11" width="2.42578125" style="33" customWidth="1"/>
    <col min="12" max="12" width="0" style="33" hidden="1" customWidth="1"/>
    <col min="13" max="16384" width="9" style="33" hidden="1"/>
  </cols>
  <sheetData>
    <row r="3" spans="4:10"/>
    <row r="4" spans="4:10" ht="18.75">
      <c r="D4" s="49" t="s">
        <v>132</v>
      </c>
      <c r="E4" s="50"/>
      <c r="F4" s="51"/>
      <c r="G4" s="52"/>
      <c r="H4" s="52"/>
      <c r="I4" s="52"/>
      <c r="J4" s="36" t="s">
        <v>84</v>
      </c>
    </row>
    <row r="5" spans="4:10" ht="35.25">
      <c r="D5" s="60" t="s">
        <v>36</v>
      </c>
      <c r="E5" s="60"/>
      <c r="F5" s="60"/>
      <c r="G5" s="60"/>
      <c r="H5" s="60"/>
      <c r="I5" s="60"/>
      <c r="J5" s="60"/>
    </row>
    <row r="6" spans="4:10" ht="18.75">
      <c r="D6" s="46" t="s">
        <v>30</v>
      </c>
      <c r="E6" s="46" t="s">
        <v>126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6.25">
      <c r="D7" s="37">
        <v>1</v>
      </c>
      <c r="E7" s="38" t="s">
        <v>131</v>
      </c>
      <c r="F7" s="39">
        <v>44720</v>
      </c>
      <c r="G7" s="37" t="s">
        <v>37</v>
      </c>
      <c r="H7" s="37"/>
      <c r="I7" s="37"/>
      <c r="J7" s="38"/>
    </row>
    <row r="8" spans="4:10" ht="37.5">
      <c r="D8" s="37">
        <v>2</v>
      </c>
      <c r="E8" s="38" t="s">
        <v>129</v>
      </c>
      <c r="F8" s="39">
        <v>44818</v>
      </c>
      <c r="G8" s="37" t="s">
        <v>37</v>
      </c>
      <c r="H8" s="37"/>
      <c r="I8" s="37"/>
      <c r="J8" s="38"/>
    </row>
    <row r="9" spans="4:10" ht="18.75">
      <c r="D9" s="37">
        <v>3</v>
      </c>
      <c r="E9" s="38"/>
      <c r="F9" s="39"/>
      <c r="G9" s="37"/>
      <c r="H9" s="37"/>
      <c r="I9" s="37"/>
      <c r="J9" s="38"/>
    </row>
    <row r="10" spans="4:10" ht="18.75">
      <c r="D10" s="37">
        <v>4</v>
      </c>
      <c r="E10" s="38"/>
      <c r="F10" s="39"/>
      <c r="G10" s="37"/>
      <c r="H10" s="37"/>
      <c r="I10" s="37"/>
      <c r="J10" s="38"/>
    </row>
    <row r="11" spans="4:10" ht="18.75">
      <c r="D11" s="37">
        <v>5</v>
      </c>
      <c r="E11" s="38"/>
      <c r="F11" s="39"/>
      <c r="G11" s="37"/>
      <c r="H11" s="37"/>
      <c r="I11" s="37"/>
      <c r="J11" s="38"/>
    </row>
    <row r="12" spans="4:10" ht="18.75">
      <c r="D12" s="37">
        <v>6</v>
      </c>
      <c r="E12" s="38"/>
      <c r="F12" s="39"/>
      <c r="G12" s="37"/>
      <c r="H12" s="37"/>
      <c r="I12" s="37"/>
      <c r="J12" s="38"/>
    </row>
    <row r="13" spans="4:10" ht="18.75">
      <c r="D13" s="37">
        <v>7</v>
      </c>
      <c r="E13" s="38"/>
      <c r="F13" s="39"/>
      <c r="G13" s="37"/>
      <c r="H13" s="37"/>
      <c r="I13" s="37"/>
      <c r="J13" s="38"/>
    </row>
    <row r="14" spans="4:10" ht="18.75">
      <c r="D14" s="37">
        <v>8</v>
      </c>
      <c r="E14" s="38"/>
      <c r="F14" s="39"/>
      <c r="G14" s="37"/>
      <c r="H14" s="37"/>
      <c r="I14" s="37"/>
      <c r="J14" s="38"/>
    </row>
    <row r="15" spans="4:10" ht="18.75">
      <c r="D15" s="37">
        <v>9</v>
      </c>
      <c r="E15" s="38"/>
      <c r="F15" s="39"/>
      <c r="G15" s="37"/>
      <c r="H15" s="37"/>
      <c r="I15" s="37"/>
      <c r="J15" s="38"/>
    </row>
    <row r="16" spans="4:10" ht="18.75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100</v>
      </c>
      <c r="S1" t="s">
        <v>101</v>
      </c>
      <c r="T1" t="s">
        <v>113</v>
      </c>
      <c r="U1" t="s">
        <v>114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115</v>
      </c>
    </row>
    <row r="4" spans="1:21">
      <c r="A4" t="s">
        <v>81</v>
      </c>
      <c r="B4" t="s">
        <v>21</v>
      </c>
      <c r="C4" t="s">
        <v>43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116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117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118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119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120</v>
      </c>
    </row>
    <row r="9" spans="1:21">
      <c r="B9" t="s">
        <v>89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121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111</v>
      </c>
    </row>
    <row r="12" spans="1:21">
      <c r="B12" t="s">
        <v>90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112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7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activeCell="B12" sqref="B12"/>
    </sheetView>
  </sheetViews>
  <sheetFormatPr defaultColWidth="0" defaultRowHeight="14.65" custom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.75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IF(COUNTIF(Table110823[Test 3],1)=COUNTA(Table110823[Value]),"Ready","Not Ready")</f>
        <v>Ready</v>
      </c>
    </row>
    <row r="5" spans="1:10" ht="14.65" customHeight="1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65" customHeight="1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65" customHeight="1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5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30">
      <c r="A10" s="4" t="s">
        <v>5</v>
      </c>
      <c r="B10" s="30">
        <v>4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135</v>
      </c>
    </row>
    <row r="11" spans="1:10" ht="60">
      <c r="A11" s="47" t="s">
        <v>134</v>
      </c>
      <c r="B11" s="30">
        <v>2</v>
      </c>
      <c r="C11" s="32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136</v>
      </c>
    </row>
    <row r="12" spans="1:10" ht="45">
      <c r="A12" s="4" t="s">
        <v>62</v>
      </c>
      <c r="B12" s="30" t="s">
        <v>138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4</v>
      </c>
      <c r="I12" s="6">
        <v>1</v>
      </c>
      <c r="J12" s="5" t="s">
        <v>130</v>
      </c>
    </row>
    <row r="13" spans="1:10" ht="45">
      <c r="A13" s="4" t="s">
        <v>63</v>
      </c>
      <c r="B13" s="30" t="s">
        <v>145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4</v>
      </c>
      <c r="I13" s="6">
        <v>1</v>
      </c>
      <c r="J13" s="5" t="s">
        <v>130</v>
      </c>
    </row>
    <row r="14" spans="1:10" ht="45">
      <c r="A14" s="4" t="s">
        <v>139</v>
      </c>
      <c r="B14" s="30" t="s">
        <v>147</v>
      </c>
      <c r="C14" s="2" t="s">
        <v>3</v>
      </c>
      <c r="D14" s="1" t="s">
        <v>22</v>
      </c>
      <c r="E14" s="1" t="s">
        <v>9</v>
      </c>
      <c r="F14" s="2" t="s">
        <v>5</v>
      </c>
      <c r="G14" s="1"/>
      <c r="H14" s="1">
        <f>Initialization!$B$10</f>
        <v>4</v>
      </c>
      <c r="I14" s="6">
        <v>1</v>
      </c>
      <c r="J14" s="5" t="s">
        <v>130</v>
      </c>
    </row>
    <row r="15" spans="1:10" ht="45">
      <c r="A15" s="4" t="s">
        <v>146</v>
      </c>
      <c r="B15" s="30" t="s">
        <v>148</v>
      </c>
      <c r="C15" s="2" t="s">
        <v>3</v>
      </c>
      <c r="D15" s="1" t="s">
        <v>22</v>
      </c>
      <c r="E15" s="1" t="s">
        <v>9</v>
      </c>
      <c r="F15" s="2" t="s">
        <v>5</v>
      </c>
      <c r="G15" s="1"/>
      <c r="H15" s="1">
        <f>Initialization!$B$10</f>
        <v>4</v>
      </c>
      <c r="I15" s="6">
        <v>1</v>
      </c>
      <c r="J15" s="5" t="s">
        <v>130</v>
      </c>
    </row>
    <row r="16" spans="1:10" ht="15">
      <c r="A16" s="8" t="s">
        <v>77</v>
      </c>
      <c r="B16" s="31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78</v>
      </c>
    </row>
    <row r="17" ht="14.65" hidden="1" customHeight="1"/>
  </sheetData>
  <sheetProtection algorithmName="SHA-512" hashValue="h9WfqI6FAVJZPlsCHg733wln/1P2o/8Fxh/OLr9EggNlLZojNBlZQzX9bIA0LoKZt0WGfF8oaeoSvFaHkGmSrg==" saltValue="LtxJdlROjQrjRr9dtkYVtA==" spinCount="100000" sheet="1" objects="1" scenarios="1" selectLockedCells="1"/>
  <mergeCells count="2">
    <mergeCell ref="A3:J3"/>
    <mergeCell ref="J4:J8"/>
  </mergeCells>
  <conditionalFormatting sqref="B10:B16">
    <cfRule type="expression" dxfId="59" priority="7">
      <formula>IF(AND($B10&lt;&gt;"",$I10=0),1,0)</formula>
    </cfRule>
    <cfRule type="expression" dxfId="58" priority="8">
      <formula>IF($B10&lt;&gt;"",1,0)</formula>
    </cfRule>
    <cfRule type="expression" dxfId="57" priority="9">
      <formula>$I10=0</formula>
    </cfRule>
  </conditionalFormatting>
  <conditionalFormatting sqref="J4">
    <cfRule type="expression" dxfId="56" priority="580">
      <formula>IF(COUNTA($B$10:$B$16)&lt;&gt;COUNTIF($I$10:$I$16,1),1,0)</formula>
    </cfRule>
    <cfRule type="expression" dxfId="55" priority="581">
      <formula>IF(COUNTA($B$10:$B$16)=COUNTIF($I$10:$I$16,1),1,0)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F10:F16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D10:D16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5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activeCell="B12" sqref="B12"/>
    </sheetView>
  </sheetViews>
  <sheetFormatPr defaultColWidth="0" defaultRowHeight="14.65" custom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84" width="8.7109375" style="3" hidden="1"/>
  </cols>
  <sheetData>
    <row r="1" spans="1:10" ht="15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.75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IF(COUNTIF(Table1108238[Test 3],1)=COUNTA(Table1108238[Value]),"Ready","Not Ready")</f>
        <v>Ready</v>
      </c>
    </row>
    <row r="5" spans="1:10" ht="14.65" customHeight="1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65" customHeight="1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65" customHeight="1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5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15">
      <c r="A10" s="4" t="s">
        <v>122</v>
      </c>
      <c r="B10" s="30">
        <v>28</v>
      </c>
      <c r="C10" s="2" t="s">
        <v>123</v>
      </c>
      <c r="D10" s="1" t="s">
        <v>22</v>
      </c>
      <c r="E10" s="1" t="s">
        <v>7</v>
      </c>
      <c r="F10" s="2" t="s">
        <v>5</v>
      </c>
      <c r="G10" s="1">
        <v>1</v>
      </c>
      <c r="H10" s="59">
        <f>Initialization!B$10</f>
        <v>4</v>
      </c>
      <c r="I10" s="6">
        <v>1</v>
      </c>
      <c r="J10" s="5" t="s">
        <v>124</v>
      </c>
    </row>
    <row r="11" spans="1:10" ht="15">
      <c r="A11" s="4" t="s">
        <v>125</v>
      </c>
      <c r="B11" s="30">
        <v>32</v>
      </c>
      <c r="C11" s="2" t="s">
        <v>123</v>
      </c>
      <c r="D11" s="1" t="s">
        <v>22</v>
      </c>
      <c r="E11" s="1" t="s">
        <v>7</v>
      </c>
      <c r="F11" s="2" t="s">
        <v>5</v>
      </c>
      <c r="G11" s="1"/>
      <c r="H11" s="59">
        <f>Initialization!B$10</f>
        <v>4</v>
      </c>
      <c r="I11" s="6">
        <v>1</v>
      </c>
      <c r="J11" s="5" t="s">
        <v>124</v>
      </c>
    </row>
    <row r="12" spans="1:10" ht="15">
      <c r="A12" s="4" t="s">
        <v>140</v>
      </c>
      <c r="B12" s="30">
        <v>44</v>
      </c>
      <c r="C12" s="2" t="s">
        <v>123</v>
      </c>
      <c r="D12" s="1" t="s">
        <v>22</v>
      </c>
      <c r="E12" s="1" t="s">
        <v>7</v>
      </c>
      <c r="F12" s="2" t="s">
        <v>5</v>
      </c>
      <c r="G12" s="1"/>
      <c r="H12" s="59">
        <f>Initialization!B$10</f>
        <v>4</v>
      </c>
      <c r="I12" s="6">
        <v>1</v>
      </c>
      <c r="J12" s="5" t="s">
        <v>124</v>
      </c>
    </row>
    <row r="13" spans="1:10" ht="15">
      <c r="A13" s="4" t="s">
        <v>149</v>
      </c>
      <c r="B13" s="30">
        <v>18</v>
      </c>
      <c r="C13" s="2" t="s">
        <v>123</v>
      </c>
      <c r="D13" s="1" t="s">
        <v>22</v>
      </c>
      <c r="E13" s="1" t="s">
        <v>7</v>
      </c>
      <c r="F13" s="2" t="s">
        <v>5</v>
      </c>
      <c r="G13" s="1"/>
      <c r="H13" s="59">
        <f>Initialization!B$10</f>
        <v>4</v>
      </c>
      <c r="I13" s="6">
        <v>1</v>
      </c>
      <c r="J13" s="5" t="s">
        <v>124</v>
      </c>
    </row>
    <row r="14" spans="1:10" ht="15">
      <c r="A14" s="8" t="s">
        <v>77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78</v>
      </c>
    </row>
    <row r="15" spans="1:10" ht="14.65" hidden="1" customHeight="1"/>
  </sheetData>
  <sheetProtection algorithmName="SHA-512" hashValue="t1h15R+zbq43DLTl4O/dhnS9akAT8STu48gisBZHOES3KUYe68ztU6KF4X+1MjKJyxW3gCjPlJ1YVGoIfLvytA==" saltValue="b4KBTQ4PpFl+f+L6hhSTDA==" spinCount="100000" sheet="1" objects="1" scenarios="1" selectLockedCells="1"/>
  <mergeCells count="2">
    <mergeCell ref="A3:J3"/>
    <mergeCell ref="J4:J8"/>
  </mergeCells>
  <conditionalFormatting sqref="B10:B14">
    <cfRule type="expression" dxfId="39" priority="16">
      <formula>IF(AND($B10&lt;&gt;"",$I10=0),1,0)</formula>
    </cfRule>
    <cfRule type="expression" dxfId="38" priority="17">
      <formula>IF($B10&lt;&gt;"",1,0)</formula>
    </cfRule>
    <cfRule type="expression" dxfId="37" priority="18">
      <formula>$I10=0</formula>
    </cfRule>
  </conditionalFormatting>
  <conditionalFormatting sqref="J4">
    <cfRule type="expression" dxfId="36" priority="596">
      <formula>IF(COUNTA($B$10:$B$14)&lt;&gt;COUNTIF($I$10:$I$14,1),1,0)</formula>
    </cfRule>
    <cfRule type="expression" dxfId="35" priority="597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E10:E14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D10:D14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30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activeCell="B15" sqref="B15"/>
    </sheetView>
  </sheetViews>
  <sheetFormatPr defaultColWidth="0" defaultRowHeight="14.65" custom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.75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IF(COUNTIF(Table110824[Test 3],1)=COUNTA(Table110824[Value]),"Ready","Not Ready")</f>
        <v>Not Ready</v>
      </c>
    </row>
    <row r="5" spans="1:10" ht="14.65" customHeight="1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65" customHeight="1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65" customHeight="1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5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30">
      <c r="A10" s="4" t="s">
        <v>92</v>
      </c>
      <c r="B10" s="30">
        <v>0</v>
      </c>
      <c r="C10" s="2" t="s">
        <v>94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4</v>
      </c>
      <c r="I10" s="58">
        <f>[1]Initialization!$B$14</f>
        <v>0</v>
      </c>
      <c r="J10" s="5" t="s">
        <v>137</v>
      </c>
    </row>
    <row r="11" spans="1:10" ht="30">
      <c r="A11" s="4" t="s">
        <v>93</v>
      </c>
      <c r="B11" s="30">
        <v>0</v>
      </c>
      <c r="C11" s="2" t="s">
        <v>94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4</v>
      </c>
      <c r="I11" s="58">
        <f>[1]Initialization!$B$14</f>
        <v>0</v>
      </c>
      <c r="J11" s="5" t="s">
        <v>137</v>
      </c>
    </row>
    <row r="12" spans="1:10" ht="30">
      <c r="A12" s="4" t="s">
        <v>144</v>
      </c>
      <c r="B12" s="30">
        <v>60000</v>
      </c>
      <c r="C12" s="2" t="s">
        <v>94</v>
      </c>
      <c r="D12" s="1" t="s">
        <v>22</v>
      </c>
      <c r="E12" s="1" t="s">
        <v>7</v>
      </c>
      <c r="F12" s="2" t="s">
        <v>5</v>
      </c>
      <c r="G12" s="1"/>
      <c r="H12" s="1">
        <f>Initialization!$B$10</f>
        <v>4</v>
      </c>
      <c r="I12" s="58">
        <f>[1]Initialization!$B$14</f>
        <v>0</v>
      </c>
      <c r="J12" s="5" t="s">
        <v>137</v>
      </c>
    </row>
    <row r="13" spans="1:10" ht="30">
      <c r="A13" s="4" t="s">
        <v>153</v>
      </c>
      <c r="B13" s="30">
        <v>49000</v>
      </c>
      <c r="C13" s="2" t="s">
        <v>94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4</v>
      </c>
      <c r="I13" s="58">
        <f>[1]Initialization!$B$14</f>
        <v>0</v>
      </c>
      <c r="J13" s="5" t="s">
        <v>137</v>
      </c>
    </row>
    <row r="14" spans="1:10" ht="30">
      <c r="A14" s="4" t="s">
        <v>104</v>
      </c>
      <c r="B14" s="30">
        <v>29.11</v>
      </c>
      <c r="C14" s="2" t="s">
        <v>95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4</v>
      </c>
      <c r="I14" s="6">
        <v>1</v>
      </c>
      <c r="J14" s="5" t="s">
        <v>102</v>
      </c>
    </row>
    <row r="15" spans="1:10" ht="30">
      <c r="A15" s="4" t="s">
        <v>105</v>
      </c>
      <c r="B15" s="30">
        <v>29.39</v>
      </c>
      <c r="C15" s="2" t="s">
        <v>95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4</v>
      </c>
      <c r="I15" s="6">
        <v>1</v>
      </c>
      <c r="J15" s="5" t="s">
        <v>102</v>
      </c>
    </row>
    <row r="16" spans="1:10" ht="30">
      <c r="A16" s="4" t="s">
        <v>143</v>
      </c>
      <c r="B16" s="30">
        <v>37.22</v>
      </c>
      <c r="C16" s="2" t="s">
        <v>95</v>
      </c>
      <c r="D16" s="1" t="s">
        <v>22</v>
      </c>
      <c r="E16" s="1" t="s">
        <v>7</v>
      </c>
      <c r="F16" s="2" t="s">
        <v>5</v>
      </c>
      <c r="G16" s="1"/>
      <c r="H16" s="1">
        <f>Initialization!$B$10</f>
        <v>4</v>
      </c>
      <c r="I16" s="6">
        <v>1</v>
      </c>
      <c r="J16" s="5" t="s">
        <v>102</v>
      </c>
    </row>
    <row r="17" spans="1:10" ht="30">
      <c r="A17" s="4" t="s">
        <v>152</v>
      </c>
      <c r="B17" s="30">
        <v>36.57</v>
      </c>
      <c r="C17" s="2" t="s">
        <v>95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4</v>
      </c>
      <c r="I17" s="6">
        <v>1</v>
      </c>
      <c r="J17" s="5" t="s">
        <v>102</v>
      </c>
    </row>
    <row r="18" spans="1:10" ht="30">
      <c r="A18" s="47" t="s">
        <v>106</v>
      </c>
      <c r="B18" s="30">
        <f>B14-8.314</f>
        <v>20.795999999999999</v>
      </c>
      <c r="C18" s="2" t="s">
        <v>95</v>
      </c>
      <c r="D18" s="1" t="s">
        <v>22</v>
      </c>
      <c r="E18" s="1" t="s">
        <v>7</v>
      </c>
      <c r="F18" s="2" t="s">
        <v>5</v>
      </c>
      <c r="G18" s="1">
        <v>1</v>
      </c>
      <c r="H18" s="1">
        <f>Initialization!$B$10</f>
        <v>4</v>
      </c>
      <c r="I18" s="6">
        <v>1</v>
      </c>
      <c r="J18" s="5" t="s">
        <v>103</v>
      </c>
    </row>
    <row r="19" spans="1:10" ht="30">
      <c r="A19" s="47" t="s">
        <v>107</v>
      </c>
      <c r="B19" s="30">
        <f t="shared" ref="B19:B21" si="0">B15-8.314</f>
        <v>21.076000000000001</v>
      </c>
      <c r="C19" s="2" t="s">
        <v>95</v>
      </c>
      <c r="D19" s="1" t="s">
        <v>22</v>
      </c>
      <c r="E19" s="1" t="s">
        <v>7</v>
      </c>
      <c r="F19" s="2" t="s">
        <v>5</v>
      </c>
      <c r="G19" s="1"/>
      <c r="H19" s="1">
        <f>Initialization!$B$10</f>
        <v>4</v>
      </c>
      <c r="I19" s="6">
        <v>1</v>
      </c>
      <c r="J19" s="5" t="s">
        <v>103</v>
      </c>
    </row>
    <row r="20" spans="1:10" ht="30">
      <c r="A20" s="47" t="s">
        <v>142</v>
      </c>
      <c r="B20" s="30">
        <f t="shared" si="0"/>
        <v>28.905999999999999</v>
      </c>
      <c r="C20" s="2" t="s">
        <v>95</v>
      </c>
      <c r="D20" s="1" t="s">
        <v>22</v>
      </c>
      <c r="E20" s="1" t="s">
        <v>7</v>
      </c>
      <c r="F20" s="2" t="s">
        <v>5</v>
      </c>
      <c r="G20" s="1"/>
      <c r="H20" s="1">
        <f>Initialization!$B$10</f>
        <v>4</v>
      </c>
      <c r="I20" s="6">
        <v>1</v>
      </c>
      <c r="J20" s="5" t="s">
        <v>103</v>
      </c>
    </row>
    <row r="21" spans="1:10" ht="30">
      <c r="A21" s="47" t="s">
        <v>151</v>
      </c>
      <c r="B21" s="30">
        <f t="shared" si="0"/>
        <v>28.256</v>
      </c>
      <c r="C21" s="2" t="s">
        <v>95</v>
      </c>
      <c r="D21" s="1" t="s">
        <v>22</v>
      </c>
      <c r="E21" s="1" t="s">
        <v>7</v>
      </c>
      <c r="F21" s="2" t="s">
        <v>5</v>
      </c>
      <c r="G21" s="1"/>
      <c r="H21" s="1">
        <f>Initialization!$B$10</f>
        <v>4</v>
      </c>
      <c r="I21" s="6">
        <v>1</v>
      </c>
      <c r="J21" s="5" t="s">
        <v>103</v>
      </c>
    </row>
    <row r="22" spans="1:10" ht="30">
      <c r="A22" s="47" t="s">
        <v>109</v>
      </c>
      <c r="B22" s="30">
        <v>1</v>
      </c>
      <c r="C22" s="32" t="s">
        <v>3</v>
      </c>
      <c r="D22" s="1" t="s">
        <v>22</v>
      </c>
      <c r="E22" s="1" t="s">
        <v>7</v>
      </c>
      <c r="F22" s="2" t="s">
        <v>5</v>
      </c>
      <c r="G22" s="1">
        <v>1</v>
      </c>
      <c r="H22" s="1">
        <f>Initialization!$B$10</f>
        <v>4</v>
      </c>
      <c r="I22" s="6">
        <v>1</v>
      </c>
      <c r="J22" s="5" t="s">
        <v>108</v>
      </c>
    </row>
    <row r="23" spans="1:10" ht="30">
      <c r="A23" s="47" t="s">
        <v>110</v>
      </c>
      <c r="B23" s="30">
        <v>1</v>
      </c>
      <c r="C23" s="32" t="s">
        <v>3</v>
      </c>
      <c r="D23" s="1" t="s">
        <v>22</v>
      </c>
      <c r="E23" s="1" t="s">
        <v>7</v>
      </c>
      <c r="F23" s="2" t="s">
        <v>5</v>
      </c>
      <c r="G23" s="1"/>
      <c r="H23" s="1">
        <f>Initialization!$B$10</f>
        <v>4</v>
      </c>
      <c r="I23" s="6">
        <v>1</v>
      </c>
      <c r="J23" s="5" t="s">
        <v>108</v>
      </c>
    </row>
    <row r="24" spans="1:10" ht="30">
      <c r="A24" s="47" t="s">
        <v>141</v>
      </c>
      <c r="B24" s="30">
        <v>1</v>
      </c>
      <c r="C24" s="32" t="s">
        <v>3</v>
      </c>
      <c r="D24" s="1" t="s">
        <v>22</v>
      </c>
      <c r="E24" s="1" t="s">
        <v>7</v>
      </c>
      <c r="F24" s="2" t="s">
        <v>5</v>
      </c>
      <c r="G24" s="1"/>
      <c r="H24" s="1">
        <f>Initialization!$B$10</f>
        <v>4</v>
      </c>
      <c r="I24" s="6">
        <v>1</v>
      </c>
      <c r="J24" s="5" t="s">
        <v>108</v>
      </c>
    </row>
    <row r="25" spans="1:10" ht="30">
      <c r="A25" s="47" t="s">
        <v>150</v>
      </c>
      <c r="B25" s="30">
        <v>1</v>
      </c>
      <c r="C25" s="32" t="s">
        <v>3</v>
      </c>
      <c r="D25" s="1" t="s">
        <v>22</v>
      </c>
      <c r="E25" s="1" t="s">
        <v>7</v>
      </c>
      <c r="F25" s="2" t="s">
        <v>5</v>
      </c>
      <c r="G25" s="1"/>
      <c r="H25" s="1">
        <f>Initialization!$B$10</f>
        <v>4</v>
      </c>
      <c r="I25" s="6">
        <v>1</v>
      </c>
      <c r="J25" s="5" t="s">
        <v>108</v>
      </c>
    </row>
    <row r="26" spans="1:10" ht="15">
      <c r="A26" s="8" t="s">
        <v>77</v>
      </c>
      <c r="B26" s="31"/>
      <c r="C26" s="9"/>
      <c r="D26" s="10"/>
      <c r="E26" s="10"/>
      <c r="F26" s="9"/>
      <c r="G26" s="10">
        <v>1</v>
      </c>
      <c r="H26" s="10">
        <v>1</v>
      </c>
      <c r="I26" s="11">
        <v>0</v>
      </c>
      <c r="J26" s="12" t="s">
        <v>78</v>
      </c>
    </row>
    <row r="27" spans="1:10" ht="14.65" hidden="1" customHeight="1"/>
    <row r="28" spans="1:10" ht="14.65" hidden="1" customHeight="1"/>
    <row r="29" spans="1:10" ht="14.65" hidden="1" customHeight="1"/>
    <row r="30" spans="1:10" ht="14.65" hidden="1" customHeight="1"/>
  </sheetData>
  <sheetProtection algorithmName="SHA-512" hashValue="CxAc7Zl+ZOzMZlrp5Gf7fZXjrbYB3WgxFa+I0iSVAymUbO0AQ7RXbomLApgAkfKlKr0GHAk8y8Ja/PJdWbU4IA==" saltValue="IjI+6wFclPIum5bSFLOfzA==" spinCount="100000" sheet="1" objects="1" scenarios="1" selectLockedCells="1"/>
  <mergeCells count="2">
    <mergeCell ref="A3:J3"/>
    <mergeCell ref="J4:J8"/>
  </mergeCells>
  <conditionalFormatting sqref="B10:B26">
    <cfRule type="expression" dxfId="19" priority="43">
      <formula>IF(AND($B10&lt;&gt;"",$I10=0),1,0)</formula>
    </cfRule>
    <cfRule type="expression" dxfId="18" priority="44">
      <formula>IF($B10&lt;&gt;"",1,0)</formula>
    </cfRule>
    <cfRule type="expression" dxfId="17" priority="45">
      <formula>$I10=0</formula>
    </cfRule>
  </conditionalFormatting>
  <conditionalFormatting sqref="J4">
    <cfRule type="expression" dxfId="16" priority="666">
      <formula>IF(COUNTA($B$10:$B$26)&lt;&gt;COUNTIF($I$10:$I$26,1),1,0)</formula>
    </cfRule>
    <cfRule type="expression" dxfId="15" priority="667">
      <formula>IF(COUNTA($B$10:$B$26)=COUNTIF($I$10:$I$26,1),1,0)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F10:F26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D10:D26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E10:E26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109375" style="56" customWidth="1"/>
    <col min="3" max="3" width="13.140625" style="56" customWidth="1"/>
    <col min="4" max="4" width="13.42578125" style="56" customWidth="1"/>
    <col min="5" max="6" width="8.7109375" style="56" customWidth="1"/>
    <col min="7" max="7" width="14.7109375" style="56" customWidth="1"/>
    <col min="8" max="8" width="11.7109375" style="56" customWidth="1"/>
    <col min="9" max="9" width="10.28515625" style="56" customWidth="1"/>
    <col min="10" max="10" width="5.7109375" style="56" customWidth="1"/>
    <col min="11" max="11" width="10.42578125" style="56" customWidth="1"/>
    <col min="12" max="17" width="8.7109375" style="56" customWidth="1"/>
    <col min="18" max="16384" width="8.7109375" style="56" hidden="1"/>
  </cols>
  <sheetData>
    <row r="1" spans="1:17" ht="15">
      <c r="A1" s="53" t="s">
        <v>133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84</v>
      </c>
    </row>
    <row r="2" spans="1:17" ht="15">
      <c r="A2" s="65" t="s">
        <v>127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</row>
    <row r="3" spans="1:17" ht="15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5">
      <c r="A4" s="24"/>
      <c r="B4" s="57" t="s">
        <v>128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5">
      <c r="A5" s="24"/>
      <c r="B5" s="57"/>
      <c r="C5" s="57" t="s">
        <v>96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5">
      <c r="A6" s="24"/>
      <c r="B6" s="57"/>
      <c r="C6" s="57"/>
      <c r="D6" s="45" t="s">
        <v>97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5">
      <c r="A7" s="24"/>
      <c r="B7" s="57"/>
      <c r="C7" s="57" t="s">
        <v>98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5">
      <c r="A8" s="24"/>
      <c r="B8" s="57"/>
      <c r="C8" s="57"/>
      <c r="D8" s="44" t="s">
        <v>99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5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87</v>
      </c>
    </row>
    <row r="2" spans="1:1">
      <c r="A2" t="s">
        <v>85</v>
      </c>
    </row>
    <row r="3" spans="1:1">
      <c r="A3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C2"/>
  <sheetViews>
    <sheetView workbookViewId="0">
      <selection activeCell="CR2" sqref="CR2"/>
    </sheetView>
  </sheetViews>
  <sheetFormatPr defaultColWidth="8.7109375" defaultRowHeight="15"/>
  <sheetData>
    <row r="1" spans="1:29">
      <c r="A1" t="s">
        <v>5</v>
      </c>
      <c r="B1" t="s">
        <v>134</v>
      </c>
      <c r="C1" t="s">
        <v>62</v>
      </c>
      <c r="D1" t="s">
        <v>63</v>
      </c>
      <c r="E1" t="s">
        <v>139</v>
      </c>
      <c r="F1" t="s">
        <v>146</v>
      </c>
      <c r="G1" t="s">
        <v>77</v>
      </c>
      <c r="H1" t="s">
        <v>122</v>
      </c>
      <c r="I1" t="s">
        <v>125</v>
      </c>
      <c r="J1" t="s">
        <v>140</v>
      </c>
      <c r="K1" t="s">
        <v>149</v>
      </c>
      <c r="L1" t="s">
        <v>77</v>
      </c>
      <c r="M1" t="s">
        <v>92</v>
      </c>
      <c r="N1" t="s">
        <v>93</v>
      </c>
      <c r="O1" t="s">
        <v>144</v>
      </c>
      <c r="P1" t="s">
        <v>153</v>
      </c>
      <c r="Q1" t="s">
        <v>104</v>
      </c>
      <c r="R1" t="s">
        <v>105</v>
      </c>
      <c r="S1" t="s">
        <v>143</v>
      </c>
      <c r="T1" t="s">
        <v>152</v>
      </c>
      <c r="U1" t="s">
        <v>106</v>
      </c>
      <c r="V1" t="s">
        <v>107</v>
      </c>
      <c r="W1" t="s">
        <v>142</v>
      </c>
      <c r="X1" t="s">
        <v>151</v>
      </c>
      <c r="Y1" t="s">
        <v>109</v>
      </c>
      <c r="Z1" t="s">
        <v>110</v>
      </c>
      <c r="AA1" t="s">
        <v>141</v>
      </c>
      <c r="AB1" t="s">
        <v>150</v>
      </c>
      <c r="AC1" t="s">
        <v>77</v>
      </c>
    </row>
    <row r="2" spans="1:29">
      <c r="A2">
        <v>4</v>
      </c>
      <c r="B2">
        <v>2</v>
      </c>
      <c r="C2" t="s">
        <v>138</v>
      </c>
      <c r="D2" t="s">
        <v>145</v>
      </c>
      <c r="E2" t="s">
        <v>147</v>
      </c>
      <c r="F2" t="s">
        <v>148</v>
      </c>
      <c r="H2">
        <v>28</v>
      </c>
      <c r="I2">
        <v>32</v>
      </c>
      <c r="J2">
        <v>44</v>
      </c>
      <c r="K2">
        <v>18</v>
      </c>
      <c r="M2">
        <v>0</v>
      </c>
      <c r="N2">
        <v>0</v>
      </c>
      <c r="O2">
        <v>60000</v>
      </c>
      <c r="P2">
        <v>49000</v>
      </c>
      <c r="Q2">
        <v>29.11</v>
      </c>
      <c r="R2">
        <v>29.39</v>
      </c>
      <c r="S2">
        <v>37.22</v>
      </c>
      <c r="T2">
        <v>36.57</v>
      </c>
      <c r="U2">
        <v>20.795999999999999</v>
      </c>
      <c r="V2">
        <v>21.076000000000001</v>
      </c>
      <c r="W2">
        <v>28.905999999999999</v>
      </c>
      <c r="X2">
        <v>28.256</v>
      </c>
      <c r="Y2">
        <v>1</v>
      </c>
      <c r="Z2">
        <v>1</v>
      </c>
      <c r="AA2">
        <v>1</v>
      </c>
      <c r="AB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C2"/>
  <sheetViews>
    <sheetView workbookViewId="0">
      <selection activeCell="CR2" sqref="CR2"/>
    </sheetView>
  </sheetViews>
  <sheetFormatPr defaultColWidth="8.7109375" defaultRowHeight="15"/>
  <sheetData>
    <row r="1" spans="1:29">
      <c r="A1" t="s">
        <v>5</v>
      </c>
      <c r="B1" t="s">
        <v>134</v>
      </c>
      <c r="C1" t="s">
        <v>62</v>
      </c>
      <c r="D1" t="s">
        <v>63</v>
      </c>
      <c r="E1" t="s">
        <v>139</v>
      </c>
      <c r="F1" t="s">
        <v>146</v>
      </c>
      <c r="G1" t="s">
        <v>77</v>
      </c>
      <c r="H1" t="s">
        <v>122</v>
      </c>
      <c r="I1" t="s">
        <v>125</v>
      </c>
      <c r="J1" t="s">
        <v>140</v>
      </c>
      <c r="K1" t="s">
        <v>149</v>
      </c>
      <c r="L1" t="s">
        <v>77</v>
      </c>
      <c r="M1" t="s">
        <v>92</v>
      </c>
      <c r="N1" t="s">
        <v>93</v>
      </c>
      <c r="O1" t="s">
        <v>144</v>
      </c>
      <c r="P1" t="s">
        <v>153</v>
      </c>
      <c r="Q1" t="s">
        <v>104</v>
      </c>
      <c r="R1" t="s">
        <v>105</v>
      </c>
      <c r="S1" t="s">
        <v>143</v>
      </c>
      <c r="T1" t="s">
        <v>152</v>
      </c>
      <c r="U1" t="s">
        <v>106</v>
      </c>
      <c r="V1" t="s">
        <v>107</v>
      </c>
      <c r="W1" t="s">
        <v>142</v>
      </c>
      <c r="X1" t="s">
        <v>151</v>
      </c>
      <c r="Y1" t="s">
        <v>109</v>
      </c>
      <c r="Z1" t="s">
        <v>110</v>
      </c>
      <c r="AA1" t="s">
        <v>141</v>
      </c>
      <c r="AB1" t="s">
        <v>150</v>
      </c>
      <c r="AC1" t="s">
        <v>77</v>
      </c>
    </row>
    <row r="2" spans="1:29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1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2024-11-18T04:28:57Z</dcterms:modified>
</cp:coreProperties>
</file>