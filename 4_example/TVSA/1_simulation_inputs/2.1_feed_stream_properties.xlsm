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2.0\4_example\TVSA\1_simulation_inputs\"/>
    </mc:Choice>
  </mc:AlternateContent>
  <xr:revisionPtr revIDLastSave="0" documentId="13_ncr:1_{0D7F09FD-4B1D-434C-AD25-0DB410B75C56}" xr6:coauthVersionLast="47" xr6:coauthVersionMax="47" xr10:uidLastSave="{00000000-0000-0000-0000-000000000000}"/>
  <bookViews>
    <workbookView xWindow="-120" yWindow="-120" windowWidth="29040" windowHeight="15840" tabRatio="818" activeTab="1" xr2:uid="{CB583278-6AF7-49E7-A969-6064EAB4A9B4}"/>
  </bookViews>
  <sheets>
    <sheet name="Revision History" sheetId="4" r:id="rId1"/>
    <sheet name="Stream Properties" sheetId="39" r:id="rId2"/>
    <sheet name="Reference" sheetId="2" state="hidden" r:id="rId3"/>
    <sheet name="maintenance check list" sheetId="28" state="hidden" r:id="rId4"/>
    <sheet name="Data(Transposed)" sheetId="3" r:id="rId5"/>
    <sheet name="Data(Test)" sheetId="9" r:id="rId6"/>
  </sheets>
  <functionGroups builtInGroupCount="19"/>
  <externalReferences>
    <externalReference r:id="rId7"/>
    <externalReference r:id="rId8"/>
  </externalReferences>
  <definedNames>
    <definedName name="_xlnm._FilterDatabase" localSheetId="1" hidden="1">'Stream Properties'!$A$9:$J$10</definedName>
    <definedName name="_xlnm.Print_Area" localSheetId="0">'Revision History'!$C$3:$K$51</definedName>
    <definedName name="_xlnm.Print_Area" localSheetId="1">'Stream Properties'!$A$2:$J$21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4" i="39" l="1"/>
  <c r="H13" i="39"/>
  <c r="H12" i="39"/>
  <c r="I18" i="39"/>
  <c r="H18" i="39"/>
  <c r="I17" i="39"/>
  <c r="H17" i="39"/>
  <c r="I16" i="39"/>
  <c r="H16" i="39"/>
  <c r="I15" i="39"/>
  <c r="H15" i="39"/>
  <c r="H11" i="39" l="1"/>
  <c r="J4" i="39" l="1"/>
  <c r="J2" i="39"/>
  <c r="A2" i="39"/>
</calcChain>
</file>

<file path=xl/sharedStrings.xml><?xml version="1.0" encoding="utf-8"?>
<sst xmlns="http://schemas.openxmlformats.org/spreadsheetml/2006/main" count="220" uniqueCount="125">
  <si>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</si>
  <si>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</si>
  <si>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</si>
  <si>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</si>
  <si>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</si>
  <si>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</si>
  <si>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</si>
  <si>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</si>
  <si>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</si>
  <si>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</si>
  <si>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</si>
  <si>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</si>
  <si>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</si>
  <si>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</si>
  <si>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</si>
  <si>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</si>
  <si>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</si>
  <si>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</si>
  <si>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</si>
  <si>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</si>
  <si>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</si>
  <si>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</si>
  <si>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</si>
  <si>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</si>
  <si>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</si>
  <si>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</si>
  <si>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</si>
  <si>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</si>
  <si>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</si>
  <si>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</si>
  <si>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</si>
  <si>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</si>
  <si>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</si>
  <si>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</si>
  <si>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</si>
  <si>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</si>
  <si>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</si>
  <si>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</si>
  <si>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</si>
  <si>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</si>
  <si>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</si>
  <si>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</si>
  <si>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</si>
  <si>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</si>
  <si>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</si>
  <si>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</si>
  <si>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</si>
  <si>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</si>
  <si>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</si>
  <si>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</si>
  <si>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</si>
  <si>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</si>
  <si>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</si>
  <si>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</si>
  <si>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</si>
  <si>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</si>
  <si>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</si>
  <si>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</si>
  <si>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</si>
  <si>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</si>
  <si>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</si>
  <si>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</si>
  <si>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</si>
  <si>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</si>
  <si>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</si>
  <si>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</si>
  <si>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</si>
  <si>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yFeC1</t>
  </si>
  <si>
    <t>yFeC2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</si>
  <si>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</si>
  <si>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</si>
  <si>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</si>
  <si>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</si>
  <si>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</si>
  <si>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</si>
  <si>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</si>
  <si>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</si>
  <si>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</si>
  <si>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</si>
  <si>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</si>
  <si>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</si>
  <si>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</si>
  <si>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</si>
  <si>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</si>
  <si>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</si>
  <si>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</si>
  <si>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</si>
  <si>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</si>
  <si>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</si>
  <si>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</si>
  <si>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</si>
  <si>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</si>
  <si>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</si>
  <si>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</si>
  <si>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</si>
  <si>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</si>
  <si>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</si>
  <si>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</si>
  <si>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</si>
  <si>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</si>
  <si>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</si>
  <si>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</si>
  <si>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</si>
  <si>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</si>
  <si>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</si>
  <si>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</si>
  <si>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</si>
  <si>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</si>
  <si>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</si>
  <si>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</si>
  <si>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</si>
  <si>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</si>
  <si>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</si>
  <si>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</si>
  <si>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Finalized the spreadsheet for the v1.0 release</t>
  </si>
  <si>
    <t>The fixed feed mole fraction of ith component at a high pressure; the first component is the light key.</t>
  </si>
  <si>
    <t>The fixed temperature of the feed stream coming into the feed tank, after being compressed and passing through the heat exchanger.</t>
  </si>
  <si>
    <t>Initial development of the "2.1_feed_stream_properties.xlsm" sheet.</t>
  </si>
  <si>
    <t>REV. NO.2 (9/14/2022)</t>
  </si>
  <si>
    <t>yFeC3</t>
  </si>
  <si>
    <t>yFeTwoC1</t>
  </si>
  <si>
    <t>yFeTwoC2</t>
  </si>
  <si>
    <t>yFeTwoC3</t>
  </si>
  <si>
    <t>yFeTwoC4</t>
  </si>
  <si>
    <t>yFeC4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</si>
</sst>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1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5118"/>
          <a:ext cx="5967830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100-0000014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1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1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vikto\Documents\MATLAB\toPSAil\4_example\dev\1_simulation_inputs\1.2_adsorbate_properties.xlsm" TargetMode="External"/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vikto\Documents\MATLAB\toPSAil\4_example\tank_test\1_simulation_inputs\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4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22">
          <cell r="B22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21" totalsRowShown="0" headerRowDxfId="19" dataDxfId="17" headerRowBorderDxfId="18" tableBorderDxfId="16" totalsRowBorderDxfId="15">
  <autoFilter ref="A9:J21" xr:uid="{B089C5C3-2CCE-4800-96CA-2131BB6E3E4F}"/>
  <tableColumns count="10">
    <tableColumn id="1" xr3:uid="{8CA72147-4D79-4652-A9E9-87D51653DA84}" name="Variable" dataDxfId="14"/>
    <tableColumn id="4" xr3:uid="{E819EB63-CB5D-404C-B2BA-29FF258DB4F8}" name="Value" dataDxfId="13"/>
    <tableColumn id="5" xr3:uid="{1794E572-D285-47C1-B741-27E454FDF4FD}" name="Unit" dataDxfId="12"/>
    <tableColumn id="6" xr3:uid="{7F8A147E-F024-4089-965F-D6A02CD18DC6}" name="Comparisons" dataDxfId="11"/>
    <tableColumn id="7" xr3:uid="{59037F64-D8B7-466E-B9B6-97F14C2CBDD9}" name="Variable Type" dataDxfId="10"/>
    <tableColumn id="8" xr3:uid="{B3A5DFE8-8D61-4FFC-837B-F606356A99BD}" name="Dependency" dataDxfId="9"/>
    <tableColumn id="12" xr3:uid="{6C20D82D-93BB-42A1-A91B-759FC99CBE8C}" name="Test 1" dataDxfId="8"/>
    <tableColumn id="10" xr3:uid="{87C7F8B7-5A99-489D-AB7E-B6E5697C481A}" name="Test 2" dataDxfId="7"/>
    <tableColumn id="2" xr3:uid="{55413903-6AA5-4148-81F3-1F6AD647C108}" name="Test 3" dataDxfId="6"/>
    <tableColumn id="9" xr3:uid="{48D67C6B-2FDE-4718-AF32-11DEAACCFD0C}" name="Description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5" zeroHeight="1"/>
  <cols>
    <col min="1" max="2" width="3.28515625" style="32" hidden="1" customWidth="1"/>
    <col min="3" max="3" width="2.42578125" style="32" customWidth="1"/>
    <col min="4" max="4" width="13.7109375" style="32" customWidth="1"/>
    <col min="5" max="5" width="51.28515625" style="33" bestFit="1" customWidth="1"/>
    <col min="6" max="6" width="15.7109375" style="34" bestFit="1" customWidth="1"/>
    <col min="7" max="9" width="13.28515625" style="32" customWidth="1"/>
    <col min="10" max="10" width="48.7109375" style="32" customWidth="1"/>
    <col min="11" max="11" width="2.42578125" style="32" customWidth="1"/>
    <col min="12" max="12" width="0" style="32" hidden="1" customWidth="1"/>
    <col min="13" max="16384" width="9" style="32" hidden="1"/>
  </cols>
  <sheetData>
    <row r="3" spans="4:10"/>
    <row r="4" spans="4:10" ht="18.75">
      <c r="D4" s="46" t="s">
        <v>118</v>
      </c>
      <c r="E4" s="47"/>
      <c r="F4" s="48"/>
      <c r="G4" s="49"/>
      <c r="H4" s="49"/>
      <c r="I4" s="49"/>
      <c r="J4" s="35" t="s">
        <v>85</v>
      </c>
    </row>
    <row r="5" spans="4:10" ht="35.25">
      <c r="D5" s="52" t="s">
        <v>37</v>
      </c>
      <c r="E5" s="52"/>
      <c r="F5" s="52"/>
      <c r="G5" s="52"/>
      <c r="H5" s="52"/>
      <c r="I5" s="52"/>
      <c r="J5" s="52"/>
    </row>
    <row r="6" spans="4:10" ht="18.75">
      <c r="D6" s="43" t="s">
        <v>31</v>
      </c>
      <c r="E6" s="43" t="s">
        <v>113</v>
      </c>
      <c r="F6" s="43" t="s">
        <v>32</v>
      </c>
      <c r="G6" s="43" t="s">
        <v>33</v>
      </c>
      <c r="H6" s="43" t="s">
        <v>34</v>
      </c>
      <c r="I6" s="43" t="s">
        <v>35</v>
      </c>
      <c r="J6" s="43" t="s">
        <v>36</v>
      </c>
    </row>
    <row r="7" spans="4:10" ht="56.25">
      <c r="D7" s="36">
        <v>1</v>
      </c>
      <c r="E7" s="37" t="s">
        <v>117</v>
      </c>
      <c r="F7" s="38">
        <v>44720</v>
      </c>
      <c r="G7" s="36" t="s">
        <v>38</v>
      </c>
      <c r="H7" s="36"/>
      <c r="I7" s="36"/>
      <c r="J7" s="37"/>
    </row>
    <row r="8" spans="4:10" ht="37.5">
      <c r="D8" s="36">
        <v>2</v>
      </c>
      <c r="E8" s="37" t="s">
        <v>114</v>
      </c>
      <c r="F8" s="38">
        <v>44818</v>
      </c>
      <c r="G8" s="36" t="s">
        <v>38</v>
      </c>
      <c r="H8" s="36"/>
      <c r="I8" s="36"/>
      <c r="J8" s="37"/>
    </row>
    <row r="9" spans="4:10" ht="18.75">
      <c r="D9" s="36">
        <v>3</v>
      </c>
      <c r="E9" s="37"/>
      <c r="F9" s="38"/>
      <c r="G9" s="36"/>
      <c r="H9" s="36"/>
      <c r="I9" s="36"/>
      <c r="J9" s="37"/>
    </row>
    <row r="10" spans="4:10" ht="18.75">
      <c r="D10" s="36">
        <v>4</v>
      </c>
      <c r="E10" s="37"/>
      <c r="F10" s="38"/>
      <c r="G10" s="36"/>
      <c r="H10" s="36"/>
      <c r="I10" s="36"/>
      <c r="J10" s="37"/>
    </row>
    <row r="11" spans="4:10" ht="18.75">
      <c r="D11" s="36">
        <v>5</v>
      </c>
      <c r="E11" s="37"/>
      <c r="F11" s="38"/>
      <c r="G11" s="36"/>
      <c r="H11" s="36"/>
      <c r="I11" s="36"/>
      <c r="J11" s="37"/>
    </row>
    <row r="12" spans="4:10" ht="18.75">
      <c r="D12" s="36">
        <v>6</v>
      </c>
      <c r="E12" s="37"/>
      <c r="F12" s="38"/>
      <c r="G12" s="36"/>
      <c r="H12" s="36"/>
      <c r="I12" s="36"/>
      <c r="J12" s="37"/>
    </row>
    <row r="13" spans="4:10" ht="18.75">
      <c r="D13" s="36">
        <v>7</v>
      </c>
      <c r="E13" s="37"/>
      <c r="F13" s="38"/>
      <c r="G13" s="36"/>
      <c r="H13" s="36"/>
      <c r="I13" s="36"/>
      <c r="J13" s="37"/>
    </row>
    <row r="14" spans="4:10" ht="18.75">
      <c r="D14" s="36">
        <v>8</v>
      </c>
      <c r="E14" s="37"/>
      <c r="F14" s="38"/>
      <c r="G14" s="36"/>
      <c r="H14" s="36"/>
      <c r="I14" s="36"/>
      <c r="J14" s="37"/>
    </row>
    <row r="15" spans="4:10" ht="18.75">
      <c r="D15" s="36">
        <v>9</v>
      </c>
      <c r="E15" s="37"/>
      <c r="F15" s="38"/>
      <c r="G15" s="36"/>
      <c r="H15" s="36"/>
      <c r="I15" s="36"/>
      <c r="J15" s="37"/>
    </row>
    <row r="16" spans="4:10" ht="18.75">
      <c r="D16" s="36">
        <v>10</v>
      </c>
      <c r="E16" s="37"/>
      <c r="F16" s="38"/>
      <c r="G16" s="36"/>
      <c r="H16" s="36"/>
      <c r="I16" s="36"/>
      <c r="J16" s="39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21"/>
  <sheetViews>
    <sheetView showGridLines="0" tabSelected="1" topLeftCell="A2" zoomScale="85" zoomScaleNormal="85" zoomScaleSheetLayoutView="85" workbookViewId="0">
      <pane ySplit="8" topLeftCell="A10" activePane="bottomLeft" state="frozen"/>
      <selection activeCell="B2" sqref="B2"/>
      <selection pane="bottomLeft" activeCell="B21" sqref="B21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customWidth="1"/>
    <col min="7" max="9" width="15" style="3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40" t="str">
        <f>'Revision History'!$D$4</f>
        <v>REV. NO.2 (9/14/2022)</v>
      </c>
      <c r="B2" s="41"/>
      <c r="C2" s="41"/>
      <c r="D2" s="41"/>
      <c r="E2" s="41"/>
      <c r="F2" s="41"/>
      <c r="G2" s="41"/>
      <c r="H2" s="41"/>
      <c r="I2" s="41"/>
      <c r="J2" s="42" t="str">
        <f>'Revision History'!$J$4</f>
        <v>Scott Research Group (jkscottresearchgroup.com)</v>
      </c>
    </row>
    <row r="3" spans="1:10" ht="18.75">
      <c r="A3" s="53" t="s">
        <v>30</v>
      </c>
      <c r="B3" s="53"/>
      <c r="C3" s="53"/>
      <c r="D3" s="53"/>
      <c r="E3" s="53"/>
      <c r="F3" s="53"/>
      <c r="G3" s="53"/>
      <c r="H3" s="53"/>
      <c r="I3" s="53"/>
      <c r="J3" s="53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4" t="str">
        <f>IF(COUNTIF(Table11082[Test 3],1)=COUNTA(Table11082[Value]),"Ready","Not Ready")</f>
        <v>Ready</v>
      </c>
    </row>
    <row r="5" spans="1:10" ht="14.65" customHeight="1">
      <c r="A5" s="17"/>
      <c r="B5" s="18"/>
      <c r="C5" s="45"/>
      <c r="D5" s="45"/>
      <c r="E5" s="45"/>
      <c r="F5" s="45"/>
      <c r="G5" s="19"/>
      <c r="H5" s="45"/>
      <c r="I5" s="45"/>
      <c r="J5" s="55"/>
    </row>
    <row r="6" spans="1:10" ht="14.65" customHeight="1">
      <c r="A6" s="17"/>
      <c r="B6" s="18"/>
      <c r="C6" s="45"/>
      <c r="D6" s="45"/>
      <c r="E6" s="45"/>
      <c r="F6" s="45"/>
      <c r="G6" s="19"/>
      <c r="H6" s="45"/>
      <c r="I6" s="45"/>
      <c r="J6" s="55"/>
    </row>
    <row r="7" spans="1:10" ht="14.65" customHeight="1">
      <c r="A7" s="17"/>
      <c r="B7" s="18"/>
      <c r="C7" s="45"/>
      <c r="D7" s="45"/>
      <c r="E7" s="45"/>
      <c r="F7" s="45"/>
      <c r="G7" s="19"/>
      <c r="H7" s="45"/>
      <c r="I7" s="45"/>
      <c r="J7" s="55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56"/>
    </row>
    <row r="9" spans="1:10" ht="15">
      <c r="A9" s="25" t="s">
        <v>0</v>
      </c>
      <c r="B9" s="26" t="s">
        <v>1</v>
      </c>
      <c r="C9" s="26" t="s">
        <v>2</v>
      </c>
      <c r="D9" s="26" t="s">
        <v>14</v>
      </c>
      <c r="E9" s="26" t="s">
        <v>63</v>
      </c>
      <c r="F9" s="27" t="s">
        <v>39</v>
      </c>
      <c r="G9" s="27" t="s">
        <v>64</v>
      </c>
      <c r="H9" s="26" t="s">
        <v>65</v>
      </c>
      <c r="I9" s="28" t="s">
        <v>74</v>
      </c>
      <c r="J9" s="28" t="s">
        <v>12</v>
      </c>
    </row>
    <row r="10" spans="1:10" ht="60">
      <c r="A10" s="44" t="s">
        <v>97</v>
      </c>
      <c r="B10" s="29">
        <v>298</v>
      </c>
      <c r="C10" s="31" t="s">
        <v>20</v>
      </c>
      <c r="D10" s="1" t="s">
        <v>17</v>
      </c>
      <c r="E10" s="1" t="s">
        <v>7</v>
      </c>
      <c r="F10" s="2" t="s">
        <v>47</v>
      </c>
      <c r="G10" s="1">
        <v>1</v>
      </c>
      <c r="H10" s="1">
        <v>1</v>
      </c>
      <c r="I10" s="6">
        <v>1</v>
      </c>
      <c r="J10" s="5" t="s">
        <v>116</v>
      </c>
    </row>
    <row r="11" spans="1:10" ht="45">
      <c r="A11" s="4" t="s">
        <v>67</v>
      </c>
      <c r="B11" s="29">
        <v>0.78</v>
      </c>
      <c r="C11" s="2" t="s">
        <v>3</v>
      </c>
      <c r="D11" s="1" t="s">
        <v>23</v>
      </c>
      <c r="E11" s="1" t="s">
        <v>7</v>
      </c>
      <c r="F11" s="2" t="s">
        <v>40</v>
      </c>
      <c r="G11" s="1">
        <v>1</v>
      </c>
      <c r="H11" s="50">
        <f>[1]Initialization!$B$10</f>
        <v>4</v>
      </c>
      <c r="I11" s="6">
        <v>1</v>
      </c>
      <c r="J11" s="5" t="s">
        <v>115</v>
      </c>
    </row>
    <row r="12" spans="1:10" ht="45">
      <c r="A12" s="4" t="s">
        <v>68</v>
      </c>
      <c r="B12" s="29">
        <v>0.21</v>
      </c>
      <c r="C12" s="2" t="s">
        <v>3</v>
      </c>
      <c r="D12" s="1" t="s">
        <v>23</v>
      </c>
      <c r="E12" s="1" t="s">
        <v>7</v>
      </c>
      <c r="F12" s="2" t="s">
        <v>40</v>
      </c>
      <c r="G12" s="1"/>
      <c r="H12" s="50">
        <f>[1]Initialization!$B$10</f>
        <v>4</v>
      </c>
      <c r="I12" s="6">
        <v>1</v>
      </c>
      <c r="J12" s="5" t="s">
        <v>115</v>
      </c>
    </row>
    <row r="13" spans="1:10" ht="45">
      <c r="A13" s="4" t="s">
        <v>119</v>
      </c>
      <c r="B13" s="29">
        <v>0.01</v>
      </c>
      <c r="C13" s="2" t="s">
        <v>3</v>
      </c>
      <c r="D13" s="1" t="s">
        <v>23</v>
      </c>
      <c r="E13" s="1" t="s">
        <v>7</v>
      </c>
      <c r="F13" s="2" t="s">
        <v>40</v>
      </c>
      <c r="G13" s="1"/>
      <c r="H13" s="50">
        <f>[1]Initialization!$B$10</f>
        <v>4</v>
      </c>
      <c r="I13" s="6">
        <v>1</v>
      </c>
      <c r="J13" s="5" t="s">
        <v>115</v>
      </c>
    </row>
    <row r="14" spans="1:10" ht="45">
      <c r="A14" s="4" t="s">
        <v>124</v>
      </c>
      <c r="B14" s="29">
        <v>0</v>
      </c>
      <c r="C14" s="2" t="s">
        <v>3</v>
      </c>
      <c r="D14" s="1" t="s">
        <v>23</v>
      </c>
      <c r="E14" s="1" t="s">
        <v>7</v>
      </c>
      <c r="F14" s="2" t="s">
        <v>40</v>
      </c>
      <c r="G14" s="1"/>
      <c r="H14" s="50">
        <f>[1]Initialization!$B$10</f>
        <v>4</v>
      </c>
      <c r="I14" s="6">
        <v>1</v>
      </c>
      <c r="J14" s="5" t="s">
        <v>115</v>
      </c>
    </row>
    <row r="15" spans="1:10" ht="45">
      <c r="A15" s="44" t="s">
        <v>120</v>
      </c>
      <c r="B15" s="29">
        <v>0</v>
      </c>
      <c r="C15" s="2" t="s">
        <v>3</v>
      </c>
      <c r="D15" s="1" t="s">
        <v>23</v>
      </c>
      <c r="E15" s="1" t="s">
        <v>7</v>
      </c>
      <c r="F15" s="2" t="s">
        <v>40</v>
      </c>
      <c r="G15" s="1">
        <v>1</v>
      </c>
      <c r="H15" s="50">
        <f>[1]Initialization!$B$10</f>
        <v>4</v>
      </c>
      <c r="I15" s="6">
        <f>[2]Initialization!$B$22</f>
        <v>1</v>
      </c>
      <c r="J15" s="5" t="s">
        <v>115</v>
      </c>
    </row>
    <row r="16" spans="1:10" ht="45">
      <c r="A16" s="44" t="s">
        <v>121</v>
      </c>
      <c r="B16" s="29">
        <v>0</v>
      </c>
      <c r="C16" s="2" t="s">
        <v>3</v>
      </c>
      <c r="D16" s="1" t="s">
        <v>23</v>
      </c>
      <c r="E16" s="1" t="s">
        <v>7</v>
      </c>
      <c r="F16" s="2" t="s">
        <v>40</v>
      </c>
      <c r="G16" s="1"/>
      <c r="H16" s="50">
        <f>[1]Initialization!$B$10</f>
        <v>4</v>
      </c>
      <c r="I16" s="6">
        <f>[2]Initialization!$B$22</f>
        <v>1</v>
      </c>
      <c r="J16" s="5" t="s">
        <v>115</v>
      </c>
    </row>
    <row r="17" spans="1:10" ht="45">
      <c r="A17" s="44" t="s">
        <v>122</v>
      </c>
      <c r="B17" s="29">
        <v>0</v>
      </c>
      <c r="C17" s="2" t="s">
        <v>3</v>
      </c>
      <c r="D17" s="1" t="s">
        <v>23</v>
      </c>
      <c r="E17" s="1" t="s">
        <v>7</v>
      </c>
      <c r="F17" s="2" t="s">
        <v>40</v>
      </c>
      <c r="G17" s="1"/>
      <c r="H17" s="50">
        <f>[1]Initialization!$B$10</f>
        <v>4</v>
      </c>
      <c r="I17" s="6">
        <f>[2]Initialization!$B$22</f>
        <v>1</v>
      </c>
      <c r="J17" s="5" t="s">
        <v>115</v>
      </c>
    </row>
    <row r="18" spans="1:10" ht="45">
      <c r="A18" s="44" t="s">
        <v>123</v>
      </c>
      <c r="B18" s="29">
        <v>1</v>
      </c>
      <c r="C18" s="2" t="s">
        <v>3</v>
      </c>
      <c r="D18" s="1" t="s">
        <v>23</v>
      </c>
      <c r="E18" s="1" t="s">
        <v>7</v>
      </c>
      <c r="F18" s="2" t="s">
        <v>40</v>
      </c>
      <c r="G18" s="1"/>
      <c r="H18" s="50">
        <f>[1]Initialization!$B$10</f>
        <v>4</v>
      </c>
      <c r="I18" s="6">
        <f>[2]Initialization!$B$22</f>
        <v>1</v>
      </c>
      <c r="J18" s="5" t="s">
        <v>115</v>
      </c>
    </row>
    <row r="19" spans="1:10" ht="15">
      <c r="A19" s="44" t="s">
        <v>107</v>
      </c>
      <c r="B19" s="29">
        <v>1.225E-3</v>
      </c>
      <c r="C19" s="31" t="s">
        <v>108</v>
      </c>
      <c r="D19" s="1" t="s">
        <v>27</v>
      </c>
      <c r="E19" s="1" t="s">
        <v>7</v>
      </c>
      <c r="F19" s="2" t="s">
        <v>48</v>
      </c>
      <c r="G19" s="1">
        <v>1</v>
      </c>
      <c r="H19" s="1">
        <v>1</v>
      </c>
      <c r="I19" s="6">
        <v>1</v>
      </c>
      <c r="J19" s="5" t="s">
        <v>109</v>
      </c>
    </row>
    <row r="20" spans="1:10" ht="15">
      <c r="A20" s="44" t="s">
        <v>110</v>
      </c>
      <c r="B20" s="51">
        <v>1.8099999999999999E-5</v>
      </c>
      <c r="C20" s="31" t="s">
        <v>111</v>
      </c>
      <c r="D20" s="1" t="s">
        <v>27</v>
      </c>
      <c r="E20" s="1" t="s">
        <v>7</v>
      </c>
      <c r="F20" s="2" t="s">
        <v>48</v>
      </c>
      <c r="G20" s="1">
        <v>1</v>
      </c>
      <c r="H20" s="1">
        <v>1</v>
      </c>
      <c r="I20" s="6">
        <v>1</v>
      </c>
      <c r="J20" s="5" t="s">
        <v>112</v>
      </c>
    </row>
    <row r="21" spans="1:10" ht="15">
      <c r="A21" s="8" t="s">
        <v>78</v>
      </c>
      <c r="B21" s="30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H/Pnm2h9bgWs558QOa2iWMIOAVC3RDziqyxR36ByWeTbRsZquh3Q3Bb+mx3gWfagm0eNp0UW4XZX9PF4N+vDiQ==" saltValue="Nmzj9/BvfJ3Bv2AkSvZxsA==" spinCount="100000" sheet="1" objects="1" scenarios="1" selectLockedCells="1"/>
  <mergeCells count="2">
    <mergeCell ref="A3:J3"/>
    <mergeCell ref="J4:J8"/>
  </mergeCells>
  <conditionalFormatting sqref="B10:B21">
    <cfRule type="expression" dxfId="4" priority="10">
      <formula>IF(AND($B10&lt;&gt;"",$I10=0),1,0)</formula>
    </cfRule>
    <cfRule type="expression" dxfId="3" priority="11">
      <formula>IF($B10&lt;&gt;"",1,0)</formula>
    </cfRule>
    <cfRule type="expression" dxfId="2" priority="12">
      <formula>$I10=0</formula>
    </cfRule>
  </conditionalFormatting>
  <conditionalFormatting sqref="J4">
    <cfRule type="expression" dxfId="1" priority="258">
      <formula>IF(COUNTA($B$10:$B$21)&lt;&gt;COUNTIF($I$10:$I$21,1),1,0)</formula>
    </cfRule>
    <cfRule type="expression" dxfId="0" priority="259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180975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E10:E21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D10:D21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39</v>
      </c>
      <c r="D1" t="s">
        <v>66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93</v>
      </c>
      <c r="S1" t="s">
        <v>94</v>
      </c>
      <c r="T1" t="s">
        <v>98</v>
      </c>
      <c r="U1" t="s">
        <v>99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25</v>
      </c>
      <c r="C3" t="s">
        <v>40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100</v>
      </c>
    </row>
    <row r="4" spans="1:21">
      <c r="A4" t="s">
        <v>82</v>
      </c>
      <c r="B4" t="s">
        <v>22</v>
      </c>
      <c r="C4" t="s">
        <v>44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101</v>
      </c>
    </row>
    <row r="5" spans="1:21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102</v>
      </c>
    </row>
    <row r="6" spans="1:21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103</v>
      </c>
    </row>
    <row r="7" spans="1:21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104</v>
      </c>
    </row>
    <row r="8" spans="1:21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105</v>
      </c>
    </row>
    <row r="9" spans="1:21">
      <c r="B9" t="s">
        <v>90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106</v>
      </c>
    </row>
    <row r="10" spans="1:21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95</v>
      </c>
    </row>
    <row r="12" spans="1:21">
      <c r="B12" t="s">
        <v>91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52</v>
      </c>
      <c r="J13">
        <v>1</v>
      </c>
    </row>
    <row r="14" spans="1:21">
      <c r="B14" t="s">
        <v>21</v>
      </c>
      <c r="C14" t="s">
        <v>53</v>
      </c>
      <c r="J14">
        <v>2</v>
      </c>
    </row>
    <row r="15" spans="1:21">
      <c r="B15" t="s">
        <v>15</v>
      </c>
      <c r="C15" t="s">
        <v>54</v>
      </c>
    </row>
    <row r="16" spans="1:21">
      <c r="B16" t="s">
        <v>58</v>
      </c>
      <c r="C16" t="s">
        <v>55</v>
      </c>
      <c r="J16" t="s">
        <v>96</v>
      </c>
    </row>
    <row r="17" spans="2:10">
      <c r="B17" t="s">
        <v>18</v>
      </c>
      <c r="C17" t="s">
        <v>56</v>
      </c>
      <c r="J17" t="s">
        <v>8</v>
      </c>
    </row>
    <row r="18" spans="2:10">
      <c r="B18" t="s">
        <v>19</v>
      </c>
      <c r="C18" t="s">
        <v>57</v>
      </c>
      <c r="J18">
        <v>1</v>
      </c>
    </row>
    <row r="19" spans="2:10">
      <c r="C19" t="s">
        <v>29</v>
      </c>
      <c r="J19">
        <v>2</v>
      </c>
    </row>
    <row r="20" spans="2:10">
      <c r="C20" t="s">
        <v>4</v>
      </c>
      <c r="J20">
        <v>3</v>
      </c>
    </row>
    <row r="21" spans="2:10">
      <c r="C21" t="s">
        <v>42</v>
      </c>
      <c r="J21">
        <v>4</v>
      </c>
    </row>
    <row r="22" spans="2:10">
      <c r="C22" t="s">
        <v>41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88</v>
      </c>
    </row>
    <row r="2" spans="1:1">
      <c r="A2" t="s">
        <v>86</v>
      </c>
    </row>
    <row r="3" spans="1:1">
      <c r="A3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L2"/>
  <sheetViews>
    <sheetView workbookViewId="0">
      <selection activeCell="CM2" sqref="CM2"/>
    </sheetView>
  </sheetViews>
  <sheetFormatPr defaultColWidth="8.7109375" defaultRowHeight="15"/>
  <sheetData>
    <row r="1" spans="1:12">
      <c r="A1" t="s">
        <v>97</v>
      </c>
      <c r="B1" t="s">
        <v>67</v>
      </c>
      <c r="C1" t="s">
        <v>68</v>
      </c>
      <c r="D1" t="s">
        <v>119</v>
      </c>
      <c r="E1" t="s">
        <v>124</v>
      </c>
      <c r="F1" t="s">
        <v>120</v>
      </c>
      <c r="G1" t="s">
        <v>121</v>
      </c>
      <c r="H1" t="s">
        <v>122</v>
      </c>
      <c r="I1" t="s">
        <v>123</v>
      </c>
      <c r="J1" t="s">
        <v>107</v>
      </c>
      <c r="K1" t="s">
        <v>110</v>
      </c>
      <c r="L1" t="s">
        <v>78</v>
      </c>
    </row>
    <row r="2" spans="1:12">
      <c r="A2">
        <v>298</v>
      </c>
      <c r="B2">
        <v>0.78</v>
      </c>
      <c r="C2">
        <v>0.21</v>
      </c>
      <c r="D2">
        <v>0.01</v>
      </c>
      <c r="E2">
        <v>0</v>
      </c>
      <c r="F2">
        <v>0</v>
      </c>
      <c r="G2">
        <v>0</v>
      </c>
      <c r="H2">
        <v>0</v>
      </c>
      <c r="I2">
        <v>1</v>
      </c>
      <c r="J2">
        <v>1.225E-3</v>
      </c>
      <c r="K2">
        <v>1.8099999999999999E-5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L2"/>
  <sheetViews>
    <sheetView workbookViewId="0">
      <selection activeCell="CR2" sqref="CR2"/>
    </sheetView>
  </sheetViews>
  <sheetFormatPr defaultColWidth="8.7109375" defaultRowHeight="15"/>
  <sheetData>
    <row r="1" spans="1:12">
      <c r="A1" t="s">
        <v>97</v>
      </c>
      <c r="B1" t="s">
        <v>67</v>
      </c>
      <c r="C1" t="s">
        <v>68</v>
      </c>
      <c r="D1" t="s">
        <v>119</v>
      </c>
      <c r="E1" t="s">
        <v>124</v>
      </c>
      <c r="F1" t="s">
        <v>120</v>
      </c>
      <c r="G1" t="s">
        <v>121</v>
      </c>
      <c r="H1" t="s">
        <v>122</v>
      </c>
      <c r="I1" t="s">
        <v>123</v>
      </c>
      <c r="J1" t="s">
        <v>107</v>
      </c>
      <c r="K1" t="s">
        <v>110</v>
      </c>
      <c r="L1" t="s">
        <v>78</v>
      </c>
    </row>
    <row r="2" spans="1:1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Stream Properties</vt:lpstr>
      <vt:lpstr>Reference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2024-11-15T19:34:24Z</dcterms:modified>
</cp:coreProperties>
</file>