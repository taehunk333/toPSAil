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2E52CBC9-B3C2-1540-B1D5-3E9D60488E26}" xr6:coauthVersionLast="47" xr6:coauthVersionMax="47" xr10:uidLastSave="{00000000-0000-0000-0000-000000000000}"/>
  <bookViews>
    <workbookView xWindow="0" yWindow="880" windowWidth="29040" windowHeight="15840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4" i="39" l="1"/>
  <c r="H13" i="39"/>
  <c r="H12" i="39"/>
  <c r="I18" i="39"/>
  <c r="H18" i="39"/>
  <c r="I17" i="39"/>
  <c r="H17" i="39"/>
  <c r="I16" i="39"/>
  <c r="H16" i="39"/>
  <c r="I15" i="39"/>
  <c r="H15" i="39"/>
  <c r="H11" i="39" l="1"/>
  <c r="J4" i="39" l="1"/>
  <c r="J2" i="39"/>
  <c r="A2" i="39"/>
</calcChain>
</file>

<file path=xl/sharedStrings.xml><?xml version="1.0" encoding="utf-8"?>
<sst xmlns="http://schemas.openxmlformats.org/spreadsheetml/2006/main" count="220" uniqueCount="125">
  <si>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</si>
  <si>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</si>
  <si>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</si>
  <si>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</si>
  <si>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</si>
  <si>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</si>
  <si>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</si>
  <si>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</si>
  <si>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</si>
  <si>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</si>
  <si>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</si>
  <si>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</si>
  <si>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</si>
  <si>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</si>
  <si>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</si>
  <si>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</si>
  <si>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</si>
  <si>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</si>
  <si>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</si>
  <si>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</si>
  <si>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</si>
  <si>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</si>
  <si>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</si>
  <si>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</si>
  <si>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</si>
  <si>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</si>
  <si>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</si>
  <si>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</si>
  <si>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</si>
  <si>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</si>
  <si>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</si>
  <si>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</si>
  <si>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</si>
  <si>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</si>
  <si>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</si>
  <si>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</si>
  <si>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</si>
  <si>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</si>
  <si>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</si>
  <si>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</si>
  <si>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</si>
  <si>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</si>
  <si>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</si>
  <si>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</si>
  <si>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</si>
  <si>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</si>
  <si>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</si>
  <si>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</si>
  <si>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</si>
  <si>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</si>
  <si>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</si>
  <si>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</si>
  <si>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</si>
  <si>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</si>
  <si>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</si>
  <si>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</si>
  <si>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</si>
  <si>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</si>
  <si>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</si>
  <si>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</si>
  <si>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</si>
  <si>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</si>
  <si>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</si>
  <si>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</si>
  <si>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</si>
  <si>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</si>
  <si>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</si>
  <si>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</si>
  <si>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</si>
  <si>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</si>
  <si>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</si>
  <si>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</si>
  <si>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</si>
  <si>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</si>
  <si>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</si>
  <si>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</si>
  <si>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</si>
  <si>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</si>
  <si>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</si>
  <si>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</si>
  <si>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</si>
  <si>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</si>
  <si>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</si>
  <si>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</si>
  <si>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</si>
  <si>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</si>
  <si>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</si>
  <si>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</si>
  <si>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</si>
  <si>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</si>
  <si>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</si>
  <si>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</si>
  <si>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</si>
  <si>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</si>
  <si>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</si>
  <si>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</si>
  <si>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</si>
  <si>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</si>
  <si>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</si>
  <si>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</si>
  <si>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</si>
  <si>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</si>
  <si>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</si>
  <si>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</si>
  <si>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</si>
  <si>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</si>
  <si>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</si>
  <si>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</si>
  <si>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</si>
  <si>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</si>
  <si>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</si>
  <si>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</si>
  <si>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</si>
  <si>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</si>
  <si>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</si>
  <si>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</si>
  <si>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</si>
  <si>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</si>
  <si>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</si>
  <si>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</si>
  <si>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</si>
  <si>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</si>
  <si>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</si>
  <si>
    <t>yFeTwoC4</t>
  </si>
  <si>
    <t>yFeC4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</si>
</sst>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tank_test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22">
          <cell r="B2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21" totalsRowShown="0" headerRowDxfId="14" dataDxfId="12" headerRowBorderDxfId="13" tableBorderDxfId="11" totalsRowBorderDxfId="10">
  <autoFilter ref="A9:J21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6640625" style="32" customWidth="1"/>
    <col min="5" max="5" width="51.33203125" style="33" bestFit="1" customWidth="1"/>
    <col min="6" max="6" width="15.6640625" style="34" bestFit="1" customWidth="1"/>
    <col min="7" max="9" width="13.33203125" style="32" customWidth="1"/>
    <col min="10" max="10" width="48.66406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40" x14ac:dyDescent="0.2">
      <c r="D5" s="52" t="s">
        <v>37</v>
      </c>
      <c r="E5" s="52"/>
      <c r="F5" s="52"/>
      <c r="G5" s="52"/>
      <c r="H5" s="52"/>
      <c r="I5" s="52"/>
      <c r="J5" s="52"/>
    </row>
    <row r="6" spans="4:10" ht="20" x14ac:dyDescent="0.2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60" x14ac:dyDescent="0.2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40" x14ac:dyDescent="0.2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21"/>
  <sheetViews>
    <sheetView showGridLines="0" tabSelected="1" topLeftCell="A2" zoomScale="85" zoomScaleNormal="85" zoomScaleSheetLayoutView="85" workbookViewId="0">
      <pane ySplit="8" topLeftCell="A10" activePane="bottomLeft" state="frozen"/>
      <selection activeCell="B2" sqref="B2"/>
      <selection pane="bottomLeft" activeCell="B21" sqref="B2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9" x14ac:dyDescent="0.2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75" customHeight="1" x14ac:dyDescent="0.2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75" customHeight="1" x14ac:dyDescent="0.2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8" x14ac:dyDescent="0.2">
      <c r="A10" s="44" t="s">
        <v>97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32" x14ac:dyDescent="0.2">
      <c r="A11" s="4" t="s">
        <v>67</v>
      </c>
      <c r="B11" s="29">
        <v>0.78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4</v>
      </c>
      <c r="I11" s="6">
        <v>1</v>
      </c>
      <c r="J11" s="5" t="s">
        <v>115</v>
      </c>
    </row>
    <row r="12" spans="1:10" ht="32" x14ac:dyDescent="0.2">
      <c r="A12" s="4" t="s">
        <v>68</v>
      </c>
      <c r="B12" s="29">
        <v>0.21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4</v>
      </c>
      <c r="I12" s="6">
        <v>1</v>
      </c>
      <c r="J12" s="5" t="s">
        <v>115</v>
      </c>
    </row>
    <row r="13" spans="1:10" ht="32" x14ac:dyDescent="0.2">
      <c r="A13" s="4" t="s">
        <v>119</v>
      </c>
      <c r="B13" s="29">
        <v>0.01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4</v>
      </c>
      <c r="I13" s="6">
        <v>1</v>
      </c>
      <c r="J13" s="5" t="s">
        <v>115</v>
      </c>
    </row>
    <row r="14" spans="1:10" ht="32" x14ac:dyDescent="0.2">
      <c r="A14" s="4" t="s">
        <v>124</v>
      </c>
      <c r="B14" s="29">
        <v>0</v>
      </c>
      <c r="C14" s="2" t="s">
        <v>3</v>
      </c>
      <c r="D14" s="1" t="s">
        <v>23</v>
      </c>
      <c r="E14" s="1" t="s">
        <v>7</v>
      </c>
      <c r="F14" s="2" t="s">
        <v>40</v>
      </c>
      <c r="G14" s="1"/>
      <c r="H14" s="50">
        <f>[1]Initialization!$B$10</f>
        <v>4</v>
      </c>
      <c r="I14" s="6">
        <v>1</v>
      </c>
      <c r="J14" s="5" t="s">
        <v>115</v>
      </c>
    </row>
    <row r="15" spans="1:10" ht="32" x14ac:dyDescent="0.2">
      <c r="A15" s="44" t="s">
        <v>120</v>
      </c>
      <c r="B15" s="29">
        <v>0</v>
      </c>
      <c r="C15" s="2" t="s">
        <v>3</v>
      </c>
      <c r="D15" s="1" t="s">
        <v>23</v>
      </c>
      <c r="E15" s="1" t="s">
        <v>7</v>
      </c>
      <c r="F15" s="2" t="s">
        <v>40</v>
      </c>
      <c r="G15" s="1">
        <v>1</v>
      </c>
      <c r="H15" s="50">
        <f>[1]Initialization!$B$10</f>
        <v>4</v>
      </c>
      <c r="I15" s="6">
        <f>[2]Initialization!$B$22</f>
        <v>1</v>
      </c>
      <c r="J15" s="5" t="s">
        <v>115</v>
      </c>
    </row>
    <row r="16" spans="1:10" ht="32" x14ac:dyDescent="0.2">
      <c r="A16" s="44" t="s">
        <v>121</v>
      </c>
      <c r="B16" s="29">
        <v>0</v>
      </c>
      <c r="C16" s="2" t="s">
        <v>3</v>
      </c>
      <c r="D16" s="1" t="s">
        <v>23</v>
      </c>
      <c r="E16" s="1" t="s">
        <v>7</v>
      </c>
      <c r="F16" s="2" t="s">
        <v>40</v>
      </c>
      <c r="G16" s="1"/>
      <c r="H16" s="50">
        <f>[1]Initialization!$B$10</f>
        <v>4</v>
      </c>
      <c r="I16" s="6">
        <f>[2]Initialization!$B$22</f>
        <v>1</v>
      </c>
      <c r="J16" s="5" t="s">
        <v>115</v>
      </c>
    </row>
    <row r="17" spans="1:10" ht="32" x14ac:dyDescent="0.2">
      <c r="A17" s="44" t="s">
        <v>122</v>
      </c>
      <c r="B17" s="29">
        <v>0</v>
      </c>
      <c r="C17" s="2" t="s">
        <v>3</v>
      </c>
      <c r="D17" s="1" t="s">
        <v>23</v>
      </c>
      <c r="E17" s="1" t="s">
        <v>7</v>
      </c>
      <c r="F17" s="2" t="s">
        <v>40</v>
      </c>
      <c r="G17" s="1"/>
      <c r="H17" s="50">
        <f>[1]Initialization!$B$10</f>
        <v>4</v>
      </c>
      <c r="I17" s="6">
        <f>[2]Initialization!$B$22</f>
        <v>1</v>
      </c>
      <c r="J17" s="5" t="s">
        <v>115</v>
      </c>
    </row>
    <row r="18" spans="1:10" ht="32" x14ac:dyDescent="0.2">
      <c r="A18" s="44" t="s">
        <v>123</v>
      </c>
      <c r="B18" s="29">
        <v>1</v>
      </c>
      <c r="C18" s="2" t="s">
        <v>3</v>
      </c>
      <c r="D18" s="1" t="s">
        <v>23</v>
      </c>
      <c r="E18" s="1" t="s">
        <v>7</v>
      </c>
      <c r="F18" s="2" t="s">
        <v>40</v>
      </c>
      <c r="G18" s="1"/>
      <c r="H18" s="50">
        <f>[1]Initialization!$B$10</f>
        <v>4</v>
      </c>
      <c r="I18" s="6">
        <f>[2]Initialization!$B$22</f>
        <v>1</v>
      </c>
      <c r="J18" s="5" t="s">
        <v>115</v>
      </c>
    </row>
    <row r="19" spans="1:10" ht="16" x14ac:dyDescent="0.2">
      <c r="A19" s="44" t="s">
        <v>107</v>
      </c>
      <c r="B19" s="29">
        <v>1.225E-3</v>
      </c>
      <c r="C19" s="31" t="s">
        <v>108</v>
      </c>
      <c r="D19" s="1" t="s">
        <v>27</v>
      </c>
      <c r="E19" s="1" t="s">
        <v>7</v>
      </c>
      <c r="F19" s="2" t="s">
        <v>48</v>
      </c>
      <c r="G19" s="1">
        <v>1</v>
      </c>
      <c r="H19" s="1">
        <v>1</v>
      </c>
      <c r="I19" s="6">
        <v>1</v>
      </c>
      <c r="J19" s="5" t="s">
        <v>109</v>
      </c>
    </row>
    <row r="20" spans="1:10" ht="16" x14ac:dyDescent="0.2">
      <c r="A20" s="44" t="s">
        <v>110</v>
      </c>
      <c r="B20" s="51">
        <v>1.8099999999999999E-5</v>
      </c>
      <c r="C20" s="31" t="s">
        <v>111</v>
      </c>
      <c r="D20" s="1" t="s">
        <v>27</v>
      </c>
      <c r="E20" s="1" t="s">
        <v>7</v>
      </c>
      <c r="F20" s="2" t="s">
        <v>48</v>
      </c>
      <c r="G20" s="1">
        <v>1</v>
      </c>
      <c r="H20" s="1">
        <v>1</v>
      </c>
      <c r="I20" s="6">
        <v>1</v>
      </c>
      <c r="J20" s="5" t="s">
        <v>112</v>
      </c>
    </row>
    <row r="21" spans="1:10" ht="16" x14ac:dyDescent="0.2">
      <c r="A21" s="8" t="s">
        <v>78</v>
      </c>
      <c r="B21" s="30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vaN2TCm6HQE+g/pDwfTdZmmoX89myod/bstX2JxaJKvlvKnkql0Ws/eV99SEBPBi2a3wkYLtDNBhWXH1xaxUeQ==" saltValue="UhK/3dFQnyP7cRh2kzsgmA==" spinCount="100000" sheet="1" objects="1" scenarios="1" selectLockedCells="1"/>
  <mergeCells count="2">
    <mergeCell ref="A3:J3"/>
    <mergeCell ref="J4:J8"/>
  </mergeCells>
  <conditionalFormatting sqref="B10:B21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258">
      <formula>IF(COUNTA($B$10:$B$21)&lt;&gt;COUNTIF($I$10:$I$21,1),1,0)</formula>
    </cfRule>
    <cfRule type="expression" dxfId="15" priority="259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E10:E21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D10:D21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 x14ac:dyDescent="0.2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 x14ac:dyDescent="0.2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 x14ac:dyDescent="0.2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 x14ac:dyDescent="0.2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 x14ac:dyDescent="0.2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 x14ac:dyDescent="0.2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 x14ac:dyDescent="0.2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 x14ac:dyDescent="0.2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52</v>
      </c>
      <c r="J13">
        <v>1</v>
      </c>
    </row>
    <row r="14" spans="1:21" x14ac:dyDescent="0.2">
      <c r="B14" t="s">
        <v>21</v>
      </c>
      <c r="C14" t="s">
        <v>53</v>
      </c>
      <c r="J14">
        <v>2</v>
      </c>
    </row>
    <row r="15" spans="1:21" x14ac:dyDescent="0.2">
      <c r="B15" t="s">
        <v>15</v>
      </c>
      <c r="C15" t="s">
        <v>54</v>
      </c>
    </row>
    <row r="16" spans="1:21" x14ac:dyDescent="0.2">
      <c r="B16" t="s">
        <v>58</v>
      </c>
      <c r="C16" t="s">
        <v>55</v>
      </c>
      <c r="J16" t="s">
        <v>96</v>
      </c>
    </row>
    <row r="17" spans="2:10" x14ac:dyDescent="0.2">
      <c r="B17" t="s">
        <v>18</v>
      </c>
      <c r="C17" t="s">
        <v>56</v>
      </c>
      <c r="J17" t="s">
        <v>8</v>
      </c>
    </row>
    <row r="18" spans="2:10" x14ac:dyDescent="0.2">
      <c r="B18" t="s">
        <v>19</v>
      </c>
      <c r="C18" t="s">
        <v>57</v>
      </c>
      <c r="J18">
        <v>1</v>
      </c>
    </row>
    <row r="19" spans="2:10" x14ac:dyDescent="0.2">
      <c r="C19" t="s">
        <v>29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42</v>
      </c>
      <c r="J21">
        <v>4</v>
      </c>
    </row>
    <row r="22" spans="2:10" x14ac:dyDescent="0.2">
      <c r="C22" t="s">
        <v>41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L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2" x14ac:dyDescent="0.2">
      <c r="A1" t="s">
        <v>97</v>
      </c>
      <c r="B1" t="s">
        <v>67</v>
      </c>
      <c r="C1" t="s">
        <v>68</v>
      </c>
      <c r="D1" t="s">
        <v>119</v>
      </c>
      <c r="E1" t="s">
        <v>124</v>
      </c>
      <c r="F1" t="s">
        <v>120</v>
      </c>
      <c r="G1" t="s">
        <v>121</v>
      </c>
      <c r="H1" t="s">
        <v>122</v>
      </c>
      <c r="I1" t="s">
        <v>123</v>
      </c>
      <c r="J1" t="s">
        <v>107</v>
      </c>
      <c r="K1" t="s">
        <v>110</v>
      </c>
      <c r="L1" t="s">
        <v>78</v>
      </c>
    </row>
    <row r="2" spans="1:12" x14ac:dyDescent="0.2">
      <c r="A2">
        <v>298</v>
      </c>
      <c r="B2">
        <v>0.78</v>
      </c>
      <c r="C2">
        <v>0.21</v>
      </c>
      <c r="D2">
        <v>0.01</v>
      </c>
      <c r="E2">
        <v>0</v>
      </c>
      <c r="F2">
        <v>0</v>
      </c>
      <c r="G2">
        <v>0</v>
      </c>
      <c r="H2">
        <v>0</v>
      </c>
      <c r="I2">
        <v>1</v>
      </c>
      <c r="J2">
        <v>1.225E-3</v>
      </c>
      <c r="K2">
        <v>1.8099999999999999E-5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L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2" x14ac:dyDescent="0.2">
      <c r="A1" t="s">
        <v>97</v>
      </c>
      <c r="B1" t="s">
        <v>67</v>
      </c>
      <c r="C1" t="s">
        <v>68</v>
      </c>
      <c r="D1" t="s">
        <v>119</v>
      </c>
      <c r="E1" t="s">
        <v>124</v>
      </c>
      <c r="F1" t="s">
        <v>120</v>
      </c>
      <c r="G1" t="s">
        <v>121</v>
      </c>
      <c r="H1" t="s">
        <v>122</v>
      </c>
      <c r="I1" t="s">
        <v>123</v>
      </c>
      <c r="J1" t="s">
        <v>107</v>
      </c>
      <c r="K1" t="s">
        <v>110</v>
      </c>
      <c r="L1" t="s">
        <v>78</v>
      </c>
    </row>
    <row r="2" spans="1:12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2024-11-30T20:29:39Z</dcterms:modified>
</cp:coreProperties>
</file>