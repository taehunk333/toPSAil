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TVSA\1_simulation_inputs\"/>
    </mc:Choice>
  </mc:AlternateContent>
  <xr:revisionPtr revIDLastSave="0" documentId="13_ncr:1_{9313D23C-7ED9-49A8-9E04-222A03093F94}" xr6:coauthVersionLast="47" xr6:coauthVersionMax="47" xr10:uidLastSave="{00000000-0000-0000-0000-000000000000}"/>
  <bookViews>
    <workbookView xWindow="1560" yWindow="1560" windowWidth="21600" windowHeight="11385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Isotherm'!$A$2:$J$99</definedName>
    <definedName name="_xlnm.Print_Area" localSheetId="6">'Adsorption Kinetics'!$A$2:$J$14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3" i="54" l="1"/>
  <c r="H12" i="54"/>
  <c r="H11" i="54"/>
  <c r="I14" i="53"/>
  <c r="H14" i="53"/>
  <c r="I13" i="53"/>
  <c r="H13" i="53"/>
  <c r="I12" i="53"/>
  <c r="H12" i="53"/>
  <c r="I18" i="53"/>
  <c r="H18" i="53"/>
  <c r="I17" i="53"/>
  <c r="H17" i="53"/>
  <c r="I16" i="53"/>
  <c r="H16" i="53"/>
  <c r="I22" i="53"/>
  <c r="H22" i="53"/>
  <c r="I21" i="53"/>
  <c r="H21" i="53"/>
  <c r="I20" i="53"/>
  <c r="H20" i="53"/>
  <c r="I26" i="53"/>
  <c r="H26" i="53"/>
  <c r="I25" i="53"/>
  <c r="H25" i="53"/>
  <c r="I24" i="53"/>
  <c r="H24" i="53"/>
  <c r="I30" i="53"/>
  <c r="H30" i="53"/>
  <c r="I29" i="53"/>
  <c r="H29" i="53"/>
  <c r="I28" i="53"/>
  <c r="H28" i="53"/>
  <c r="I34" i="53"/>
  <c r="H34" i="53"/>
  <c r="I33" i="53"/>
  <c r="H33" i="53"/>
  <c r="I32" i="53"/>
  <c r="H32" i="53"/>
  <c r="I38" i="53"/>
  <c r="H38" i="53"/>
  <c r="I37" i="53"/>
  <c r="H37" i="53"/>
  <c r="I36" i="53"/>
  <c r="H36" i="53"/>
  <c r="I42" i="53"/>
  <c r="H42" i="53"/>
  <c r="I41" i="53"/>
  <c r="H41" i="53"/>
  <c r="I40" i="53"/>
  <c r="H40" i="53"/>
  <c r="I46" i="53"/>
  <c r="H46" i="53"/>
  <c r="I45" i="53"/>
  <c r="H45" i="53"/>
  <c r="I44" i="53"/>
  <c r="H44" i="53"/>
  <c r="I50" i="53"/>
  <c r="H50" i="53"/>
  <c r="I49" i="53"/>
  <c r="H49" i="53"/>
  <c r="I48" i="53"/>
  <c r="H48" i="53"/>
  <c r="I54" i="53"/>
  <c r="H54" i="53"/>
  <c r="I53" i="53"/>
  <c r="H53" i="53"/>
  <c r="I52" i="53"/>
  <c r="H52" i="53"/>
  <c r="I58" i="53"/>
  <c r="H58" i="53"/>
  <c r="I57" i="53"/>
  <c r="H57" i="53"/>
  <c r="I56" i="53"/>
  <c r="H56" i="53"/>
  <c r="I62" i="53"/>
  <c r="H62" i="53"/>
  <c r="I61" i="53"/>
  <c r="H61" i="53"/>
  <c r="I60" i="53"/>
  <c r="H60" i="53"/>
  <c r="I66" i="53"/>
  <c r="H66" i="53"/>
  <c r="I65" i="53"/>
  <c r="H65" i="53"/>
  <c r="I64" i="53"/>
  <c r="H64" i="53"/>
  <c r="I70" i="53"/>
  <c r="H70" i="53"/>
  <c r="I69" i="53"/>
  <c r="H69" i="53"/>
  <c r="I68" i="53"/>
  <c r="H68" i="53"/>
  <c r="I74" i="53"/>
  <c r="H74" i="53"/>
  <c r="I73" i="53"/>
  <c r="H73" i="53"/>
  <c r="I72" i="53"/>
  <c r="H72" i="53"/>
  <c r="I78" i="53"/>
  <c r="H78" i="53"/>
  <c r="I77" i="53"/>
  <c r="H77" i="53"/>
  <c r="I76" i="53"/>
  <c r="H76" i="53"/>
  <c r="I82" i="53"/>
  <c r="H82" i="53"/>
  <c r="I81" i="53"/>
  <c r="H81" i="53"/>
  <c r="I80" i="53"/>
  <c r="H80" i="53"/>
  <c r="I86" i="53"/>
  <c r="H86" i="53"/>
  <c r="I85" i="53"/>
  <c r="H85" i="53"/>
  <c r="I84" i="53"/>
  <c r="H84" i="53"/>
  <c r="I90" i="53"/>
  <c r="H90" i="53"/>
  <c r="I89" i="53"/>
  <c r="H89" i="53"/>
  <c r="I88" i="53"/>
  <c r="H88" i="53"/>
  <c r="I94" i="53"/>
  <c r="H94" i="53"/>
  <c r="I93" i="53"/>
  <c r="H93" i="53"/>
  <c r="I92" i="53"/>
  <c r="H92" i="53"/>
  <c r="I98" i="53"/>
  <c r="H98" i="53"/>
  <c r="I97" i="53"/>
  <c r="H97" i="53"/>
  <c r="I96" i="53"/>
  <c r="H96" i="53"/>
  <c r="I95" i="53" l="1"/>
  <c r="H95" i="53"/>
  <c r="I91" i="53"/>
  <c r="H91" i="53"/>
  <c r="I87" i="53"/>
  <c r="H87" i="53"/>
  <c r="H83" i="53"/>
  <c r="I83" i="53"/>
  <c r="I79" i="53"/>
  <c r="H79" i="53"/>
  <c r="I75" i="53"/>
  <c r="I71" i="53"/>
  <c r="I67" i="53"/>
  <c r="I63" i="53"/>
  <c r="I59" i="53"/>
  <c r="I55" i="53"/>
  <c r="H75" i="53"/>
  <c r="H71" i="53"/>
  <c r="H67" i="53"/>
  <c r="H63" i="53"/>
  <c r="H59" i="53"/>
  <c r="H55" i="53"/>
  <c r="I15" i="53" l="1"/>
  <c r="B10" i="58"/>
  <c r="I11" i="53"/>
  <c r="I51" i="53" l="1"/>
  <c r="H51" i="53"/>
  <c r="I47" i="53"/>
  <c r="H47" i="53"/>
  <c r="I43" i="53"/>
  <c r="H43" i="53"/>
  <c r="I39" i="53"/>
  <c r="H39" i="53"/>
  <c r="I35" i="53"/>
  <c r="H35" i="53"/>
  <c r="I31" i="53"/>
  <c r="H31" i="53"/>
  <c r="I27" i="53"/>
  <c r="H27" i="53"/>
  <c r="I23" i="53"/>
  <c r="H23" i="53"/>
  <c r="I19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5" i="53" l="1"/>
  <c r="H19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<sst xmlns="http://schemas.openxmlformats.org/spreadsheetml/2006/main" count="1031" uniqueCount="268">
  <si>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</si>
  <si>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</si>
  <si>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</si>
  <si>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</si>
  <si>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</si>
  <si>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</si>
  <si>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</si>
  <si>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</si>
  <si>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</si>
  <si>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</si>
  <si>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</si>
  <si>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</si>
  <si>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</si>
  <si>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</si>
  <si>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</si>
  <si>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</si>
  <si>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</si>
  <si>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</si>
  <si>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</si>
  <si>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</si>
  <si>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</si>
  <si>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</si>
  <si>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</si>
  <si>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</si>
  <si>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</si>
  <si>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</si>
  <si>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</si>
  <si>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</si>
  <si>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</si>
  <si>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</si>
  <si>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</si>
  <si>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</si>
  <si>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</si>
  <si>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</si>
  <si>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</si>
  <si>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</si>
  <si>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</si>
  <si>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</si>
  <si>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</si>
  <si>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</si>
  <si>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</si>
  <si>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</si>
  <si>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</si>
  <si>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</si>
  <si>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</si>
  <si>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</si>
  <si>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</si>
  <si>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</si>
  <si>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</si>
  <si>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</si>
  <si>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</si>
  <si>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</si>
  <si>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</si>
  <si>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</si>
  <si>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</si>
  <si>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</si>
  <si>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</si>
  <si>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</si>
  <si>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</si>
  <si>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</si>
  <si>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</si>
  <si>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</si>
  <si>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</si>
  <si>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</si>
  <si>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</si>
  <si>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</si>
  <si>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</si>
  <si>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</si>
  <si>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</si>
  <si>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</si>
  <si>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</si>
  <si>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</si>
  <si>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</si>
  <si>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</si>
  <si>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</si>
  <si>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</si>
  <si>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</si>
  <si>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</si>
  <si>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</si>
  <si>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</si>
  <si>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</si>
  <si>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</si>
  <si>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</si>
  <si>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</si>
  <si>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</si>
  <si>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</si>
  <si>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</si>
  <si>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</si>
  <si>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</si>
  <si>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</si>
  <si>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</si>
  <si>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</si>
  <si>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</si>
  <si>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</si>
  <si>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</si>
  <si>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</si>
  <si>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</si>
  <si>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</si>
  <si>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</si>
  <si>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</si>
  <si>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</si>
  <si>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</si>
  <si>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</si>
  <si>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</si>
  <si>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</si>
  <si>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</si>
  <si>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</si>
  <si>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</si>
  <si>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</si>
  <si>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</si>
  <si>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</si>
  <si>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</si>
  <si>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</si>
  <si>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</si>
  <si>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</si>
  <si>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</si>
  <si>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</si>
  <si>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</si>
  <si>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</si>
  <si>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</si>
  <si>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</si>
  <si>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</si>
  <si>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</si>
  <si>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</si>
  <si>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</si>
  <si>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</si>
  <si>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</si>
  <si>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</si>
  <si>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</si>
  <si>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</si>
  <si>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</si>
  <si>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</si>
  <si>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</si>
  <si>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</si>
  <si>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</si>
  <si>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</si>
  <si>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</si>
  <si>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</si>
  <si>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</si>
  <si>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</si>
  <si>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</si>
  <si>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</si>
  <si>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</si>
  <si>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</si>
  <si>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</si>
  <si>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</si>
  <si>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</si>
  <si>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</si>
  <si>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</si>
  <si>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</si>
  <si>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</si>
  <si>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</si>
  <si>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</si>
  <si>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</si>
  <si>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</si>
  <si>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</si>
  <si>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mol/kg-bar</t>
  </si>
  <si>
    <t>1/bar</t>
  </si>
  <si>
    <t>mol/kg</t>
  </si>
  <si>
    <t>Please provide the reference temperature for adsorption isotherm measurement.</t>
  </si>
  <si>
    <t>KC1</t>
  </si>
  <si>
    <t>aC1</t>
  </si>
  <si>
    <t>kOneC1</t>
  </si>
  <si>
    <t>kTwoC1</t>
  </si>
  <si>
    <t>kThrC1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</si>
  <si>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</si>
  <si>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</si>
  <si>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</si>
  <si>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</si>
  <si>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</si>
  <si>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</si>
  <si>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</si>
  <si>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</si>
  <si>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</si>
  <si>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</si>
  <si>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</si>
  <si>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</si>
  <si>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</si>
  <si>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</si>
  <si>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</si>
  <si>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</si>
  <si>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</si>
  <si>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</si>
  <si>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</si>
  <si>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</si>
  <si>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</si>
  <si>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</si>
  <si>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qSatSiteTwoC1</t>
  </si>
  <si>
    <t>[Dual-site Langmuir-Freundlich isotherm] The saturation capacity constant for the 1st adsorbate at the 2nd adsorption site</t>
  </si>
  <si>
    <t>qSatSiteTwoC2</t>
  </si>
  <si>
    <t>bSiteOneC1</t>
  </si>
  <si>
    <t>[Dual-site Langmuir-Freundlich isotherm] The adsorption affinity constant for the 1st adsorbate at the 1st adsorption site</t>
  </si>
  <si>
    <t>bSiteOneC2</t>
  </si>
  <si>
    <t>bSiteTwoC1</t>
  </si>
  <si>
    <t>[Dual-site Langmuir-Freundlich isotherm] The adsorption affinity constant for the 1st adsorbate at the 2nd adsorption site</t>
  </si>
  <si>
    <t>bSiteTwoC2</t>
  </si>
  <si>
    <t>nSiteOneC1</t>
  </si>
  <si>
    <t>[Dual-site Langmuir-Freundlich isotherm] The exponent for the 1st adsorbate at the 1st adsorption site</t>
  </si>
  <si>
    <t>nSiteOneC2</t>
  </si>
  <si>
    <t>nSiteTwoC1</t>
  </si>
  <si>
    <t>[Dual-site Langmuir-Freundlich isotherm] The exponent for the 1st adsorbate at the 2nd adsorption site</t>
  </si>
  <si>
    <t>nSiteTwoC2</t>
  </si>
  <si>
    <t>kThrC2</t>
  </si>
  <si>
    <t>kTwoC2</t>
  </si>
  <si>
    <t>kOneC2</t>
  </si>
  <si>
    <t>aC2</t>
  </si>
  <si>
    <t>KC2</t>
  </si>
  <si>
    <t>bC2</t>
  </si>
  <si>
    <t>qSatC2</t>
  </si>
  <si>
    <t>henryC2</t>
  </si>
  <si>
    <t>[Toth isotherm]
n_s,i (T) = n_s0 e^[Chi(T0/T-1)]
Saturation concentration for the 1st adsorbate</t>
  </si>
  <si>
    <t>kmol/kg</t>
  </si>
  <si>
    <t>b0C1</t>
  </si>
  <si>
    <t>ChiC1</t>
  </si>
  <si>
    <t>t0C1</t>
  </si>
  <si>
    <t>alphaC1</t>
  </si>
  <si>
    <t>alphaC2</t>
  </si>
  <si>
    <t>t0C2</t>
  </si>
  <si>
    <t>b0C2</t>
  </si>
  <si>
    <t>ChiC2</t>
  </si>
  <si>
    <t>nS0C1</t>
  </si>
  <si>
    <t>nS0C2</t>
  </si>
  <si>
    <t>alphaC3</t>
  </si>
  <si>
    <t>alphaC4</t>
  </si>
  <si>
    <t>t0C3</t>
  </si>
  <si>
    <t>t0C4</t>
  </si>
  <si>
    <t>b0C3</t>
  </si>
  <si>
    <t>b0C4</t>
  </si>
  <si>
    <t>ChiC3</t>
  </si>
  <si>
    <t>ChiC4</t>
  </si>
  <si>
    <t>nS0C3</t>
  </si>
  <si>
    <t>nS0C4</t>
  </si>
  <si>
    <t>nSiteTwoC3</t>
  </si>
  <si>
    <t>nSiteTwoC4</t>
  </si>
  <si>
    <t>nSiteOneC3</t>
  </si>
  <si>
    <t>nSiteOneC4</t>
  </si>
  <si>
    <t>bSiteTwoC3</t>
  </si>
  <si>
    <t>bSiteTwoC4</t>
  </si>
  <si>
    <t>bSiteOneC3</t>
  </si>
  <si>
    <t>bSiteOneC4</t>
  </si>
  <si>
    <t>qSatSiteTwoC3</t>
  </si>
  <si>
    <t>qSatSiteTwoC4</t>
  </si>
  <si>
    <t>qSatSiteOneC3</t>
  </si>
  <si>
    <t>qSatSiteOneC4</t>
  </si>
  <si>
    <t>kSixC3</t>
  </si>
  <si>
    <t>kSixC4</t>
  </si>
  <si>
    <t>kFivC3</t>
  </si>
  <si>
    <t>kFivC4</t>
  </si>
  <si>
    <t>kFouC3</t>
  </si>
  <si>
    <t>kFouC4</t>
  </si>
  <si>
    <t>kThrC3</t>
  </si>
  <si>
    <t>kThrC4</t>
  </si>
  <si>
    <t>kTwoC3</t>
  </si>
  <si>
    <t>kTwoC4</t>
  </si>
  <si>
    <t>kOneC3</t>
  </si>
  <si>
    <t>kOneC4</t>
  </si>
  <si>
    <t>aC3</t>
  </si>
  <si>
    <t>aC4</t>
  </si>
  <si>
    <t>KC3</t>
  </si>
  <si>
    <t>KC4</t>
  </si>
  <si>
    <t>bC3</t>
  </si>
  <si>
    <t>bC4</t>
  </si>
  <si>
    <t>qSatC3</t>
  </si>
  <si>
    <t>qSatC4</t>
  </si>
  <si>
    <t>henryC3</t>
  </si>
  <si>
    <t>henryC4</t>
  </si>
  <si>
    <t>ldfMtc3</t>
  </si>
  <si>
    <t>ldfMtc4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</si>
</sst>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1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2" fillId="6" borderId="0" xfId="1" applyFont="1" applyFill="1" applyAlignment="1">
      <alignment horizontal="left" vertical="center"/>
    </xf>
    <xf numFmtId="0" fontId="13" fillId="6" borderId="0" xfId="1" applyFont="1" applyFill="1" applyAlignment="1">
      <alignment vertical="center" wrapText="1"/>
    </xf>
    <xf numFmtId="0" fontId="13" fillId="6" borderId="0" xfId="1" applyFont="1" applyFill="1" applyAlignment="1">
      <alignment horizontal="center" vertical="center"/>
    </xf>
    <xf numFmtId="0" fontId="13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84412"/>
          <a:ext cx="5967830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790575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171015" y="1187262"/>
          <a:ext cx="4283477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2.0\4_example\TVSA\1_simulation_inputs\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2.0\4_example\TVSA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 refreshError="1"/>
      <sheetData sheetId="1">
        <row r="14">
          <cell r="B14">
            <v>1</v>
          </cell>
        </row>
      </sheetData>
      <sheetData sheetId="2">
        <row r="10">
          <cell r="B10">
            <v>7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3" dataDxfId="121" headerRowBorderDxfId="122" tableBorderDxfId="120" totalsRowBorderDxfId="119">
  <autoFilter ref="A9:J11" xr:uid="{B089C5C3-2CCE-4800-96CA-2131BB6E3E4F}"/>
  <tableColumns count="10">
    <tableColumn id="1" xr3:uid="{A63D443C-23FA-C546-879B-699C109A0CA2}" name="Variable" dataDxfId="118"/>
    <tableColumn id="4" xr3:uid="{1A5FFB41-EB4E-E74A-8922-4B34B9316DE5}" name="Value" dataDxfId="117">
      <calculatedColumnFormula>0.0008*100</calculatedColumnFormula>
    </tableColumn>
    <tableColumn id="5" xr3:uid="{BF7F7945-F7EF-9B43-BD77-AD1154395D6F}" name="Unit" dataDxfId="116"/>
    <tableColumn id="6" xr3:uid="{97B66A41-BCC9-AB4A-9001-73F9BCD59411}" name="Comparisons" dataDxfId="115"/>
    <tableColumn id="7" xr3:uid="{0CC57FA7-D6D5-D04B-8A50-C681928970E3}" name="Variable Type" dataDxfId="114"/>
    <tableColumn id="8" xr3:uid="{793541F2-DD76-C241-9A02-11BCAFDBFB73}" name="Dependency" dataDxfId="113"/>
    <tableColumn id="12" xr3:uid="{77D37813-222C-3645-B2B0-7C5CE186734F}" name="Test 1" dataDxfId="112"/>
    <tableColumn id="10" xr3:uid="{705C6C59-C9FA-CF40-8C63-CC7BAA8D5513}" name="Test 2" dataDxfId="111"/>
    <tableColumn id="2" xr3:uid="{3CCF3320-E3BD-5A4C-926A-DD0EC2697FB0}" name="Test 3" dataDxfId="110"/>
    <tableColumn id="9" xr3:uid="{DFCD7E77-6792-EC4A-8937-7BD5661A57E7}" name="Description" dataDxfId="1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0" dataDxfId="98" headerRowBorderDxfId="99" tableBorderDxfId="97" totalsRowBorderDxfId="96">
  <autoFilter ref="A9:J13" xr:uid="{B089C5C3-2CCE-4800-96CA-2131BB6E3E4F}"/>
  <tableColumns count="10">
    <tableColumn id="1" xr3:uid="{20310A95-CEA4-0E46-A375-D38774A1331C}" name="Variable" dataDxfId="95"/>
    <tableColumn id="4" xr3:uid="{677D6E7A-ABBB-7F47-BEBA-202C00329494}" name="Value" dataDxfId="94"/>
    <tableColumn id="5" xr3:uid="{4C9D6E28-38C2-434B-8F96-F002277F8DF6}" name="Unit" dataDxfId="93"/>
    <tableColumn id="6" xr3:uid="{14421855-DDE0-1B4F-9E2F-0DCEAE184349}" name="Comparisons" dataDxfId="92"/>
    <tableColumn id="7" xr3:uid="{B52A6C11-F701-BB42-BCC5-C034770E9DBB}" name="Variable Type" dataDxfId="91"/>
    <tableColumn id="8" xr3:uid="{7995AC5C-141D-1241-85F4-ED670AA6D852}" name="Dependency" dataDxfId="90"/>
    <tableColumn id="12" xr3:uid="{36F66342-4897-3D48-B96B-71B0734889A5}" name="Test 1" dataDxfId="89"/>
    <tableColumn id="10" xr3:uid="{7FE5DC9B-6534-0E47-9DE7-3B926E4C9E93}" name="Test 2" dataDxfId="88"/>
    <tableColumn id="2" xr3:uid="{B9967632-3249-EA4A-A375-C9085B3EE56A}" name="Test 3" dataDxfId="87"/>
    <tableColumn id="9" xr3:uid="{A656D5B2-43BE-D144-B69B-B013AE6BC6D4}" name="Description" dataDxfId="8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29F8658A-9F09-7042-A7EC-353D08C08D34}" name="Variable" dataDxfId="75"/>
    <tableColumn id="4" xr3:uid="{0AC5C09B-7B5C-9640-A6C7-5BA8E05A9F0D}" name="Value" dataDxfId="74"/>
    <tableColumn id="5" xr3:uid="{4A165AEE-D3E0-DB4C-9890-DA2D18843B58}" name="Unit" dataDxfId="73"/>
    <tableColumn id="6" xr3:uid="{23F62B44-EB3B-FD48-85F1-55541D28F146}" name="Comparisons" dataDxfId="72"/>
    <tableColumn id="7" xr3:uid="{24641755-61AF-6C44-A79C-0EC6F77B3090}" name="Variable Type" dataDxfId="71"/>
    <tableColumn id="8" xr3:uid="{8EB70C81-0937-1548-8A36-195915CD1F99}" name="Dependency" dataDxfId="70"/>
    <tableColumn id="12" xr3:uid="{636C1BEE-1088-1842-B84F-652A0A7EFF6A}" name="Test 1" dataDxfId="69"/>
    <tableColumn id="10" xr3:uid="{611EFDE4-0DDB-044D-8690-A970063DA108}" name="Test 2" dataDxfId="68"/>
    <tableColumn id="2" xr3:uid="{2E2B9EE9-BE3C-354D-8E63-B39DE80C44A0}" name="Test 3" dataDxfId="67"/>
    <tableColumn id="9" xr3:uid="{F8DFB1CD-985B-4E45-BA3D-DD47F4100DAE}" name="Description" dataDxfId="6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99" totalsRowShown="0" headerRowDxfId="57" dataDxfId="55" headerRowBorderDxfId="56" tableBorderDxfId="54" totalsRowBorderDxfId="53">
  <autoFilter ref="A9:J99" xr:uid="{B089C5C3-2CCE-4800-96CA-2131BB6E3E4F}"/>
  <tableColumns count="10">
    <tableColumn id="1" xr3:uid="{281F5226-2025-4C6E-999C-A8F575CB206B}" name="Variable" dataDxfId="52"/>
    <tableColumn id="4" xr3:uid="{907AC290-8B5F-4AFA-8DCB-C690B3734F6B}" name="Value" dataDxfId="51"/>
    <tableColumn id="5" xr3:uid="{76BE4CFE-05C6-43DC-A13C-4BFE2A2E4F38}" name="Unit" dataDxfId="50"/>
    <tableColumn id="6" xr3:uid="{8061F981-FF76-4C8B-B572-12CB713F43CB}" name="Comparisons" dataDxfId="49"/>
    <tableColumn id="7" xr3:uid="{2BCD4B9F-F682-4298-A3AA-A5F92D2263C4}" name="Variable Type" dataDxfId="48"/>
    <tableColumn id="8" xr3:uid="{1CC9FBBF-69F8-429A-814B-71DBAFF37359}" name="Dependency" dataDxfId="47"/>
    <tableColumn id="12" xr3:uid="{D2543F4F-0C85-4145-B5BB-64C7DAAA0F12}" name="Test 1" dataDxfId="46"/>
    <tableColumn id="10" xr3:uid="{4C9832B7-0AD2-4777-AAFC-C60DE2F7DA3B}" name="Test 2" dataDxfId="45"/>
    <tableColumn id="2" xr3:uid="{E95041DF-C927-4C37-AF74-78F291F45F62}" name="Test 3" dataDxfId="44"/>
    <tableColumn id="9" xr3:uid="{F7EA5B65-C16E-4E6D-B23B-ACC0E861E56F}" name="Description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5" zeroHeight="1"/>
  <cols>
    <col min="1" max="2" width="3.28515625" style="36" hidden="1" customWidth="1"/>
    <col min="3" max="3" width="2.42578125" style="36" customWidth="1"/>
    <col min="4" max="4" width="13.7109375" style="36" customWidth="1"/>
    <col min="5" max="5" width="51.28515625" style="37" bestFit="1" customWidth="1"/>
    <col min="6" max="6" width="15.7109375" style="38" bestFit="1" customWidth="1"/>
    <col min="7" max="9" width="13.28515625" style="36" customWidth="1"/>
    <col min="10" max="10" width="48.7109375" style="36" customWidth="1"/>
    <col min="11" max="11" width="2.42578125" style="36" customWidth="1"/>
    <col min="12" max="12" width="0" style="36" hidden="1" customWidth="1"/>
    <col min="13" max="16384" width="9" style="36" hidden="1"/>
  </cols>
  <sheetData>
    <row r="3" spans="4:10"/>
    <row r="4" spans="4:10" ht="18.75">
      <c r="D4" s="51" t="s">
        <v>152</v>
      </c>
      <c r="E4" s="52"/>
      <c r="F4" s="53"/>
      <c r="G4" s="54"/>
      <c r="H4" s="54"/>
      <c r="I4" s="54"/>
      <c r="J4" s="39" t="s">
        <v>94</v>
      </c>
    </row>
    <row r="5" spans="4:10" ht="35.25">
      <c r="D5" s="60" t="s">
        <v>39</v>
      </c>
      <c r="E5" s="60"/>
      <c r="F5" s="60"/>
      <c r="G5" s="60"/>
      <c r="H5" s="60"/>
      <c r="I5" s="60"/>
      <c r="J5" s="60"/>
    </row>
    <row r="6" spans="4:10" ht="18.75">
      <c r="D6" s="45" t="s">
        <v>33</v>
      </c>
      <c r="E6" s="45" t="s">
        <v>149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6.25">
      <c r="D7" s="40">
        <v>1</v>
      </c>
      <c r="E7" s="41" t="s">
        <v>154</v>
      </c>
      <c r="F7" s="42">
        <v>44720</v>
      </c>
      <c r="G7" s="40" t="s">
        <v>40</v>
      </c>
      <c r="H7" s="40"/>
      <c r="I7" s="40"/>
      <c r="J7" s="41"/>
    </row>
    <row r="8" spans="4:10" ht="37.5">
      <c r="D8" s="40">
        <v>2</v>
      </c>
      <c r="E8" s="41" t="s">
        <v>150</v>
      </c>
      <c r="F8" s="42">
        <v>44818</v>
      </c>
      <c r="G8" s="40" t="s">
        <v>40</v>
      </c>
      <c r="H8" s="40"/>
      <c r="I8" s="40"/>
      <c r="J8" s="41"/>
    </row>
    <row r="9" spans="4:10" ht="18.75">
      <c r="D9" s="40">
        <v>3</v>
      </c>
      <c r="E9" s="41"/>
      <c r="F9" s="42"/>
      <c r="G9" s="40"/>
      <c r="H9" s="40"/>
      <c r="I9" s="40"/>
      <c r="J9" s="41"/>
    </row>
    <row r="10" spans="4:10" ht="18.75">
      <c r="D10" s="40">
        <v>4</v>
      </c>
      <c r="E10" s="41"/>
      <c r="F10" s="42"/>
      <c r="G10" s="40"/>
      <c r="H10" s="40"/>
      <c r="I10" s="40"/>
      <c r="J10" s="41"/>
    </row>
    <row r="11" spans="4:10" ht="18.75">
      <c r="D11" s="40">
        <v>5</v>
      </c>
      <c r="E11" s="41"/>
      <c r="F11" s="42"/>
      <c r="G11" s="40"/>
      <c r="H11" s="40"/>
      <c r="I11" s="40"/>
      <c r="J11" s="41"/>
    </row>
    <row r="12" spans="4:10" ht="18.75">
      <c r="D12" s="40">
        <v>6</v>
      </c>
      <c r="E12" s="41"/>
      <c r="F12" s="42"/>
      <c r="G12" s="40"/>
      <c r="H12" s="40"/>
      <c r="I12" s="40"/>
      <c r="J12" s="41"/>
    </row>
    <row r="13" spans="4:10" ht="18.75">
      <c r="D13" s="40">
        <v>7</v>
      </c>
      <c r="E13" s="41"/>
      <c r="F13" s="42"/>
      <c r="G13" s="40"/>
      <c r="H13" s="40"/>
      <c r="I13" s="40"/>
      <c r="J13" s="41"/>
    </row>
    <row r="14" spans="4:10" ht="18.75">
      <c r="D14" s="40">
        <v>8</v>
      </c>
      <c r="E14" s="41"/>
      <c r="F14" s="42"/>
      <c r="G14" s="40"/>
      <c r="H14" s="40"/>
      <c r="I14" s="40"/>
      <c r="J14" s="41"/>
    </row>
    <row r="15" spans="4:10" ht="18.75">
      <c r="D15" s="40">
        <v>9</v>
      </c>
      <c r="E15" s="41"/>
      <c r="F15" s="42"/>
      <c r="G15" s="40"/>
      <c r="H15" s="40"/>
      <c r="I15" s="40"/>
      <c r="J15" s="41"/>
    </row>
    <row r="16" spans="4:10" ht="18.75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75</v>
      </c>
      <c r="F1" t="s">
        <v>76</v>
      </c>
      <c r="G1" s="1" t="s">
        <v>77</v>
      </c>
      <c r="H1" s="1" t="s">
        <v>78</v>
      </c>
      <c r="I1" s="1" t="s">
        <v>79</v>
      </c>
      <c r="J1" s="7" t="s">
        <v>81</v>
      </c>
      <c r="K1" s="7" t="s">
        <v>6</v>
      </c>
      <c r="L1" t="s">
        <v>92</v>
      </c>
      <c r="M1" t="s">
        <v>88</v>
      </c>
      <c r="N1" t="s">
        <v>89</v>
      </c>
      <c r="O1" t="s">
        <v>93</v>
      </c>
      <c r="P1" t="s">
        <v>98</v>
      </c>
      <c r="Q1" t="s">
        <v>119</v>
      </c>
      <c r="R1" t="s">
        <v>127</v>
      </c>
      <c r="S1" t="s">
        <v>128</v>
      </c>
      <c r="T1" t="s">
        <v>138</v>
      </c>
      <c r="U1" t="s">
        <v>139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140</v>
      </c>
    </row>
    <row r="4" spans="1:21">
      <c r="A4" t="s">
        <v>91</v>
      </c>
      <c r="B4" t="s">
        <v>24</v>
      </c>
      <c r="C4" t="s">
        <v>46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141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142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143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144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145</v>
      </c>
    </row>
    <row r="9" spans="1:21">
      <c r="B9" t="s">
        <v>99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146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136</v>
      </c>
    </row>
    <row r="12" spans="1:21">
      <c r="B12" t="s">
        <v>100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IF(COUNTIF(Table1931213142[Test 3],1)=COUNTA(Table1931213142[Value]),"Ready","Not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0">
      <c r="A10" s="4" t="s">
        <v>147</v>
      </c>
      <c r="B10" s="33">
        <v>0.36</v>
      </c>
      <c r="C10" s="2" t="s">
        <v>73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148</v>
      </c>
    </row>
    <row r="11" spans="1:10" ht="15">
      <c r="A11" s="8" t="s">
        <v>86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1" priority="7">
      <formula>IF(AND($B11&lt;&gt;"",$I11=0),1,0)</formula>
    </cfRule>
    <cfRule type="expression" dxfId="130" priority="8">
      <formula>IF($B11&lt;&gt;"",1,0)</formula>
    </cfRule>
    <cfRule type="expression" dxfId="129" priority="9">
      <formula>$I11=0</formula>
    </cfRule>
  </conditionalFormatting>
  <conditionalFormatting sqref="B10">
    <cfRule type="expression" dxfId="128" priority="1">
      <formula>IF(AND($B10&lt;&gt;"",$I10=0),1,0)</formula>
    </cfRule>
    <cfRule type="expression" dxfId="127" priority="2">
      <formula>IF($B10&lt;&gt;"",1,0)</formula>
    </cfRule>
    <cfRule type="expression" dxfId="126" priority="3">
      <formula>$I10=0</formula>
    </cfRule>
  </conditionalFormatting>
  <conditionalFormatting sqref="J4">
    <cfRule type="expression" dxfId="125" priority="2056">
      <formula>IF(COUNTA($B$10:$B$11)&lt;&gt;COUNTIF($I$10:$I$11,1),1,0)</formula>
    </cfRule>
    <cfRule type="expression" dxfId="124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IF(COUNTIF(Table1931213143[Test 3],1)=COUNTA(Table1931213143[Value]),"Ready","Not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75">
      <c r="A10" s="4" t="s">
        <v>120</v>
      </c>
      <c r="B10" s="33">
        <v>1</v>
      </c>
      <c r="C10" s="2" t="s">
        <v>3</v>
      </c>
      <c r="D10" s="1" t="s">
        <v>24</v>
      </c>
      <c r="E10" s="1" t="s">
        <v>91</v>
      </c>
      <c r="F10" s="2" t="s">
        <v>42</v>
      </c>
      <c r="G10" s="1">
        <v>1</v>
      </c>
      <c r="H10" s="1">
        <v>1</v>
      </c>
      <c r="I10" s="6">
        <v>1</v>
      </c>
      <c r="J10" s="5" t="s">
        <v>131</v>
      </c>
    </row>
    <row r="11" spans="1:10" ht="15">
      <c r="A11" s="4" t="s">
        <v>134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132</v>
      </c>
    </row>
    <row r="12" spans="1:10" ht="15">
      <c r="A12" s="4" t="s">
        <v>135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133</v>
      </c>
    </row>
    <row r="13" spans="1:10" ht="15">
      <c r="A13" s="8" t="s">
        <v>86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08" priority="7">
      <formula>IF(AND($B11&lt;&gt;"",$I11=0),1,0)</formula>
    </cfRule>
    <cfRule type="expression" dxfId="107" priority="8">
      <formula>IF($B11&lt;&gt;"",1,0)</formula>
    </cfRule>
    <cfRule type="expression" dxfId="106" priority="9">
      <formula>$I11=0</formula>
    </cfRule>
  </conditionalFormatting>
  <conditionalFormatting sqref="B10">
    <cfRule type="expression" dxfId="105" priority="1">
      <formula>IF(AND($B10&lt;&gt;"",$I10=0),1,0)</formula>
    </cfRule>
    <cfRule type="expression" dxfId="104" priority="2">
      <formula>IF($B10&lt;&gt;"",1,0)</formula>
    </cfRule>
    <cfRule type="expression" dxfId="103" priority="3">
      <formula>$I10=0</formula>
    </cfRule>
  </conditionalFormatting>
  <conditionalFormatting sqref="J4">
    <cfRule type="expression" dxfId="102" priority="2058">
      <formula>IF(COUNTA($B$10:$B$13)&lt;&gt;COUNTIF($I$10:$I$13,1),1,0)</formula>
    </cfRule>
    <cfRule type="expression" dxfId="101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IF(COUNTIF(Table1931213144[Test 3],1)=COUNTA(Table1931213144[Value]),"Ready","Not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0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118</v>
      </c>
    </row>
    <row r="11" spans="1:10" ht="30">
      <c r="A11" s="4" t="s">
        <v>67</v>
      </c>
      <c r="B11" s="59">
        <v>5.5399999999999998E-5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90</v>
      </c>
    </row>
    <row r="12" spans="1:10" ht="15">
      <c r="A12" s="8" t="s">
        <v>86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85" priority="7">
      <formula>IF(AND($B10&lt;&gt;"",$I10=0),1,0)</formula>
    </cfRule>
    <cfRule type="expression" dxfId="84" priority="8">
      <formula>IF($B10&lt;&gt;"",1,0)</formula>
    </cfRule>
    <cfRule type="expression" dxfId="83" priority="9">
      <formula>$I10=0</formula>
    </cfRule>
  </conditionalFormatting>
  <conditionalFormatting sqref="J4">
    <cfRule type="expression" dxfId="82" priority="2062">
      <formula>IF(COUNTA($B$10:$B$12)&lt;&gt;COUNTIF($I$10:$I$12,1),1,0)</formula>
    </cfRule>
    <cfRule type="expression" dxfId="81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2:K119"/>
  <sheetViews>
    <sheetView showGridLines="0" tabSelected="1" topLeftCell="A2" zoomScale="85" zoomScaleNormal="85" zoomScaleSheetLayoutView="85" workbookViewId="0">
      <pane ySplit="8" topLeftCell="A87" activePane="bottomLeft" state="frozen"/>
      <selection activeCell="A10" sqref="A10:J10"/>
      <selection pane="bottomLeft" activeCell="B91" sqref="B91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IF(COUNTIF(Table193121314[Test 3],1)=COUNTA(Table193121314[Value]),"Ready","Not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0">
      <c r="A10" s="46" t="s">
        <v>130</v>
      </c>
      <c r="B10" s="33">
        <v>296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159</v>
      </c>
    </row>
    <row r="11" spans="1:10" ht="108">
      <c r="A11" s="46" t="s">
        <v>155</v>
      </c>
      <c r="B11" s="33"/>
      <c r="C11" s="35" t="s">
        <v>156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[1]Initialization!$B$10</f>
        <v>4</v>
      </c>
      <c r="I11" s="44">
        <f>IF('[2]Model Selection'!$B$10=1,1,0)</f>
        <v>0</v>
      </c>
      <c r="J11" s="5" t="s">
        <v>172</v>
      </c>
    </row>
    <row r="12" spans="1:10" ht="108">
      <c r="A12" s="46" t="s">
        <v>209</v>
      </c>
      <c r="B12" s="33"/>
      <c r="C12" s="35" t="s">
        <v>156</v>
      </c>
      <c r="D12" s="1" t="s">
        <v>24</v>
      </c>
      <c r="E12" s="1" t="s">
        <v>7</v>
      </c>
      <c r="F12" s="2" t="s">
        <v>5</v>
      </c>
      <c r="G12" s="1"/>
      <c r="H12" s="55">
        <f>[1]Initialization!$B$10</f>
        <v>4</v>
      </c>
      <c r="I12" s="44">
        <f>IF('[2]Model Selection'!$B$10=1,1,0)</f>
        <v>0</v>
      </c>
      <c r="J12" s="5" t="s">
        <v>172</v>
      </c>
    </row>
    <row r="13" spans="1:10" ht="108">
      <c r="A13" s="46" t="s">
        <v>264</v>
      </c>
      <c r="B13" s="33"/>
      <c r="C13" s="35" t="s">
        <v>156</v>
      </c>
      <c r="D13" s="1" t="s">
        <v>24</v>
      </c>
      <c r="E13" s="1" t="s">
        <v>7</v>
      </c>
      <c r="F13" s="2" t="s">
        <v>5</v>
      </c>
      <c r="G13" s="1"/>
      <c r="H13" s="55">
        <f>[1]Initialization!$B$10</f>
        <v>4</v>
      </c>
      <c r="I13" s="44">
        <f>IF('[2]Model Selection'!$B$10=1,1,0)</f>
        <v>0</v>
      </c>
      <c r="J13" s="5" t="s">
        <v>172</v>
      </c>
    </row>
    <row r="14" spans="1:10" ht="108">
      <c r="A14" s="46" t="s">
        <v>265</v>
      </c>
      <c r="B14" s="33"/>
      <c r="C14" s="35" t="s">
        <v>156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4</v>
      </c>
      <c r="I14" s="44">
        <f>IF('[2]Model Selection'!$B$10=1,1,0)</f>
        <v>0</v>
      </c>
      <c r="J14" s="5" t="s">
        <v>172</v>
      </c>
    </row>
    <row r="15" spans="1:10" ht="63">
      <c r="A15" s="4" t="s">
        <v>71</v>
      </c>
      <c r="B15" s="33"/>
      <c r="C15" s="35" t="s">
        <v>158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4</v>
      </c>
      <c r="I15" s="44">
        <f>IF(OR('[2]Model Selection'!$B$10=2,'[2]Model Selection'!$B$10=3),1,0)</f>
        <v>0</v>
      </c>
      <c r="J15" s="5" t="s">
        <v>180</v>
      </c>
    </row>
    <row r="16" spans="1:10" ht="63">
      <c r="A16" s="4" t="s">
        <v>208</v>
      </c>
      <c r="B16" s="33"/>
      <c r="C16" s="35" t="s">
        <v>158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4</v>
      </c>
      <c r="I16" s="44">
        <f>IF(OR('[2]Model Selection'!$B$10=2,'[2]Model Selection'!$B$10=3),1,0)</f>
        <v>0</v>
      </c>
      <c r="J16" s="5" t="s">
        <v>180</v>
      </c>
    </row>
    <row r="17" spans="1:10" ht="63">
      <c r="A17" s="4" t="s">
        <v>262</v>
      </c>
      <c r="B17" s="33"/>
      <c r="C17" s="35" t="s">
        <v>158</v>
      </c>
      <c r="D17" s="1" t="s">
        <v>24</v>
      </c>
      <c r="E17" s="1" t="s">
        <v>7</v>
      </c>
      <c r="F17" s="2" t="s">
        <v>5</v>
      </c>
      <c r="G17" s="1"/>
      <c r="H17" s="55">
        <f>[1]Initialization!$B$10</f>
        <v>4</v>
      </c>
      <c r="I17" s="44">
        <f>IF(OR('[2]Model Selection'!$B$10=2,'[2]Model Selection'!$B$10=3),1,0)</f>
        <v>0</v>
      </c>
      <c r="J17" s="5" t="s">
        <v>180</v>
      </c>
    </row>
    <row r="18" spans="1:10" ht="63">
      <c r="A18" s="4" t="s">
        <v>263</v>
      </c>
      <c r="B18" s="33"/>
      <c r="C18" s="35" t="s">
        <v>158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4</v>
      </c>
      <c r="I18" s="44">
        <f>IF(OR('[2]Model Selection'!$B$10=2,'[2]Model Selection'!$B$10=3),1,0)</f>
        <v>0</v>
      </c>
      <c r="J18" s="5" t="s">
        <v>180</v>
      </c>
    </row>
    <row r="19" spans="1:10" ht="78">
      <c r="A19" s="4" t="s">
        <v>72</v>
      </c>
      <c r="B19" s="33"/>
      <c r="C19" s="2" t="s">
        <v>157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4</v>
      </c>
      <c r="I19" s="44">
        <f>IF('[2]Model Selection'!$B$10=2,1,0)</f>
        <v>0</v>
      </c>
      <c r="J19" s="5" t="s">
        <v>173</v>
      </c>
    </row>
    <row r="20" spans="1:10" ht="78">
      <c r="A20" s="4" t="s">
        <v>207</v>
      </c>
      <c r="B20" s="33"/>
      <c r="C20" s="2" t="s">
        <v>157</v>
      </c>
      <c r="D20" s="1" t="s">
        <v>24</v>
      </c>
      <c r="E20" s="1" t="s">
        <v>7</v>
      </c>
      <c r="F20" s="2" t="s">
        <v>5</v>
      </c>
      <c r="G20" s="1"/>
      <c r="H20" s="55">
        <f>[1]Initialization!$B$10</f>
        <v>4</v>
      </c>
      <c r="I20" s="44">
        <f>IF('[2]Model Selection'!$B$10=2,1,0)</f>
        <v>0</v>
      </c>
      <c r="J20" s="5" t="s">
        <v>173</v>
      </c>
    </row>
    <row r="21" spans="1:10" ht="78">
      <c r="A21" s="4" t="s">
        <v>260</v>
      </c>
      <c r="B21" s="33"/>
      <c r="C21" s="2" t="s">
        <v>157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4</v>
      </c>
      <c r="I21" s="44">
        <f>IF('[2]Model Selection'!$B$10=2,1,0)</f>
        <v>0</v>
      </c>
      <c r="J21" s="5" t="s">
        <v>173</v>
      </c>
    </row>
    <row r="22" spans="1:10" ht="78">
      <c r="A22" s="4" t="s">
        <v>261</v>
      </c>
      <c r="B22" s="33"/>
      <c r="C22" s="2" t="s">
        <v>157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4</v>
      </c>
      <c r="I22" s="44">
        <f>IF('[2]Model Selection'!$B$10=2,1,0)</f>
        <v>0</v>
      </c>
      <c r="J22" s="5" t="s">
        <v>173</v>
      </c>
    </row>
    <row r="23" spans="1:10" ht="123">
      <c r="A23" s="46" t="s">
        <v>160</v>
      </c>
      <c r="B23" s="33"/>
      <c r="C23" s="35" t="s">
        <v>157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4</v>
      </c>
      <c r="I23" s="44">
        <f>IF('[2]Model Selection'!$B$10=3,1,0)</f>
        <v>0</v>
      </c>
      <c r="J23" s="5" t="s">
        <v>174</v>
      </c>
    </row>
    <row r="24" spans="1:10" ht="123">
      <c r="A24" s="46" t="s">
        <v>206</v>
      </c>
      <c r="B24" s="33"/>
      <c r="C24" s="35" t="s">
        <v>157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4</v>
      </c>
      <c r="I24" s="44">
        <f>IF('[2]Model Selection'!$B$10=3,1,0)</f>
        <v>0</v>
      </c>
      <c r="J24" s="5" t="s">
        <v>174</v>
      </c>
    </row>
    <row r="25" spans="1:10" ht="123">
      <c r="A25" s="46" t="s">
        <v>258</v>
      </c>
      <c r="B25" s="33"/>
      <c r="C25" s="35" t="s">
        <v>157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4</v>
      </c>
      <c r="I25" s="44">
        <f>IF('[2]Model Selection'!$B$10=3,1,0)</f>
        <v>0</v>
      </c>
      <c r="J25" s="5" t="s">
        <v>174</v>
      </c>
    </row>
    <row r="26" spans="1:10" ht="123">
      <c r="A26" s="46" t="s">
        <v>259</v>
      </c>
      <c r="B26" s="33"/>
      <c r="C26" s="35" t="s">
        <v>157</v>
      </c>
      <c r="D26" s="1" t="s">
        <v>24</v>
      </c>
      <c r="E26" s="1" t="s">
        <v>7</v>
      </c>
      <c r="F26" s="2" t="s">
        <v>5</v>
      </c>
      <c r="G26" s="1"/>
      <c r="H26" s="55">
        <f>[1]Initialization!$B$10</f>
        <v>4</v>
      </c>
      <c r="I26" s="44">
        <f>IF('[2]Model Selection'!$B$10=3,1,0)</f>
        <v>0</v>
      </c>
      <c r="J26" s="5" t="s">
        <v>174</v>
      </c>
    </row>
    <row r="27" spans="1:10" ht="63">
      <c r="A27" s="46" t="s">
        <v>161</v>
      </c>
      <c r="B27" s="33"/>
      <c r="C27" s="35" t="s">
        <v>3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4</v>
      </c>
      <c r="I27" s="44">
        <f>IF('[2]Model Selection'!$B$10=3,1,0)</f>
        <v>0</v>
      </c>
      <c r="J27" s="5" t="s">
        <v>175</v>
      </c>
    </row>
    <row r="28" spans="1:10" ht="63">
      <c r="A28" s="46" t="s">
        <v>205</v>
      </c>
      <c r="B28" s="33"/>
      <c r="C28" s="35" t="s">
        <v>3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4</v>
      </c>
      <c r="I28" s="44">
        <f>IF('[2]Model Selection'!$B$10=3,1,0)</f>
        <v>0</v>
      </c>
      <c r="J28" s="5" t="s">
        <v>175</v>
      </c>
    </row>
    <row r="29" spans="1:10" ht="63">
      <c r="A29" s="46" t="s">
        <v>256</v>
      </c>
      <c r="B29" s="33"/>
      <c r="C29" s="35" t="s">
        <v>3</v>
      </c>
      <c r="D29" s="1" t="s">
        <v>24</v>
      </c>
      <c r="E29" s="1" t="s">
        <v>7</v>
      </c>
      <c r="F29" s="2" t="s">
        <v>5</v>
      </c>
      <c r="G29" s="1"/>
      <c r="H29" s="55">
        <f>[1]Initialization!$B$10</f>
        <v>4</v>
      </c>
      <c r="I29" s="44">
        <f>IF('[2]Model Selection'!$B$10=3,1,0)</f>
        <v>0</v>
      </c>
      <c r="J29" s="5" t="s">
        <v>175</v>
      </c>
    </row>
    <row r="30" spans="1:10" ht="63">
      <c r="A30" s="46" t="s">
        <v>257</v>
      </c>
      <c r="B30" s="33"/>
      <c r="C30" s="35" t="s">
        <v>3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4</v>
      </c>
      <c r="I30" s="44">
        <f>IF('[2]Model Selection'!$B$10=3,1,0)</f>
        <v>0</v>
      </c>
      <c r="J30" s="5" t="s">
        <v>175</v>
      </c>
    </row>
    <row r="31" spans="1:10" ht="78">
      <c r="A31" s="46" t="s">
        <v>162</v>
      </c>
      <c r="B31" s="33"/>
      <c r="C31" s="35" t="s">
        <v>158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4</v>
      </c>
      <c r="I31" s="44">
        <f>IF('[2]Model Selection'!$B$10=4,1,0)</f>
        <v>0</v>
      </c>
      <c r="J31" s="5" t="s">
        <v>176</v>
      </c>
    </row>
    <row r="32" spans="1:10" ht="78">
      <c r="A32" s="46" t="s">
        <v>204</v>
      </c>
      <c r="B32" s="33"/>
      <c r="C32" s="35" t="s">
        <v>158</v>
      </c>
      <c r="D32" s="1" t="s">
        <v>24</v>
      </c>
      <c r="E32" s="1" t="s">
        <v>7</v>
      </c>
      <c r="F32" s="2" t="s">
        <v>5</v>
      </c>
      <c r="G32" s="1"/>
      <c r="H32" s="55">
        <f>[1]Initialization!$B$10</f>
        <v>4</v>
      </c>
      <c r="I32" s="44">
        <f>IF('[2]Model Selection'!$B$10=4,1,0)</f>
        <v>0</v>
      </c>
      <c r="J32" s="5" t="s">
        <v>176</v>
      </c>
    </row>
    <row r="33" spans="1:10" ht="78">
      <c r="A33" s="46" t="s">
        <v>254</v>
      </c>
      <c r="B33" s="33"/>
      <c r="C33" s="35" t="s">
        <v>158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4</v>
      </c>
      <c r="I33" s="44">
        <f>IF('[2]Model Selection'!$B$10=4,1,0)</f>
        <v>0</v>
      </c>
      <c r="J33" s="5" t="s">
        <v>176</v>
      </c>
    </row>
    <row r="34" spans="1:10" ht="78">
      <c r="A34" s="46" t="s">
        <v>255</v>
      </c>
      <c r="B34" s="33"/>
      <c r="C34" s="35" t="s">
        <v>158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4</v>
      </c>
      <c r="I34" s="44">
        <f>IF('[2]Model Selection'!$B$10=4,1,0)</f>
        <v>0</v>
      </c>
      <c r="J34" s="5" t="s">
        <v>176</v>
      </c>
    </row>
    <row r="35" spans="1:10" ht="78">
      <c r="A35" s="46" t="s">
        <v>163</v>
      </c>
      <c r="B35" s="33"/>
      <c r="C35" s="35" t="s">
        <v>171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4</v>
      </c>
      <c r="I35" s="44">
        <f>IF('[2]Model Selection'!$B$10=4,1,0)</f>
        <v>0</v>
      </c>
      <c r="J35" s="5" t="s">
        <v>177</v>
      </c>
    </row>
    <row r="36" spans="1:10" ht="78">
      <c r="A36" s="46" t="s">
        <v>203</v>
      </c>
      <c r="B36" s="33"/>
      <c r="C36" s="35" t="s">
        <v>171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4</v>
      </c>
      <c r="I36" s="44">
        <f>IF('[2]Model Selection'!$B$10=4,1,0)</f>
        <v>0</v>
      </c>
      <c r="J36" s="5" t="s">
        <v>177</v>
      </c>
    </row>
    <row r="37" spans="1:10" ht="78">
      <c r="A37" s="46" t="s">
        <v>252</v>
      </c>
      <c r="B37" s="33"/>
      <c r="C37" s="35" t="s">
        <v>171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4</v>
      </c>
      <c r="I37" s="44">
        <f>IF('[2]Model Selection'!$B$10=4,1,0)</f>
        <v>0</v>
      </c>
      <c r="J37" s="5" t="s">
        <v>177</v>
      </c>
    </row>
    <row r="38" spans="1:10" ht="78">
      <c r="A38" s="46" t="s">
        <v>253</v>
      </c>
      <c r="B38" s="33"/>
      <c r="C38" s="35" t="s">
        <v>171</v>
      </c>
      <c r="D38" s="1" t="s">
        <v>24</v>
      </c>
      <c r="E38" s="1" t="s">
        <v>7</v>
      </c>
      <c r="F38" s="2" t="s">
        <v>5</v>
      </c>
      <c r="G38" s="1"/>
      <c r="H38" s="55">
        <f>[1]Initialization!$B$10</f>
        <v>4</v>
      </c>
      <c r="I38" s="44">
        <f>IF('[2]Model Selection'!$B$10=4,1,0)</f>
        <v>0</v>
      </c>
      <c r="J38" s="5" t="s">
        <v>177</v>
      </c>
    </row>
    <row r="39" spans="1:10" ht="78">
      <c r="A39" s="46" t="s">
        <v>164</v>
      </c>
      <c r="B39" s="33"/>
      <c r="C39" s="35" t="s">
        <v>181</v>
      </c>
      <c r="D39" s="1" t="s">
        <v>24</v>
      </c>
      <c r="E39" s="1" t="s">
        <v>7</v>
      </c>
      <c r="F39" s="2" t="s">
        <v>5</v>
      </c>
      <c r="G39" s="1">
        <v>1</v>
      </c>
      <c r="H39" s="55">
        <f>[1]Initialization!$B$10</f>
        <v>4</v>
      </c>
      <c r="I39" s="44">
        <f>IF('[2]Model Selection'!$B$10=4,1,0)</f>
        <v>0</v>
      </c>
      <c r="J39" s="5" t="s">
        <v>178</v>
      </c>
    </row>
    <row r="40" spans="1:10" ht="78">
      <c r="A40" s="46" t="s">
        <v>202</v>
      </c>
      <c r="B40" s="33"/>
      <c r="C40" s="35" t="s">
        <v>181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4</v>
      </c>
      <c r="I40" s="44">
        <f>IF('[2]Model Selection'!$B$10=4,1,0)</f>
        <v>0</v>
      </c>
      <c r="J40" s="5" t="s">
        <v>178</v>
      </c>
    </row>
    <row r="41" spans="1:10" ht="78">
      <c r="A41" s="46" t="s">
        <v>250</v>
      </c>
      <c r="B41" s="33"/>
      <c r="C41" s="35" t="s">
        <v>181</v>
      </c>
      <c r="D41" s="1" t="s">
        <v>24</v>
      </c>
      <c r="E41" s="1" t="s">
        <v>7</v>
      </c>
      <c r="F41" s="2" t="s">
        <v>5</v>
      </c>
      <c r="G41" s="1"/>
      <c r="H41" s="55">
        <f>[1]Initialization!$B$10</f>
        <v>4</v>
      </c>
      <c r="I41" s="44">
        <f>IF('[2]Model Selection'!$B$10=4,1,0)</f>
        <v>0</v>
      </c>
      <c r="J41" s="5" t="s">
        <v>178</v>
      </c>
    </row>
    <row r="42" spans="1:10" ht="78">
      <c r="A42" s="46" t="s">
        <v>251</v>
      </c>
      <c r="B42" s="33"/>
      <c r="C42" s="35" t="s">
        <v>181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4</v>
      </c>
      <c r="I42" s="44">
        <f>IF('[2]Model Selection'!$B$10=4,1,0)</f>
        <v>0</v>
      </c>
      <c r="J42" s="5" t="s">
        <v>178</v>
      </c>
    </row>
    <row r="43" spans="1:10" ht="78">
      <c r="A43" s="46" t="s">
        <v>165</v>
      </c>
      <c r="B43" s="33"/>
      <c r="C43" s="35" t="s">
        <v>20</v>
      </c>
      <c r="D43" s="1" t="s">
        <v>24</v>
      </c>
      <c r="E43" s="1" t="s">
        <v>7</v>
      </c>
      <c r="F43" s="2" t="s">
        <v>5</v>
      </c>
      <c r="G43" s="1">
        <v>1</v>
      </c>
      <c r="H43" s="55">
        <f>[1]Initialization!$B$10</f>
        <v>4</v>
      </c>
      <c r="I43" s="44">
        <f>IF('[2]Model Selection'!$B$10=4,1,0)</f>
        <v>0</v>
      </c>
      <c r="J43" s="5" t="s">
        <v>179</v>
      </c>
    </row>
    <row r="44" spans="1:10" ht="78">
      <c r="A44" s="46" t="s">
        <v>166</v>
      </c>
      <c r="B44" s="33"/>
      <c r="C44" s="35" t="s">
        <v>20</v>
      </c>
      <c r="D44" s="1" t="s">
        <v>24</v>
      </c>
      <c r="E44" s="1" t="s">
        <v>7</v>
      </c>
      <c r="F44" s="2" t="s">
        <v>5</v>
      </c>
      <c r="G44" s="1"/>
      <c r="H44" s="55">
        <f>[1]Initialization!$B$10</f>
        <v>4</v>
      </c>
      <c r="I44" s="44">
        <f>IF('[2]Model Selection'!$B$10=4,1,0)</f>
        <v>0</v>
      </c>
      <c r="J44" s="5" t="s">
        <v>179</v>
      </c>
    </row>
    <row r="45" spans="1:10" ht="78">
      <c r="A45" s="46" t="s">
        <v>248</v>
      </c>
      <c r="B45" s="33"/>
      <c r="C45" s="35" t="s">
        <v>20</v>
      </c>
      <c r="D45" s="1" t="s">
        <v>24</v>
      </c>
      <c r="E45" s="1" t="s">
        <v>7</v>
      </c>
      <c r="F45" s="2" t="s">
        <v>5</v>
      </c>
      <c r="G45" s="1"/>
      <c r="H45" s="55">
        <f>[1]Initialization!$B$10</f>
        <v>4</v>
      </c>
      <c r="I45" s="44">
        <f>IF('[2]Model Selection'!$B$10=4,1,0)</f>
        <v>0</v>
      </c>
      <c r="J45" s="5" t="s">
        <v>179</v>
      </c>
    </row>
    <row r="46" spans="1:10" ht="78">
      <c r="A46" s="46" t="s">
        <v>249</v>
      </c>
      <c r="B46" s="33"/>
      <c r="C46" s="35" t="s">
        <v>20</v>
      </c>
      <c r="D46" s="1" t="s">
        <v>24</v>
      </c>
      <c r="E46" s="1" t="s">
        <v>7</v>
      </c>
      <c r="F46" s="2" t="s">
        <v>5</v>
      </c>
      <c r="G46" s="1"/>
      <c r="H46" s="55">
        <f>[1]Initialization!$B$10</f>
        <v>4</v>
      </c>
      <c r="I46" s="44">
        <f>IF('[2]Model Selection'!$B$10=4,1,0)</f>
        <v>0</v>
      </c>
      <c r="J46" s="5" t="s">
        <v>179</v>
      </c>
    </row>
    <row r="47" spans="1:10" ht="108">
      <c r="A47" s="46" t="s">
        <v>167</v>
      </c>
      <c r="B47" s="33"/>
      <c r="C47" s="35" t="s">
        <v>3</v>
      </c>
      <c r="D47" s="1" t="s">
        <v>24</v>
      </c>
      <c r="E47" s="1" t="s">
        <v>7</v>
      </c>
      <c r="F47" s="2" t="s">
        <v>5</v>
      </c>
      <c r="G47" s="1">
        <v>1</v>
      </c>
      <c r="H47" s="55">
        <f>[1]Initialization!$B$10</f>
        <v>4</v>
      </c>
      <c r="I47" s="44">
        <f>IF('[2]Model Selection'!$B$10=4,1,0)</f>
        <v>0</v>
      </c>
      <c r="J47" s="5" t="s">
        <v>182</v>
      </c>
    </row>
    <row r="48" spans="1:10" ht="108">
      <c r="A48" s="46" t="s">
        <v>168</v>
      </c>
      <c r="B48" s="33"/>
      <c r="C48" s="35" t="s">
        <v>3</v>
      </c>
      <c r="D48" s="1" t="s">
        <v>24</v>
      </c>
      <c r="E48" s="1" t="s">
        <v>7</v>
      </c>
      <c r="F48" s="2" t="s">
        <v>5</v>
      </c>
      <c r="G48" s="1"/>
      <c r="H48" s="55">
        <f>[1]Initialization!$B$10</f>
        <v>4</v>
      </c>
      <c r="I48" s="44">
        <f>IF('[2]Model Selection'!$B$10=4,1,0)</f>
        <v>0</v>
      </c>
      <c r="J48" s="5" t="s">
        <v>182</v>
      </c>
    </row>
    <row r="49" spans="1:10" ht="108">
      <c r="A49" s="46" t="s">
        <v>246</v>
      </c>
      <c r="B49" s="33"/>
      <c r="C49" s="35" t="s">
        <v>3</v>
      </c>
      <c r="D49" s="1" t="s">
        <v>24</v>
      </c>
      <c r="E49" s="1" t="s">
        <v>7</v>
      </c>
      <c r="F49" s="2" t="s">
        <v>5</v>
      </c>
      <c r="G49" s="1"/>
      <c r="H49" s="55">
        <f>[1]Initialization!$B$10</f>
        <v>4</v>
      </c>
      <c r="I49" s="44">
        <f>IF('[2]Model Selection'!$B$10=4,1,0)</f>
        <v>0</v>
      </c>
      <c r="J49" s="5" t="s">
        <v>182</v>
      </c>
    </row>
    <row r="50" spans="1:10" ht="108">
      <c r="A50" s="46" t="s">
        <v>247</v>
      </c>
      <c r="B50" s="33"/>
      <c r="C50" s="35" t="s">
        <v>3</v>
      </c>
      <c r="D50" s="1" t="s">
        <v>24</v>
      </c>
      <c r="E50" s="1" t="s">
        <v>7</v>
      </c>
      <c r="F50" s="2" t="s">
        <v>5</v>
      </c>
      <c r="G50" s="1"/>
      <c r="H50" s="55">
        <f>[1]Initialization!$B$10</f>
        <v>4</v>
      </c>
      <c r="I50" s="44">
        <f>IF('[2]Model Selection'!$B$10=4,1,0)</f>
        <v>0</v>
      </c>
      <c r="J50" s="5" t="s">
        <v>182</v>
      </c>
    </row>
    <row r="51" spans="1:10" ht="78">
      <c r="A51" s="46" t="s">
        <v>169</v>
      </c>
      <c r="B51" s="33"/>
      <c r="C51" s="35" t="s">
        <v>20</v>
      </c>
      <c r="D51" s="1" t="s">
        <v>24</v>
      </c>
      <c r="E51" s="1" t="s">
        <v>7</v>
      </c>
      <c r="F51" s="2" t="s">
        <v>5</v>
      </c>
      <c r="G51" s="1">
        <v>1</v>
      </c>
      <c r="H51" s="55">
        <f>[1]Initialization!$B$10</f>
        <v>4</v>
      </c>
      <c r="I51" s="44">
        <f>IF('[2]Model Selection'!$B$10=4,1,0)</f>
        <v>0</v>
      </c>
      <c r="J51" s="5" t="s">
        <v>183</v>
      </c>
    </row>
    <row r="52" spans="1:10" ht="78">
      <c r="A52" s="46" t="s">
        <v>170</v>
      </c>
      <c r="B52" s="33"/>
      <c r="C52" s="35" t="s">
        <v>20</v>
      </c>
      <c r="D52" s="1" t="s">
        <v>24</v>
      </c>
      <c r="E52" s="1" t="s">
        <v>7</v>
      </c>
      <c r="F52" s="2" t="s">
        <v>5</v>
      </c>
      <c r="G52" s="1"/>
      <c r="H52" s="55">
        <f>[1]Initialization!$B$10</f>
        <v>4</v>
      </c>
      <c r="I52" s="44">
        <f>IF('[2]Model Selection'!$B$10=4,1,0)</f>
        <v>0</v>
      </c>
      <c r="J52" s="5" t="s">
        <v>183</v>
      </c>
    </row>
    <row r="53" spans="1:10" ht="78">
      <c r="A53" s="46" t="s">
        <v>244</v>
      </c>
      <c r="B53" s="33"/>
      <c r="C53" s="35" t="s">
        <v>20</v>
      </c>
      <c r="D53" s="1" t="s">
        <v>24</v>
      </c>
      <c r="E53" s="1" t="s">
        <v>7</v>
      </c>
      <c r="F53" s="2" t="s">
        <v>5</v>
      </c>
      <c r="G53" s="1"/>
      <c r="H53" s="55">
        <f>[1]Initialization!$B$10</f>
        <v>4</v>
      </c>
      <c r="I53" s="44">
        <f>IF('[2]Model Selection'!$B$10=4,1,0)</f>
        <v>0</v>
      </c>
      <c r="J53" s="5" t="s">
        <v>183</v>
      </c>
    </row>
    <row r="54" spans="1:10" ht="78">
      <c r="A54" s="46" t="s">
        <v>245</v>
      </c>
      <c r="B54" s="33"/>
      <c r="C54" s="35" t="s">
        <v>20</v>
      </c>
      <c r="D54" s="1" t="s">
        <v>24</v>
      </c>
      <c r="E54" s="1" t="s">
        <v>7</v>
      </c>
      <c r="F54" s="2" t="s">
        <v>5</v>
      </c>
      <c r="G54" s="1"/>
      <c r="H54" s="55">
        <f>[1]Initialization!$B$10</f>
        <v>4</v>
      </c>
      <c r="I54" s="44">
        <f>IF('[2]Model Selection'!$B$10=4,1,0)</f>
        <v>0</v>
      </c>
      <c r="J54" s="5" t="s">
        <v>183</v>
      </c>
    </row>
    <row r="55" spans="1:10" ht="45">
      <c r="A55" s="56" t="s">
        <v>184</v>
      </c>
      <c r="B55" s="57"/>
      <c r="C55" s="35" t="s">
        <v>158</v>
      </c>
      <c r="D55" s="1" t="s">
        <v>24</v>
      </c>
      <c r="E55" s="1" t="s">
        <v>11</v>
      </c>
      <c r="F55" s="2" t="s">
        <v>5</v>
      </c>
      <c r="G55" s="1">
        <v>1</v>
      </c>
      <c r="H55" s="55">
        <f>[1]Initialization!$B$10</f>
        <v>4</v>
      </c>
      <c r="I55" s="44">
        <f>IF(OR('[2]Model Selection'!$B$10=5,'[2]Model Selection'!$B$10=6),1,0)</f>
        <v>0</v>
      </c>
      <c r="J55" s="58" t="s">
        <v>185</v>
      </c>
    </row>
    <row r="56" spans="1:10" ht="45">
      <c r="A56" s="56" t="s">
        <v>186</v>
      </c>
      <c r="B56" s="57"/>
      <c r="C56" s="35" t="s">
        <v>158</v>
      </c>
      <c r="D56" s="1" t="s">
        <v>24</v>
      </c>
      <c r="E56" s="1" t="s">
        <v>11</v>
      </c>
      <c r="F56" s="2" t="s">
        <v>5</v>
      </c>
      <c r="G56" s="1"/>
      <c r="H56" s="55">
        <f>[1]Initialization!$B$10</f>
        <v>4</v>
      </c>
      <c r="I56" s="44">
        <f>IF(OR('[2]Model Selection'!$B$10=5,'[2]Model Selection'!$B$10=6),1,0)</f>
        <v>0</v>
      </c>
      <c r="J56" s="58" t="s">
        <v>185</v>
      </c>
    </row>
    <row r="57" spans="1:10" ht="45">
      <c r="A57" s="56" t="s">
        <v>242</v>
      </c>
      <c r="B57" s="57"/>
      <c r="C57" s="35" t="s">
        <v>158</v>
      </c>
      <c r="D57" s="1" t="s">
        <v>24</v>
      </c>
      <c r="E57" s="1" t="s">
        <v>11</v>
      </c>
      <c r="F57" s="2" t="s">
        <v>5</v>
      </c>
      <c r="G57" s="1"/>
      <c r="H57" s="55">
        <f>[1]Initialization!$B$10</f>
        <v>4</v>
      </c>
      <c r="I57" s="44">
        <f>IF(OR('[2]Model Selection'!$B$10=5,'[2]Model Selection'!$B$10=6),1,0)</f>
        <v>0</v>
      </c>
      <c r="J57" s="58" t="s">
        <v>185</v>
      </c>
    </row>
    <row r="58" spans="1:10" ht="45">
      <c r="A58" s="56" t="s">
        <v>243</v>
      </c>
      <c r="B58" s="57"/>
      <c r="C58" s="35" t="s">
        <v>158</v>
      </c>
      <c r="D58" s="1" t="s">
        <v>24</v>
      </c>
      <c r="E58" s="1" t="s">
        <v>11</v>
      </c>
      <c r="F58" s="2" t="s">
        <v>5</v>
      </c>
      <c r="G58" s="1"/>
      <c r="H58" s="55">
        <f>[1]Initialization!$B$10</f>
        <v>4</v>
      </c>
      <c r="I58" s="44">
        <f>IF(OR('[2]Model Selection'!$B$10=5,'[2]Model Selection'!$B$10=6),1,0)</f>
        <v>0</v>
      </c>
      <c r="J58" s="58" t="s">
        <v>185</v>
      </c>
    </row>
    <row r="59" spans="1:10" ht="45">
      <c r="A59" s="56" t="s">
        <v>187</v>
      </c>
      <c r="B59" s="57"/>
      <c r="C59" s="35" t="s">
        <v>158</v>
      </c>
      <c r="D59" s="1" t="s">
        <v>24</v>
      </c>
      <c r="E59" s="1" t="s">
        <v>11</v>
      </c>
      <c r="F59" s="2" t="s">
        <v>5</v>
      </c>
      <c r="G59" s="1">
        <v>1</v>
      </c>
      <c r="H59" s="55">
        <f>[1]Initialization!$B$10</f>
        <v>4</v>
      </c>
      <c r="I59" s="44">
        <f>IF(OR('[2]Model Selection'!$B$10=5,'[2]Model Selection'!$B$10=6),1,0)</f>
        <v>0</v>
      </c>
      <c r="J59" s="58" t="s">
        <v>188</v>
      </c>
    </row>
    <row r="60" spans="1:10" ht="45">
      <c r="A60" s="56" t="s">
        <v>189</v>
      </c>
      <c r="B60" s="57"/>
      <c r="C60" s="35" t="s">
        <v>158</v>
      </c>
      <c r="D60" s="1" t="s">
        <v>24</v>
      </c>
      <c r="E60" s="1" t="s">
        <v>11</v>
      </c>
      <c r="F60" s="2" t="s">
        <v>5</v>
      </c>
      <c r="G60" s="1"/>
      <c r="H60" s="55">
        <f>[1]Initialization!$B$10</f>
        <v>4</v>
      </c>
      <c r="I60" s="44">
        <f>IF(OR('[2]Model Selection'!$B$10=5,'[2]Model Selection'!$B$10=6),1,0)</f>
        <v>0</v>
      </c>
      <c r="J60" s="58" t="s">
        <v>188</v>
      </c>
    </row>
    <row r="61" spans="1:10" ht="45">
      <c r="A61" s="56" t="s">
        <v>240</v>
      </c>
      <c r="B61" s="57"/>
      <c r="C61" s="35" t="s">
        <v>158</v>
      </c>
      <c r="D61" s="1" t="s">
        <v>24</v>
      </c>
      <c r="E61" s="1" t="s">
        <v>11</v>
      </c>
      <c r="F61" s="2" t="s">
        <v>5</v>
      </c>
      <c r="G61" s="1"/>
      <c r="H61" s="55">
        <f>[1]Initialization!$B$10</f>
        <v>4</v>
      </c>
      <c r="I61" s="44">
        <f>IF(OR('[2]Model Selection'!$B$10=5,'[2]Model Selection'!$B$10=6),1,0)</f>
        <v>0</v>
      </c>
      <c r="J61" s="58" t="s">
        <v>188</v>
      </c>
    </row>
    <row r="62" spans="1:10" ht="45">
      <c r="A62" s="56" t="s">
        <v>241</v>
      </c>
      <c r="B62" s="57"/>
      <c r="C62" s="35" t="s">
        <v>158</v>
      </c>
      <c r="D62" s="1" t="s">
        <v>24</v>
      </c>
      <c r="E62" s="1" t="s">
        <v>11</v>
      </c>
      <c r="F62" s="2" t="s">
        <v>5</v>
      </c>
      <c r="G62" s="1"/>
      <c r="H62" s="55">
        <f>[1]Initialization!$B$10</f>
        <v>4</v>
      </c>
      <c r="I62" s="44">
        <f>IF(OR('[2]Model Selection'!$B$10=5,'[2]Model Selection'!$B$10=6),1,0)</f>
        <v>0</v>
      </c>
      <c r="J62" s="58" t="s">
        <v>188</v>
      </c>
    </row>
    <row r="63" spans="1:10" ht="45">
      <c r="A63" s="56" t="s">
        <v>190</v>
      </c>
      <c r="B63" s="57"/>
      <c r="C63" s="35" t="s">
        <v>157</v>
      </c>
      <c r="D63" s="1" t="s">
        <v>24</v>
      </c>
      <c r="E63" s="1" t="s">
        <v>11</v>
      </c>
      <c r="F63" s="2" t="s">
        <v>5</v>
      </c>
      <c r="G63" s="1">
        <v>1</v>
      </c>
      <c r="H63" s="55">
        <f>[1]Initialization!$B$10</f>
        <v>4</v>
      </c>
      <c r="I63" s="44">
        <f>IF(OR('[2]Model Selection'!$B$10=5,'[2]Model Selection'!$B$10=6),1,0)</f>
        <v>0</v>
      </c>
      <c r="J63" s="58" t="s">
        <v>191</v>
      </c>
    </row>
    <row r="64" spans="1:10" ht="45">
      <c r="A64" s="56" t="s">
        <v>192</v>
      </c>
      <c r="B64" s="57"/>
      <c r="C64" s="35" t="s">
        <v>157</v>
      </c>
      <c r="D64" s="1" t="s">
        <v>24</v>
      </c>
      <c r="E64" s="1" t="s">
        <v>11</v>
      </c>
      <c r="F64" s="2" t="s">
        <v>5</v>
      </c>
      <c r="G64" s="1"/>
      <c r="H64" s="55">
        <f>[1]Initialization!$B$10</f>
        <v>4</v>
      </c>
      <c r="I64" s="44">
        <f>IF(OR('[2]Model Selection'!$B$10=5,'[2]Model Selection'!$B$10=6),1,0)</f>
        <v>0</v>
      </c>
      <c r="J64" s="58" t="s">
        <v>191</v>
      </c>
    </row>
    <row r="65" spans="1:10" ht="45">
      <c r="A65" s="56" t="s">
        <v>238</v>
      </c>
      <c r="B65" s="57"/>
      <c r="C65" s="35" t="s">
        <v>157</v>
      </c>
      <c r="D65" s="1" t="s">
        <v>24</v>
      </c>
      <c r="E65" s="1" t="s">
        <v>11</v>
      </c>
      <c r="F65" s="2" t="s">
        <v>5</v>
      </c>
      <c r="G65" s="1"/>
      <c r="H65" s="55">
        <f>[1]Initialization!$B$10</f>
        <v>4</v>
      </c>
      <c r="I65" s="44">
        <f>IF(OR('[2]Model Selection'!$B$10=5,'[2]Model Selection'!$B$10=6),1,0)</f>
        <v>0</v>
      </c>
      <c r="J65" s="58" t="s">
        <v>191</v>
      </c>
    </row>
    <row r="66" spans="1:10" ht="45">
      <c r="A66" s="56" t="s">
        <v>239</v>
      </c>
      <c r="B66" s="57"/>
      <c r="C66" s="35" t="s">
        <v>157</v>
      </c>
      <c r="D66" s="1" t="s">
        <v>24</v>
      </c>
      <c r="E66" s="1" t="s">
        <v>11</v>
      </c>
      <c r="F66" s="2" t="s">
        <v>5</v>
      </c>
      <c r="G66" s="1"/>
      <c r="H66" s="55">
        <f>[1]Initialization!$B$10</f>
        <v>4</v>
      </c>
      <c r="I66" s="44">
        <f>IF(OR('[2]Model Selection'!$B$10=5,'[2]Model Selection'!$B$10=6),1,0)</f>
        <v>0</v>
      </c>
      <c r="J66" s="58" t="s">
        <v>191</v>
      </c>
    </row>
    <row r="67" spans="1:10" ht="45">
      <c r="A67" s="56" t="s">
        <v>193</v>
      </c>
      <c r="B67" s="57"/>
      <c r="C67" s="35" t="s">
        <v>157</v>
      </c>
      <c r="D67" s="1" t="s">
        <v>24</v>
      </c>
      <c r="E67" s="1" t="s">
        <v>11</v>
      </c>
      <c r="F67" s="2" t="s">
        <v>5</v>
      </c>
      <c r="G67" s="1">
        <v>1</v>
      </c>
      <c r="H67" s="55">
        <f>[1]Initialization!$B$10</f>
        <v>4</v>
      </c>
      <c r="I67" s="44">
        <f>IF(OR('[2]Model Selection'!$B$10=5,'[2]Model Selection'!$B$10=6),1,0)</f>
        <v>0</v>
      </c>
      <c r="J67" s="58" t="s">
        <v>194</v>
      </c>
    </row>
    <row r="68" spans="1:10" ht="45">
      <c r="A68" s="56" t="s">
        <v>195</v>
      </c>
      <c r="B68" s="57"/>
      <c r="C68" s="35" t="s">
        <v>157</v>
      </c>
      <c r="D68" s="1" t="s">
        <v>24</v>
      </c>
      <c r="E68" s="1" t="s">
        <v>11</v>
      </c>
      <c r="F68" s="2" t="s">
        <v>5</v>
      </c>
      <c r="G68" s="1"/>
      <c r="H68" s="55">
        <f>[1]Initialization!$B$10</f>
        <v>4</v>
      </c>
      <c r="I68" s="44">
        <f>IF(OR('[2]Model Selection'!$B$10=5,'[2]Model Selection'!$B$10=6),1,0)</f>
        <v>0</v>
      </c>
      <c r="J68" s="58" t="s">
        <v>194</v>
      </c>
    </row>
    <row r="69" spans="1:10" ht="45">
      <c r="A69" s="56" t="s">
        <v>236</v>
      </c>
      <c r="B69" s="57"/>
      <c r="C69" s="35" t="s">
        <v>157</v>
      </c>
      <c r="D69" s="1" t="s">
        <v>24</v>
      </c>
      <c r="E69" s="1" t="s">
        <v>11</v>
      </c>
      <c r="F69" s="2" t="s">
        <v>5</v>
      </c>
      <c r="G69" s="1"/>
      <c r="H69" s="55">
        <f>[1]Initialization!$B$10</f>
        <v>4</v>
      </c>
      <c r="I69" s="44">
        <f>IF(OR('[2]Model Selection'!$B$10=5,'[2]Model Selection'!$B$10=6),1,0)</f>
        <v>0</v>
      </c>
      <c r="J69" s="58" t="s">
        <v>194</v>
      </c>
    </row>
    <row r="70" spans="1:10" ht="45">
      <c r="A70" s="56" t="s">
        <v>237</v>
      </c>
      <c r="B70" s="57"/>
      <c r="C70" s="35" t="s">
        <v>157</v>
      </c>
      <c r="D70" s="1" t="s">
        <v>24</v>
      </c>
      <c r="E70" s="1" t="s">
        <v>11</v>
      </c>
      <c r="F70" s="2" t="s">
        <v>5</v>
      </c>
      <c r="G70" s="1"/>
      <c r="H70" s="55">
        <f>[1]Initialization!$B$10</f>
        <v>4</v>
      </c>
      <c r="I70" s="44">
        <f>IF(OR('[2]Model Selection'!$B$10=5,'[2]Model Selection'!$B$10=6),1,0)</f>
        <v>0</v>
      </c>
      <c r="J70" s="58" t="s">
        <v>194</v>
      </c>
    </row>
    <row r="71" spans="1:10" ht="45">
      <c r="A71" s="56" t="s">
        <v>196</v>
      </c>
      <c r="B71" s="57"/>
      <c r="C71" s="35" t="s">
        <v>3</v>
      </c>
      <c r="D71" s="1" t="s">
        <v>24</v>
      </c>
      <c r="E71" s="1" t="s">
        <v>11</v>
      </c>
      <c r="F71" s="2" t="s">
        <v>5</v>
      </c>
      <c r="G71" s="1">
        <v>1</v>
      </c>
      <c r="H71" s="55">
        <f>[1]Initialization!$B$10</f>
        <v>4</v>
      </c>
      <c r="I71" s="44">
        <f>IF(OR('[2]Model Selection'!$B$10=5,'[2]Model Selection'!$B$10=6),1,0)</f>
        <v>0</v>
      </c>
      <c r="J71" s="58" t="s">
        <v>197</v>
      </c>
    </row>
    <row r="72" spans="1:10" ht="45">
      <c r="A72" s="56" t="s">
        <v>198</v>
      </c>
      <c r="B72" s="57"/>
      <c r="C72" s="35" t="s">
        <v>3</v>
      </c>
      <c r="D72" s="1" t="s">
        <v>24</v>
      </c>
      <c r="E72" s="1" t="s">
        <v>11</v>
      </c>
      <c r="F72" s="2" t="s">
        <v>5</v>
      </c>
      <c r="G72" s="1"/>
      <c r="H72" s="55">
        <f>[1]Initialization!$B$10</f>
        <v>4</v>
      </c>
      <c r="I72" s="44">
        <f>IF(OR('[2]Model Selection'!$B$10=5,'[2]Model Selection'!$B$10=6),1,0)</f>
        <v>0</v>
      </c>
      <c r="J72" s="58" t="s">
        <v>197</v>
      </c>
    </row>
    <row r="73" spans="1:10" ht="45">
      <c r="A73" s="56" t="s">
        <v>234</v>
      </c>
      <c r="B73" s="57"/>
      <c r="C73" s="35" t="s">
        <v>3</v>
      </c>
      <c r="D73" s="1" t="s">
        <v>24</v>
      </c>
      <c r="E73" s="1" t="s">
        <v>11</v>
      </c>
      <c r="F73" s="2" t="s">
        <v>5</v>
      </c>
      <c r="G73" s="1"/>
      <c r="H73" s="55">
        <f>[1]Initialization!$B$10</f>
        <v>4</v>
      </c>
      <c r="I73" s="44">
        <f>IF(OR('[2]Model Selection'!$B$10=5,'[2]Model Selection'!$B$10=6),1,0)</f>
        <v>0</v>
      </c>
      <c r="J73" s="58" t="s">
        <v>197</v>
      </c>
    </row>
    <row r="74" spans="1:10" ht="45">
      <c r="A74" s="56" t="s">
        <v>235</v>
      </c>
      <c r="B74" s="57"/>
      <c r="C74" s="35" t="s">
        <v>3</v>
      </c>
      <c r="D74" s="1" t="s">
        <v>24</v>
      </c>
      <c r="E74" s="1" t="s">
        <v>11</v>
      </c>
      <c r="F74" s="2" t="s">
        <v>5</v>
      </c>
      <c r="G74" s="1"/>
      <c r="H74" s="55">
        <f>[1]Initialization!$B$10</f>
        <v>4</v>
      </c>
      <c r="I74" s="44">
        <f>IF(OR('[2]Model Selection'!$B$10=5,'[2]Model Selection'!$B$10=6),1,0)</f>
        <v>0</v>
      </c>
      <c r="J74" s="58" t="s">
        <v>197</v>
      </c>
    </row>
    <row r="75" spans="1:10" ht="45">
      <c r="A75" s="56" t="s">
        <v>199</v>
      </c>
      <c r="B75" s="57"/>
      <c r="C75" s="35" t="s">
        <v>3</v>
      </c>
      <c r="D75" s="1" t="s">
        <v>24</v>
      </c>
      <c r="E75" s="1" t="s">
        <v>11</v>
      </c>
      <c r="F75" s="2" t="s">
        <v>5</v>
      </c>
      <c r="G75" s="1">
        <v>1</v>
      </c>
      <c r="H75" s="55">
        <f>[1]Initialization!$B$10</f>
        <v>4</v>
      </c>
      <c r="I75" s="44">
        <f>IF(OR('[2]Model Selection'!$B$10=5,'[2]Model Selection'!$B$10=6),1,0)</f>
        <v>0</v>
      </c>
      <c r="J75" s="58" t="s">
        <v>200</v>
      </c>
    </row>
    <row r="76" spans="1:10" ht="45">
      <c r="A76" s="56" t="s">
        <v>201</v>
      </c>
      <c r="B76" s="57"/>
      <c r="C76" s="35" t="s">
        <v>3</v>
      </c>
      <c r="D76" s="1" t="s">
        <v>24</v>
      </c>
      <c r="E76" s="1" t="s">
        <v>11</v>
      </c>
      <c r="F76" s="2" t="s">
        <v>5</v>
      </c>
      <c r="G76" s="1"/>
      <c r="H76" s="55">
        <f>[1]Initialization!$B$10</f>
        <v>4</v>
      </c>
      <c r="I76" s="44">
        <f>IF(OR('[2]Model Selection'!$B$10=5,'[2]Model Selection'!$B$10=6),1,0)</f>
        <v>0</v>
      </c>
      <c r="J76" s="58" t="s">
        <v>200</v>
      </c>
    </row>
    <row r="77" spans="1:10" ht="45">
      <c r="A77" s="56" t="s">
        <v>232</v>
      </c>
      <c r="B77" s="57"/>
      <c r="C77" s="35" t="s">
        <v>3</v>
      </c>
      <c r="D77" s="1" t="s">
        <v>24</v>
      </c>
      <c r="E77" s="1" t="s">
        <v>11</v>
      </c>
      <c r="F77" s="2" t="s">
        <v>5</v>
      </c>
      <c r="G77" s="1"/>
      <c r="H77" s="55">
        <f>[1]Initialization!$B$10</f>
        <v>4</v>
      </c>
      <c r="I77" s="44">
        <f>IF(OR('[2]Model Selection'!$B$10=5,'[2]Model Selection'!$B$10=6),1,0)</f>
        <v>0</v>
      </c>
      <c r="J77" s="58" t="s">
        <v>200</v>
      </c>
    </row>
    <row r="78" spans="1:10" ht="45">
      <c r="A78" s="56" t="s">
        <v>233</v>
      </c>
      <c r="B78" s="57"/>
      <c r="C78" s="35" t="s">
        <v>3</v>
      </c>
      <c r="D78" s="1" t="s">
        <v>24</v>
      </c>
      <c r="E78" s="1" t="s">
        <v>11</v>
      </c>
      <c r="F78" s="2" t="s">
        <v>5</v>
      </c>
      <c r="G78" s="1"/>
      <c r="H78" s="55">
        <f>[1]Initialization!$B$10</f>
        <v>4</v>
      </c>
      <c r="I78" s="44">
        <f>IF(OR('[2]Model Selection'!$B$10=5,'[2]Model Selection'!$B$10=6),1,0)</f>
        <v>0</v>
      </c>
      <c r="J78" s="58" t="s">
        <v>200</v>
      </c>
    </row>
    <row r="79" spans="1:10" ht="45">
      <c r="A79" s="46" t="s">
        <v>220</v>
      </c>
      <c r="B79" s="33">
        <v>0</v>
      </c>
      <c r="C79" s="35" t="s">
        <v>211</v>
      </c>
      <c r="D79" s="1" t="s">
        <v>24</v>
      </c>
      <c r="E79" s="1" t="s">
        <v>11</v>
      </c>
      <c r="F79" s="2" t="s">
        <v>5</v>
      </c>
      <c r="G79" s="1">
        <v>1</v>
      </c>
      <c r="H79" s="55">
        <f>[1]Initialization!$B$10</f>
        <v>4</v>
      </c>
      <c r="I79" s="44">
        <f>IF('[2]Model Selection'!$B$10=7,1,0)</f>
        <v>1</v>
      </c>
      <c r="J79" s="5" t="s">
        <v>210</v>
      </c>
    </row>
    <row r="80" spans="1:10" ht="45">
      <c r="A80" s="46" t="s">
        <v>221</v>
      </c>
      <c r="B80" s="33">
        <v>0</v>
      </c>
      <c r="C80" s="35" t="s">
        <v>211</v>
      </c>
      <c r="D80" s="1" t="s">
        <v>24</v>
      </c>
      <c r="E80" s="1" t="s">
        <v>11</v>
      </c>
      <c r="F80" s="2" t="s">
        <v>5</v>
      </c>
      <c r="G80" s="1"/>
      <c r="H80" s="55">
        <f>[1]Initialization!$B$10</f>
        <v>4</v>
      </c>
      <c r="I80" s="44">
        <f>IF('[2]Model Selection'!$B$10=7,1,0)</f>
        <v>1</v>
      </c>
      <c r="J80" s="5" t="s">
        <v>210</v>
      </c>
    </row>
    <row r="81" spans="1:10" ht="45">
      <c r="A81" s="46" t="s">
        <v>230</v>
      </c>
      <c r="B81" s="33">
        <v>1.97E-3</v>
      </c>
      <c r="C81" s="35" t="s">
        <v>211</v>
      </c>
      <c r="D81" s="1" t="s">
        <v>24</v>
      </c>
      <c r="E81" s="1" t="s">
        <v>11</v>
      </c>
      <c r="F81" s="2" t="s">
        <v>5</v>
      </c>
      <c r="G81" s="1"/>
      <c r="H81" s="55">
        <f>[1]Initialization!$B$10</f>
        <v>4</v>
      </c>
      <c r="I81" s="44">
        <f>IF('[2]Model Selection'!$B$10=7,1,0)</f>
        <v>1</v>
      </c>
      <c r="J81" s="5" t="s">
        <v>210</v>
      </c>
    </row>
    <row r="82" spans="1:10" ht="45">
      <c r="A82" s="46" t="s">
        <v>231</v>
      </c>
      <c r="B82" s="33">
        <v>1E-3</v>
      </c>
      <c r="C82" s="35" t="s">
        <v>211</v>
      </c>
      <c r="D82" s="1" t="s">
        <v>24</v>
      </c>
      <c r="E82" s="1" t="s">
        <v>11</v>
      </c>
      <c r="F82" s="2" t="s">
        <v>5</v>
      </c>
      <c r="G82" s="1"/>
      <c r="H82" s="55">
        <f>[1]Initialization!$B$10</f>
        <v>4</v>
      </c>
      <c r="I82" s="44">
        <f>IF('[2]Model Selection'!$B$10=7,1,0)</f>
        <v>1</v>
      </c>
      <c r="J82" s="5" t="s">
        <v>210</v>
      </c>
    </row>
    <row r="83" spans="1:10" ht="45">
      <c r="A83" s="46" t="s">
        <v>213</v>
      </c>
      <c r="B83" s="33">
        <v>0</v>
      </c>
      <c r="C83" s="35" t="s">
        <v>3</v>
      </c>
      <c r="D83" s="1" t="s">
        <v>24</v>
      </c>
      <c r="E83" s="1" t="s">
        <v>11</v>
      </c>
      <c r="F83" s="2" t="s">
        <v>5</v>
      </c>
      <c r="G83" s="1">
        <v>1</v>
      </c>
      <c r="H83" s="55">
        <f>[1]Initialization!$B$10</f>
        <v>4</v>
      </c>
      <c r="I83" s="44">
        <f>IF('[2]Model Selection'!$B$10=7,1,0)</f>
        <v>1</v>
      </c>
      <c r="J83" s="5" t="s">
        <v>210</v>
      </c>
    </row>
    <row r="84" spans="1:10" ht="45">
      <c r="A84" s="46" t="s">
        <v>219</v>
      </c>
      <c r="B84" s="33">
        <v>0</v>
      </c>
      <c r="C84" s="35" t="s">
        <v>3</v>
      </c>
      <c r="D84" s="1" t="s">
        <v>24</v>
      </c>
      <c r="E84" s="1" t="s">
        <v>11</v>
      </c>
      <c r="F84" s="2" t="s">
        <v>5</v>
      </c>
      <c r="G84" s="1"/>
      <c r="H84" s="55">
        <f>[1]Initialization!$B$10</f>
        <v>4</v>
      </c>
      <c r="I84" s="44">
        <f>IF('[2]Model Selection'!$B$10=7,1,0)</f>
        <v>1</v>
      </c>
      <c r="J84" s="5" t="s">
        <v>210</v>
      </c>
    </row>
    <row r="85" spans="1:10" ht="45">
      <c r="A85" s="46" t="s">
        <v>228</v>
      </c>
      <c r="B85" s="33">
        <v>2.37</v>
      </c>
      <c r="C85" s="35" t="s">
        <v>3</v>
      </c>
      <c r="D85" s="1" t="s">
        <v>24</v>
      </c>
      <c r="E85" s="1" t="s">
        <v>11</v>
      </c>
      <c r="F85" s="2" t="s">
        <v>5</v>
      </c>
      <c r="G85" s="1"/>
      <c r="H85" s="55">
        <f>[1]Initialization!$B$10</f>
        <v>4</v>
      </c>
      <c r="I85" s="44">
        <f>IF('[2]Model Selection'!$B$10=7,1,0)</f>
        <v>1</v>
      </c>
      <c r="J85" s="5" t="s">
        <v>210</v>
      </c>
    </row>
    <row r="86" spans="1:10" ht="45">
      <c r="A86" s="46" t="s">
        <v>229</v>
      </c>
      <c r="B86" s="33">
        <v>0.1</v>
      </c>
      <c r="C86" s="35" t="s">
        <v>3</v>
      </c>
      <c r="D86" s="1" t="s">
        <v>24</v>
      </c>
      <c r="E86" s="1" t="s">
        <v>11</v>
      </c>
      <c r="F86" s="2" t="s">
        <v>5</v>
      </c>
      <c r="G86" s="1"/>
      <c r="H86" s="55">
        <f>[1]Initialization!$B$10</f>
        <v>4</v>
      </c>
      <c r="I86" s="44">
        <f>IF('[2]Model Selection'!$B$10=7,1,0)</f>
        <v>1</v>
      </c>
      <c r="J86" s="5" t="s">
        <v>210</v>
      </c>
    </row>
    <row r="87" spans="1:10" ht="45">
      <c r="A87" s="46" t="s">
        <v>212</v>
      </c>
      <c r="B87" s="33">
        <v>0</v>
      </c>
      <c r="C87" s="35" t="s">
        <v>157</v>
      </c>
      <c r="D87" s="1" t="s">
        <v>24</v>
      </c>
      <c r="E87" s="1" t="s">
        <v>11</v>
      </c>
      <c r="F87" s="2" t="s">
        <v>5</v>
      </c>
      <c r="G87" s="1">
        <v>1</v>
      </c>
      <c r="H87" s="55">
        <f>[1]Initialization!$B$10</f>
        <v>4</v>
      </c>
      <c r="I87" s="44">
        <f>IF('[2]Model Selection'!$B$10=7,1,0)</f>
        <v>1</v>
      </c>
      <c r="J87" s="5" t="s">
        <v>210</v>
      </c>
    </row>
    <row r="88" spans="1:10" ht="45">
      <c r="A88" s="46" t="s">
        <v>218</v>
      </c>
      <c r="B88" s="33">
        <v>0</v>
      </c>
      <c r="C88" s="35" t="s">
        <v>157</v>
      </c>
      <c r="D88" s="1" t="s">
        <v>24</v>
      </c>
      <c r="E88" s="1" t="s">
        <v>11</v>
      </c>
      <c r="F88" s="2" t="s">
        <v>5</v>
      </c>
      <c r="G88" s="1"/>
      <c r="H88" s="55">
        <f>[1]Initialization!$B$10</f>
        <v>4</v>
      </c>
      <c r="I88" s="44">
        <f>IF('[2]Model Selection'!$B$10=7,1,0)</f>
        <v>1</v>
      </c>
      <c r="J88" s="5" t="s">
        <v>210</v>
      </c>
    </row>
    <row r="89" spans="1:10" ht="45">
      <c r="A89" s="46" t="s">
        <v>226</v>
      </c>
      <c r="B89" s="33">
        <v>22.5</v>
      </c>
      <c r="C89" s="35" t="s">
        <v>157</v>
      </c>
      <c r="D89" s="1" t="s">
        <v>24</v>
      </c>
      <c r="E89" s="1" t="s">
        <v>11</v>
      </c>
      <c r="F89" s="2" t="s">
        <v>5</v>
      </c>
      <c r="G89" s="1"/>
      <c r="H89" s="55">
        <f>[1]Initialization!$B$10</f>
        <v>4</v>
      </c>
      <c r="I89" s="44">
        <f>IF('[2]Model Selection'!$B$10=7,1,0)</f>
        <v>1</v>
      </c>
      <c r="J89" s="5" t="s">
        <v>210</v>
      </c>
    </row>
    <row r="90" spans="1:10" ht="45">
      <c r="A90" s="46" t="s">
        <v>227</v>
      </c>
      <c r="B90" s="33">
        <v>22.5</v>
      </c>
      <c r="C90" s="35" t="s">
        <v>157</v>
      </c>
      <c r="D90" s="1" t="s">
        <v>24</v>
      </c>
      <c r="E90" s="1" t="s">
        <v>11</v>
      </c>
      <c r="F90" s="2" t="s">
        <v>5</v>
      </c>
      <c r="G90" s="1"/>
      <c r="H90" s="55">
        <f>[1]Initialization!$B$10</f>
        <v>4</v>
      </c>
      <c r="I90" s="44">
        <f>IF('[2]Model Selection'!$B$10=7,1,0)</f>
        <v>1</v>
      </c>
      <c r="J90" s="5" t="s">
        <v>210</v>
      </c>
    </row>
    <row r="91" spans="1:10" ht="45">
      <c r="A91" s="46" t="s">
        <v>214</v>
      </c>
      <c r="B91" s="33">
        <v>0</v>
      </c>
      <c r="C91" s="35" t="s">
        <v>3</v>
      </c>
      <c r="D91" s="1" t="s">
        <v>24</v>
      </c>
      <c r="E91" s="1" t="s">
        <v>11</v>
      </c>
      <c r="F91" s="2" t="s">
        <v>5</v>
      </c>
      <c r="G91" s="1">
        <v>1</v>
      </c>
      <c r="H91" s="55">
        <f>[1]Initialization!$B$10</f>
        <v>4</v>
      </c>
      <c r="I91" s="44">
        <f>IF('[2]Model Selection'!$B$10=7,1,0)</f>
        <v>1</v>
      </c>
      <c r="J91" s="5" t="s">
        <v>210</v>
      </c>
    </row>
    <row r="92" spans="1:10" ht="45">
      <c r="A92" s="46" t="s">
        <v>217</v>
      </c>
      <c r="B92" s="33">
        <v>0</v>
      </c>
      <c r="C92" s="35" t="s">
        <v>3</v>
      </c>
      <c r="D92" s="1" t="s">
        <v>24</v>
      </c>
      <c r="E92" s="1" t="s">
        <v>11</v>
      </c>
      <c r="F92" s="2" t="s">
        <v>5</v>
      </c>
      <c r="G92" s="1"/>
      <c r="H92" s="55">
        <f>[1]Initialization!$B$10</f>
        <v>4</v>
      </c>
      <c r="I92" s="44">
        <f>IF('[2]Model Selection'!$B$10=7,1,0)</f>
        <v>1</v>
      </c>
      <c r="J92" s="5" t="s">
        <v>210</v>
      </c>
    </row>
    <row r="93" spans="1:10" ht="45">
      <c r="A93" s="46" t="s">
        <v>224</v>
      </c>
      <c r="B93" s="33">
        <v>0.42199999999999999</v>
      </c>
      <c r="C93" s="35" t="s">
        <v>3</v>
      </c>
      <c r="D93" s="1" t="s">
        <v>24</v>
      </c>
      <c r="E93" s="1" t="s">
        <v>11</v>
      </c>
      <c r="F93" s="2" t="s">
        <v>5</v>
      </c>
      <c r="G93" s="1"/>
      <c r="H93" s="55">
        <f>[1]Initialization!$B$10</f>
        <v>4</v>
      </c>
      <c r="I93" s="44">
        <f>IF('[2]Model Selection'!$B$10=7,1,0)</f>
        <v>1</v>
      </c>
      <c r="J93" s="5" t="s">
        <v>210</v>
      </c>
    </row>
    <row r="94" spans="1:10" ht="45">
      <c r="A94" s="46" t="s">
        <v>225</v>
      </c>
      <c r="B94" s="33">
        <v>0.1</v>
      </c>
      <c r="C94" s="35" t="s">
        <v>3</v>
      </c>
      <c r="D94" s="1" t="s">
        <v>24</v>
      </c>
      <c r="E94" s="1" t="s">
        <v>11</v>
      </c>
      <c r="F94" s="2" t="s">
        <v>5</v>
      </c>
      <c r="G94" s="1"/>
      <c r="H94" s="55">
        <f>[1]Initialization!$B$10</f>
        <v>4</v>
      </c>
      <c r="I94" s="44">
        <f>IF('[2]Model Selection'!$B$10=7,1,0)</f>
        <v>1</v>
      </c>
      <c r="J94" s="5" t="s">
        <v>210</v>
      </c>
    </row>
    <row r="95" spans="1:10" ht="45">
      <c r="A95" s="46" t="s">
        <v>215</v>
      </c>
      <c r="B95" s="33">
        <v>1</v>
      </c>
      <c r="C95" s="35" t="s">
        <v>3</v>
      </c>
      <c r="D95" s="1" t="s">
        <v>24</v>
      </c>
      <c r="E95" s="1" t="s">
        <v>11</v>
      </c>
      <c r="F95" s="2" t="s">
        <v>5</v>
      </c>
      <c r="G95" s="1">
        <v>1</v>
      </c>
      <c r="H95" s="55">
        <f>[1]Initialization!$B$10</f>
        <v>4</v>
      </c>
      <c r="I95" s="44">
        <f>IF('[2]Model Selection'!$B$10=7,1,0)</f>
        <v>1</v>
      </c>
      <c r="J95" s="5" t="s">
        <v>210</v>
      </c>
    </row>
    <row r="96" spans="1:10" ht="45">
      <c r="A96" s="46" t="s">
        <v>216</v>
      </c>
      <c r="B96" s="33">
        <v>1</v>
      </c>
      <c r="C96" s="35" t="s">
        <v>3</v>
      </c>
      <c r="D96" s="1" t="s">
        <v>24</v>
      </c>
      <c r="E96" s="1" t="s">
        <v>11</v>
      </c>
      <c r="F96" s="2" t="s">
        <v>5</v>
      </c>
      <c r="G96" s="1"/>
      <c r="H96" s="55">
        <f>[1]Initialization!$B$10</f>
        <v>4</v>
      </c>
      <c r="I96" s="44">
        <f>IF('[2]Model Selection'!$B$10=7,1,0)</f>
        <v>1</v>
      </c>
      <c r="J96" s="5" t="s">
        <v>210</v>
      </c>
    </row>
    <row r="97" spans="1:10" ht="45">
      <c r="A97" s="46" t="s">
        <v>222</v>
      </c>
      <c r="B97" s="33">
        <v>0.94899999999999995</v>
      </c>
      <c r="C97" s="35" t="s">
        <v>3</v>
      </c>
      <c r="D97" s="1" t="s">
        <v>24</v>
      </c>
      <c r="E97" s="1" t="s">
        <v>11</v>
      </c>
      <c r="F97" s="2" t="s">
        <v>5</v>
      </c>
      <c r="G97" s="1"/>
      <c r="H97" s="55">
        <f>[1]Initialization!$B$10</f>
        <v>4</v>
      </c>
      <c r="I97" s="44">
        <f>IF('[2]Model Selection'!$B$10=7,1,0)</f>
        <v>1</v>
      </c>
      <c r="J97" s="5" t="s">
        <v>210</v>
      </c>
    </row>
    <row r="98" spans="1:10" ht="45">
      <c r="A98" s="46" t="s">
        <v>223</v>
      </c>
      <c r="B98" s="33">
        <v>1</v>
      </c>
      <c r="C98" s="35" t="s">
        <v>3</v>
      </c>
      <c r="D98" s="1" t="s">
        <v>24</v>
      </c>
      <c r="E98" s="1" t="s">
        <v>11</v>
      </c>
      <c r="F98" s="2" t="s">
        <v>5</v>
      </c>
      <c r="G98" s="1"/>
      <c r="H98" s="55">
        <f>[1]Initialization!$B$10</f>
        <v>4</v>
      </c>
      <c r="I98" s="44">
        <f>IF('[2]Model Selection'!$B$10=7,1,0)</f>
        <v>1</v>
      </c>
      <c r="J98" s="5" t="s">
        <v>210</v>
      </c>
    </row>
    <row r="99" spans="1:10" ht="15">
      <c r="A99" s="8" t="s">
        <v>86</v>
      </c>
      <c r="B99" s="34"/>
      <c r="C99" s="9"/>
      <c r="D99" s="10"/>
      <c r="E99" s="10"/>
      <c r="F99" s="9"/>
      <c r="G99" s="10">
        <v>1</v>
      </c>
      <c r="H99" s="10">
        <v>1</v>
      </c>
      <c r="I99" s="11">
        <v>0</v>
      </c>
      <c r="J99" s="12" t="s">
        <v>87</v>
      </c>
    </row>
    <row r="100" spans="1:10" ht="14.65" hidden="1" customHeight="1"/>
    <row r="101" spans="1:10" ht="14.65" hidden="1" customHeight="1"/>
    <row r="102" spans="1:10" ht="14.65" hidden="1" customHeight="1"/>
    <row r="103" spans="1:10" ht="14.65" hidden="1" customHeight="1"/>
    <row r="104" spans="1:10" ht="14.65" hidden="1" customHeight="1"/>
    <row r="105" spans="1:10" ht="14.65" hidden="1" customHeight="1"/>
    <row r="106" spans="1:10" ht="14.65" hidden="1" customHeight="1"/>
    <row r="107" spans="1:10" ht="14.65" hidden="1" customHeight="1"/>
    <row r="108" spans="1:10" ht="14.65" hidden="1" customHeight="1"/>
    <row r="109" spans="1:10" ht="14.65" hidden="1" customHeight="1"/>
    <row r="110" spans="1:10" ht="14.65" hidden="1" customHeight="1"/>
    <row r="111" spans="1:10" ht="14.65" hidden="1" customHeight="1"/>
    <row r="112" spans="1:10" ht="14.65" hidden="1" customHeight="1"/>
    <row r="113" ht="14.65" hidden="1" customHeight="1"/>
    <row r="114" ht="14.65" hidden="1" customHeight="1"/>
    <row r="115" ht="14.65" hidden="1" customHeight="1"/>
    <row r="116" ht="14.65" hidden="1" customHeight="1"/>
    <row r="117" ht="14.65" hidden="1" customHeight="1"/>
    <row r="118" ht="14.65" hidden="1" customHeight="1"/>
    <row r="119" ht="14.65" hidden="1" customHeight="1"/>
  </sheetData>
  <sheetProtection algorithmName="SHA-512" hashValue="1AMLV1GeeXv+TJ7SjAYyIaVw/csi+PFIT4DzJLCwB3/wBfxu7glmgUPFpAy9wO67eJ38SmrTd3msOz8fq5tBaQ==" saltValue="ajoNnz6EUzl3ualKjRDWDQ==" spinCount="100000" sheet="1" objects="1" scenarios="1" selectLockedCells="1"/>
  <mergeCells count="2">
    <mergeCell ref="A3:J3"/>
    <mergeCell ref="J4:J8"/>
  </mergeCells>
  <conditionalFormatting sqref="B10:B99">
    <cfRule type="expression" dxfId="65" priority="82">
      <formula>IF(AND($B10&lt;&gt;"",$I10=0),1,0)</formula>
    </cfRule>
    <cfRule type="expression" dxfId="64" priority="83">
      <formula>IF($B10&lt;&gt;"",1,0)</formula>
    </cfRule>
    <cfRule type="expression" dxfId="63" priority="84">
      <formula>$I10=0</formula>
    </cfRule>
  </conditionalFormatting>
  <conditionalFormatting sqref="B10">
    <cfRule type="expression" dxfId="62" priority="70">
      <formula>IF(AND($B10&lt;&gt;"",$I10=0),1,0)</formula>
    </cfRule>
    <cfRule type="expression" dxfId="61" priority="71">
      <formula>IF($B10&lt;&gt;"",1,0)</formula>
    </cfRule>
    <cfRule type="expression" dxfId="60" priority="72">
      <formula>$I10=0</formula>
    </cfRule>
  </conditionalFormatting>
  <conditionalFormatting sqref="J4">
    <cfRule type="expression" dxfId="59" priority="3254">
      <formula>IF(COUNTA($B$10:$B$99)&lt;&gt;COUNTIF($I$10:$I$99,1),1,0)</formula>
    </cfRule>
    <cfRule type="expression" dxfId="58" priority="3255">
      <formula>IF(COUNTA($B$10:$B$99)=COUNTIF($I$10:$I$99,1),1,0)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180975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E10:E99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F10:F99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D10:D99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6"/>
  <sheetViews>
    <sheetView showGridLines="0" zoomScaleNormal="100" zoomScaleSheetLayoutView="85" workbookViewId="0">
      <pane ySplit="9" topLeftCell="A10" activePane="bottomLeft" state="frozen"/>
      <selection activeCell="A10" sqref="A10:J10"/>
      <selection pane="bottomLeft" activeCell="B13" sqref="B13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IF(COUNTIF(Table19312131415[Test 3],1)=COUNTA(Table19312131415[Value]),"Ready","Not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45">
      <c r="A10" s="4" t="s">
        <v>82</v>
      </c>
      <c r="B10" s="33">
        <v>0.1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4</v>
      </c>
      <c r="I10" s="6">
        <v>1</v>
      </c>
      <c r="J10" s="5" t="s">
        <v>74</v>
      </c>
    </row>
    <row r="11" spans="1:10" ht="45">
      <c r="A11" s="4" t="s">
        <v>83</v>
      </c>
      <c r="B11" s="33">
        <v>0.1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4</v>
      </c>
      <c r="I11" s="6">
        <v>1</v>
      </c>
      <c r="J11" s="5" t="s">
        <v>74</v>
      </c>
    </row>
    <row r="12" spans="1:10" ht="45">
      <c r="A12" s="4" t="s">
        <v>266</v>
      </c>
      <c r="B12" s="33">
        <v>0.14080000000000001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4</v>
      </c>
      <c r="I12" s="6">
        <v>1</v>
      </c>
      <c r="J12" s="5" t="s">
        <v>74</v>
      </c>
    </row>
    <row r="13" spans="1:10" ht="45">
      <c r="A13" s="4" t="s">
        <v>267</v>
      </c>
      <c r="B13" s="33">
        <v>9.7999999999999997E-3</v>
      </c>
      <c r="C13" s="2" t="s">
        <v>22</v>
      </c>
      <c r="D13" s="1" t="s">
        <v>23</v>
      </c>
      <c r="E13" s="1" t="s">
        <v>7</v>
      </c>
      <c r="F13" s="2" t="s">
        <v>5</v>
      </c>
      <c r="G13" s="1"/>
      <c r="H13" s="55">
        <f>[1]Initialization!$B$10</f>
        <v>4</v>
      </c>
      <c r="I13" s="6">
        <v>1</v>
      </c>
      <c r="J13" s="5" t="s">
        <v>74</v>
      </c>
    </row>
    <row r="14" spans="1:10" ht="15">
      <c r="A14" s="8" t="s">
        <v>86</v>
      </c>
      <c r="B14" s="34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87</v>
      </c>
    </row>
    <row r="15" spans="1:10" ht="14.65" hidden="1" customHeight="1"/>
    <row r="16" spans="1:10" ht="14.65" hidden="1" customHeight="1"/>
  </sheetData>
  <sheetProtection algorithmName="SHA-512" hashValue="HNgJtfQBi6YaB5DEAezD43fgORJUwgP7RKpB14URtoeeHRVmD3Bzc9WE+7vGQDH6ZazUVqDYJYsT9aswzJqW2Q==" saltValue="FduDbO+GvunDuHIXtonyYA==" spinCount="100000" sheet="1" objects="1" scenarios="1" selectLockedCells="1"/>
  <mergeCells count="2">
    <mergeCell ref="A3:J3"/>
    <mergeCell ref="J4:J8"/>
  </mergeCells>
  <conditionalFormatting sqref="B10:B14">
    <cfRule type="expression" dxfId="42" priority="13">
      <formula>IF(AND($B10&lt;&gt;"",$I10=0),1,0)</formula>
    </cfRule>
    <cfRule type="expression" dxfId="41" priority="14">
      <formula>IF($B10&lt;&gt;"",1,0)</formula>
    </cfRule>
    <cfRule type="expression" dxfId="40" priority="15">
      <formula>$I10=0</formula>
    </cfRule>
  </conditionalFormatting>
  <conditionalFormatting sqref="J4">
    <cfRule type="expression" dxfId="39" priority="3262">
      <formula>IF(COUNTA($B$10:$B$14)&lt;&gt;COUNTIF($I$10:$I$14,1),1,0)</formula>
    </cfRule>
    <cfRule type="expression" dxfId="38" priority="3263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D10:D14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F10:F14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IF(COUNTIF(Table1931213141516[Test 3],1)=COUNTA(Table1931213141516[Value]),"Ready","Not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45">
      <c r="A10" s="46" t="s">
        <v>125</v>
      </c>
      <c r="B10" s="33">
        <v>2070</v>
      </c>
      <c r="C10" s="35" t="s">
        <v>129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126</v>
      </c>
    </row>
    <row r="11" spans="1:10" ht="15">
      <c r="A11" s="8" t="s">
        <v>86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rvow1336XC8DmmCxw/CaKzTEr2iRkE55YWz8WCFr1Kh2xQBUA2RKaBairH8qpKef1nd8oVMvcacuRkaTrMrzZg==" saltValue="+DFzr6u61IgzCMwm9H0vH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topLeftCell="A21" zoomScaleNormal="100" zoomScaleSheetLayoutView="55" workbookViewId="0">
      <selection activeCell="C53" sqref="C53"/>
    </sheetView>
  </sheetViews>
  <sheetFormatPr defaultColWidth="0" defaultRowHeight="14.65" customHeight="1" zeroHeight="1"/>
  <cols>
    <col min="1" max="2" width="8.7109375" style="48" customWidth="1"/>
    <col min="3" max="3" width="13.140625" style="48" customWidth="1"/>
    <col min="4" max="4" width="13.42578125" style="48" customWidth="1"/>
    <col min="5" max="7" width="8.7109375" style="48" customWidth="1"/>
    <col min="8" max="8" width="14.7109375" style="48" customWidth="1"/>
    <col min="9" max="9" width="11.7109375" style="48" customWidth="1"/>
    <col min="10" max="10" width="10.28515625" style="48" customWidth="1"/>
    <col min="11" max="11" width="33.7109375" style="48" customWidth="1"/>
    <col min="12" max="12" width="40.7109375" style="48" customWidth="1"/>
    <col min="13" max="18" width="8.7109375" style="48" customWidth="1"/>
    <col min="19" max="48" width="0" style="48" hidden="1" customWidth="1"/>
    <col min="49" max="16384" width="8.7109375" style="48" hidden="1"/>
  </cols>
  <sheetData>
    <row r="1" spans="1:18" ht="14.65" customHeight="1">
      <c r="A1" s="26" t="s">
        <v>153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94</v>
      </c>
    </row>
    <row r="2" spans="1:18" ht="15">
      <c r="A2" s="65" t="s">
        <v>101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</row>
    <row r="3" spans="1:18" ht="15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>
      <c r="A4" s="24" t="s">
        <v>105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>
      <c r="A5" s="24"/>
      <c r="B5" s="49" t="s">
        <v>106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>
      <c r="A6" s="24"/>
      <c r="B6" s="49" t="s">
        <v>107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>
      <c r="A10" s="24"/>
      <c r="B10" s="49" t="s">
        <v>116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>
      <c r="A15" s="24" t="s">
        <v>102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>
      <c r="A16" s="24" t="s">
        <v>103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>
      <c r="A23" s="24" t="s">
        <v>109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>
      <c r="A24" s="24" t="s">
        <v>110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>
      <c r="A32" s="24" t="s">
        <v>114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>
      <c r="A33" s="24" t="s">
        <v>115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>
      <c r="A43" s="24" t="s">
        <v>108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>
      <c r="A44" s="24" t="s">
        <v>104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>
      <c r="A46" s="24" t="s">
        <v>151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>
      <c r="A47" s="24" t="s">
        <v>111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>
      <c r="A49" s="24" t="s">
        <v>113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>
      <c r="A50" s="24" t="s">
        <v>112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>
      <c r="A54" s="24"/>
      <c r="B54" s="49" t="s">
        <v>117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>
      <c r="A55" s="24"/>
      <c r="B55" s="49"/>
      <c r="C55" s="49" t="s">
        <v>121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>
      <c r="A56" s="24"/>
      <c r="B56" s="49"/>
      <c r="C56" s="49"/>
      <c r="D56" s="49" t="s">
        <v>122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>
      <c r="A57" s="24"/>
      <c r="B57" s="49"/>
      <c r="C57" s="49"/>
      <c r="D57" s="49" t="s">
        <v>123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>
      <c r="A58" s="24"/>
      <c r="B58" s="49"/>
      <c r="C58" s="49" t="s">
        <v>124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3" sqref="A3"/>
    </sheetView>
  </sheetViews>
  <sheetFormatPr defaultColWidth="8.7109375" defaultRowHeight="15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DB2"/>
  <sheetViews>
    <sheetView workbookViewId="0">
      <selection activeCell="CM2" sqref="CM2"/>
    </sheetView>
  </sheetViews>
  <sheetFormatPr defaultColWidth="8.7109375" defaultRowHeight="15"/>
  <sheetData>
    <row r="1" spans="1:106">
      <c r="A1" t="s">
        <v>147</v>
      </c>
      <c r="B1" t="s">
        <v>86</v>
      </c>
      <c r="C1" t="s">
        <v>120</v>
      </c>
      <c r="D1" t="s">
        <v>134</v>
      </c>
      <c r="E1" t="s">
        <v>135</v>
      </c>
      <c r="F1" t="s">
        <v>86</v>
      </c>
      <c r="G1" t="s">
        <v>66</v>
      </c>
      <c r="H1" t="s">
        <v>67</v>
      </c>
      <c r="I1" t="s">
        <v>86</v>
      </c>
      <c r="J1" t="s">
        <v>130</v>
      </c>
      <c r="K1" t="s">
        <v>155</v>
      </c>
      <c r="L1" t="s">
        <v>209</v>
      </c>
      <c r="M1" t="s">
        <v>264</v>
      </c>
      <c r="N1" t="s">
        <v>265</v>
      </c>
      <c r="O1" t="s">
        <v>71</v>
      </c>
      <c r="P1" t="s">
        <v>208</v>
      </c>
      <c r="Q1" t="s">
        <v>262</v>
      </c>
      <c r="R1" t="s">
        <v>263</v>
      </c>
      <c r="S1" t="s">
        <v>72</v>
      </c>
      <c r="T1" t="s">
        <v>207</v>
      </c>
      <c r="U1" t="s">
        <v>260</v>
      </c>
      <c r="V1" t="s">
        <v>261</v>
      </c>
      <c r="W1" t="s">
        <v>160</v>
      </c>
      <c r="X1" t="s">
        <v>206</v>
      </c>
      <c r="Y1" t="s">
        <v>258</v>
      </c>
      <c r="Z1" t="s">
        <v>259</v>
      </c>
      <c r="AA1" t="s">
        <v>161</v>
      </c>
      <c r="AB1" t="s">
        <v>205</v>
      </c>
      <c r="AC1" t="s">
        <v>256</v>
      </c>
      <c r="AD1" t="s">
        <v>257</v>
      </c>
      <c r="AE1" t="s">
        <v>162</v>
      </c>
      <c r="AF1" t="s">
        <v>204</v>
      </c>
      <c r="AG1" t="s">
        <v>254</v>
      </c>
      <c r="AH1" t="s">
        <v>255</v>
      </c>
      <c r="AI1" t="s">
        <v>163</v>
      </c>
      <c r="AJ1" t="s">
        <v>203</v>
      </c>
      <c r="AK1" t="s">
        <v>252</v>
      </c>
      <c r="AL1" t="s">
        <v>253</v>
      </c>
      <c r="AM1" t="s">
        <v>164</v>
      </c>
      <c r="AN1" t="s">
        <v>202</v>
      </c>
      <c r="AO1" t="s">
        <v>250</v>
      </c>
      <c r="AP1" t="s">
        <v>251</v>
      </c>
      <c r="AQ1" t="s">
        <v>165</v>
      </c>
      <c r="AR1" t="s">
        <v>166</v>
      </c>
      <c r="AS1" t="s">
        <v>248</v>
      </c>
      <c r="AT1" t="s">
        <v>249</v>
      </c>
      <c r="AU1" t="s">
        <v>167</v>
      </c>
      <c r="AV1" t="s">
        <v>168</v>
      </c>
      <c r="AW1" t="s">
        <v>246</v>
      </c>
      <c r="AX1" t="s">
        <v>247</v>
      </c>
      <c r="AY1" t="s">
        <v>169</v>
      </c>
      <c r="AZ1" t="s">
        <v>170</v>
      </c>
      <c r="BA1" t="s">
        <v>244</v>
      </c>
      <c r="BB1" t="s">
        <v>245</v>
      </c>
      <c r="BC1" t="s">
        <v>184</v>
      </c>
      <c r="BD1" t="s">
        <v>186</v>
      </c>
      <c r="BE1" t="s">
        <v>242</v>
      </c>
      <c r="BF1" t="s">
        <v>243</v>
      </c>
      <c r="BG1" t="s">
        <v>187</v>
      </c>
      <c r="BH1" t="s">
        <v>189</v>
      </c>
      <c r="BI1" t="s">
        <v>240</v>
      </c>
      <c r="BJ1" t="s">
        <v>241</v>
      </c>
      <c r="BK1" t="s">
        <v>190</v>
      </c>
      <c r="BL1" t="s">
        <v>192</v>
      </c>
      <c r="BM1" t="s">
        <v>238</v>
      </c>
      <c r="BN1" t="s">
        <v>239</v>
      </c>
      <c r="BO1" t="s">
        <v>193</v>
      </c>
      <c r="BP1" t="s">
        <v>195</v>
      </c>
      <c r="BQ1" t="s">
        <v>236</v>
      </c>
      <c r="BR1" t="s">
        <v>237</v>
      </c>
      <c r="BS1" t="s">
        <v>196</v>
      </c>
      <c r="BT1" t="s">
        <v>198</v>
      </c>
      <c r="BU1" t="s">
        <v>234</v>
      </c>
      <c r="BV1" t="s">
        <v>235</v>
      </c>
      <c r="BW1" t="s">
        <v>199</v>
      </c>
      <c r="BX1" t="s">
        <v>201</v>
      </c>
      <c r="BY1" t="s">
        <v>232</v>
      </c>
      <c r="BZ1" t="s">
        <v>233</v>
      </c>
      <c r="CA1" t="s">
        <v>220</v>
      </c>
      <c r="CB1" t="s">
        <v>221</v>
      </c>
      <c r="CC1" t="s">
        <v>230</v>
      </c>
      <c r="CD1" t="s">
        <v>231</v>
      </c>
      <c r="CE1" t="s">
        <v>213</v>
      </c>
      <c r="CF1" t="s">
        <v>219</v>
      </c>
      <c r="CG1" t="s">
        <v>228</v>
      </c>
      <c r="CH1" t="s">
        <v>229</v>
      </c>
      <c r="CI1" t="s">
        <v>212</v>
      </c>
      <c r="CJ1" t="s">
        <v>218</v>
      </c>
      <c r="CK1" t="s">
        <v>226</v>
      </c>
      <c r="CL1" t="s">
        <v>227</v>
      </c>
      <c r="CM1" t="s">
        <v>214</v>
      </c>
      <c r="CN1" t="s">
        <v>217</v>
      </c>
      <c r="CO1" t="s">
        <v>224</v>
      </c>
      <c r="CP1" t="s">
        <v>225</v>
      </c>
      <c r="CQ1" t="s">
        <v>215</v>
      </c>
      <c r="CR1" t="s">
        <v>216</v>
      </c>
      <c r="CS1" t="s">
        <v>222</v>
      </c>
      <c r="CT1" t="s">
        <v>223</v>
      </c>
      <c r="CU1" t="s">
        <v>86</v>
      </c>
      <c r="CV1" t="s">
        <v>82</v>
      </c>
      <c r="CW1" t="s">
        <v>83</v>
      </c>
      <c r="CX1" t="s">
        <v>266</v>
      </c>
      <c r="CY1" t="s">
        <v>267</v>
      </c>
      <c r="CZ1" t="s">
        <v>86</v>
      </c>
      <c r="DA1" t="s">
        <v>125</v>
      </c>
      <c r="DB1" t="s">
        <v>86</v>
      </c>
    </row>
    <row r="2" spans="1:106">
      <c r="A2">
        <v>0.36</v>
      </c>
      <c r="C2">
        <v>1</v>
      </c>
      <c r="G2">
        <v>1.1299999999999999E-3</v>
      </c>
      <c r="H2">
        <v>5.5399999999999998E-5</v>
      </c>
      <c r="J2">
        <v>296</v>
      </c>
      <c r="CA2">
        <v>0</v>
      </c>
      <c r="CB2">
        <v>0</v>
      </c>
      <c r="CC2">
        <v>1.97E-3</v>
      </c>
      <c r="CD2">
        <v>1E-3</v>
      </c>
      <c r="CE2">
        <v>0</v>
      </c>
      <c r="CF2">
        <v>0</v>
      </c>
      <c r="CG2">
        <v>2.37</v>
      </c>
      <c r="CH2">
        <v>0.1</v>
      </c>
      <c r="CI2">
        <v>0</v>
      </c>
      <c r="CJ2">
        <v>0</v>
      </c>
      <c r="CK2">
        <v>22.5</v>
      </c>
      <c r="CL2">
        <v>22.5</v>
      </c>
      <c r="CM2">
        <v>0</v>
      </c>
      <c r="CN2">
        <v>0</v>
      </c>
      <c r="CO2">
        <v>0.42199999999999999</v>
      </c>
      <c r="CP2">
        <v>0.1</v>
      </c>
      <c r="CQ2">
        <v>1</v>
      </c>
      <c r="CR2">
        <v>1</v>
      </c>
      <c r="CS2">
        <v>0.94899999999999995</v>
      </c>
      <c r="CT2">
        <v>1</v>
      </c>
      <c r="CV2">
        <v>0.1</v>
      </c>
      <c r="CW2">
        <v>0.1</v>
      </c>
      <c r="CX2">
        <v>0.14080000000000001</v>
      </c>
      <c r="CY2">
        <v>9.7999999999999997E-3</v>
      </c>
      <c r="DA2">
        <v>2070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DB2"/>
  <sheetViews>
    <sheetView workbookViewId="0">
      <selection activeCell="CR2" sqref="CR2"/>
    </sheetView>
  </sheetViews>
  <sheetFormatPr defaultColWidth="8.7109375" defaultRowHeight="15"/>
  <sheetData>
    <row r="1" spans="1:106">
      <c r="A1" t="s">
        <v>147</v>
      </c>
      <c r="B1" t="s">
        <v>86</v>
      </c>
      <c r="C1" t="s">
        <v>120</v>
      </c>
      <c r="D1" t="s">
        <v>134</v>
      </c>
      <c r="E1" t="s">
        <v>135</v>
      </c>
      <c r="F1" t="s">
        <v>86</v>
      </c>
      <c r="G1" t="s">
        <v>66</v>
      </c>
      <c r="H1" t="s">
        <v>67</v>
      </c>
      <c r="I1" t="s">
        <v>86</v>
      </c>
      <c r="J1" t="s">
        <v>130</v>
      </c>
      <c r="K1" t="s">
        <v>155</v>
      </c>
      <c r="L1" t="s">
        <v>209</v>
      </c>
      <c r="M1" t="s">
        <v>264</v>
      </c>
      <c r="N1" t="s">
        <v>265</v>
      </c>
      <c r="O1" t="s">
        <v>71</v>
      </c>
      <c r="P1" t="s">
        <v>208</v>
      </c>
      <c r="Q1" t="s">
        <v>262</v>
      </c>
      <c r="R1" t="s">
        <v>263</v>
      </c>
      <c r="S1" t="s">
        <v>72</v>
      </c>
      <c r="T1" t="s">
        <v>207</v>
      </c>
      <c r="U1" t="s">
        <v>260</v>
      </c>
      <c r="V1" t="s">
        <v>261</v>
      </c>
      <c r="W1" t="s">
        <v>160</v>
      </c>
      <c r="X1" t="s">
        <v>206</v>
      </c>
      <c r="Y1" t="s">
        <v>258</v>
      </c>
      <c r="Z1" t="s">
        <v>259</v>
      </c>
      <c r="AA1" t="s">
        <v>161</v>
      </c>
      <c r="AB1" t="s">
        <v>205</v>
      </c>
      <c r="AC1" t="s">
        <v>256</v>
      </c>
      <c r="AD1" t="s">
        <v>257</v>
      </c>
      <c r="AE1" t="s">
        <v>162</v>
      </c>
      <c r="AF1" t="s">
        <v>204</v>
      </c>
      <c r="AG1" t="s">
        <v>254</v>
      </c>
      <c r="AH1" t="s">
        <v>255</v>
      </c>
      <c r="AI1" t="s">
        <v>163</v>
      </c>
      <c r="AJ1" t="s">
        <v>203</v>
      </c>
      <c r="AK1" t="s">
        <v>252</v>
      </c>
      <c r="AL1" t="s">
        <v>253</v>
      </c>
      <c r="AM1" t="s">
        <v>164</v>
      </c>
      <c r="AN1" t="s">
        <v>202</v>
      </c>
      <c r="AO1" t="s">
        <v>250</v>
      </c>
      <c r="AP1" t="s">
        <v>251</v>
      </c>
      <c r="AQ1" t="s">
        <v>165</v>
      </c>
      <c r="AR1" t="s">
        <v>166</v>
      </c>
      <c r="AS1" t="s">
        <v>248</v>
      </c>
      <c r="AT1" t="s">
        <v>249</v>
      </c>
      <c r="AU1" t="s">
        <v>167</v>
      </c>
      <c r="AV1" t="s">
        <v>168</v>
      </c>
      <c r="AW1" t="s">
        <v>246</v>
      </c>
      <c r="AX1" t="s">
        <v>247</v>
      </c>
      <c r="AY1" t="s">
        <v>169</v>
      </c>
      <c r="AZ1" t="s">
        <v>170</v>
      </c>
      <c r="BA1" t="s">
        <v>244</v>
      </c>
      <c r="BB1" t="s">
        <v>245</v>
      </c>
      <c r="BC1" t="s">
        <v>184</v>
      </c>
      <c r="BD1" t="s">
        <v>186</v>
      </c>
      <c r="BE1" t="s">
        <v>242</v>
      </c>
      <c r="BF1" t="s">
        <v>243</v>
      </c>
      <c r="BG1" t="s">
        <v>187</v>
      </c>
      <c r="BH1" t="s">
        <v>189</v>
      </c>
      <c r="BI1" t="s">
        <v>240</v>
      </c>
      <c r="BJ1" t="s">
        <v>241</v>
      </c>
      <c r="BK1" t="s">
        <v>190</v>
      </c>
      <c r="BL1" t="s">
        <v>192</v>
      </c>
      <c r="BM1" t="s">
        <v>238</v>
      </c>
      <c r="BN1" t="s">
        <v>239</v>
      </c>
      <c r="BO1" t="s">
        <v>193</v>
      </c>
      <c r="BP1" t="s">
        <v>195</v>
      </c>
      <c r="BQ1" t="s">
        <v>236</v>
      </c>
      <c r="BR1" t="s">
        <v>237</v>
      </c>
      <c r="BS1" t="s">
        <v>196</v>
      </c>
      <c r="BT1" t="s">
        <v>198</v>
      </c>
      <c r="BU1" t="s">
        <v>234</v>
      </c>
      <c r="BV1" t="s">
        <v>235</v>
      </c>
      <c r="BW1" t="s">
        <v>199</v>
      </c>
      <c r="BX1" t="s">
        <v>201</v>
      </c>
      <c r="BY1" t="s">
        <v>232</v>
      </c>
      <c r="BZ1" t="s">
        <v>233</v>
      </c>
      <c r="CA1" t="s">
        <v>220</v>
      </c>
      <c r="CB1" t="s">
        <v>221</v>
      </c>
      <c r="CC1" t="s">
        <v>230</v>
      </c>
      <c r="CD1" t="s">
        <v>231</v>
      </c>
      <c r="CE1" t="s">
        <v>213</v>
      </c>
      <c r="CF1" t="s">
        <v>219</v>
      </c>
      <c r="CG1" t="s">
        <v>228</v>
      </c>
      <c r="CH1" t="s">
        <v>229</v>
      </c>
      <c r="CI1" t="s">
        <v>212</v>
      </c>
      <c r="CJ1" t="s">
        <v>218</v>
      </c>
      <c r="CK1" t="s">
        <v>226</v>
      </c>
      <c r="CL1" t="s">
        <v>227</v>
      </c>
      <c r="CM1" t="s">
        <v>214</v>
      </c>
      <c r="CN1" t="s">
        <v>217</v>
      </c>
      <c r="CO1" t="s">
        <v>224</v>
      </c>
      <c r="CP1" t="s">
        <v>225</v>
      </c>
      <c r="CQ1" t="s">
        <v>215</v>
      </c>
      <c r="CR1" t="s">
        <v>216</v>
      </c>
      <c r="CS1" t="s">
        <v>222</v>
      </c>
      <c r="CT1" t="s">
        <v>223</v>
      </c>
      <c r="CU1" t="s">
        <v>86</v>
      </c>
      <c r="CV1" t="s">
        <v>82</v>
      </c>
      <c r="CW1" t="s">
        <v>83</v>
      </c>
      <c r="CX1" t="s">
        <v>266</v>
      </c>
      <c r="CY1" t="s">
        <v>267</v>
      </c>
      <c r="CZ1" t="s">
        <v>86</v>
      </c>
      <c r="DA1" t="s">
        <v>125</v>
      </c>
      <c r="DB1" t="s">
        <v>86</v>
      </c>
    </row>
    <row r="2" spans="1:106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1</v>
      </c>
      <c r="CB2">
        <v>1</v>
      </c>
      <c r="CC2">
        <v>1</v>
      </c>
      <c r="CD2">
        <v>1</v>
      </c>
      <c r="CE2">
        <v>1</v>
      </c>
      <c r="CF2">
        <v>1</v>
      </c>
      <c r="CG2">
        <v>1</v>
      </c>
      <c r="CH2">
        <v>1</v>
      </c>
      <c r="CI2">
        <v>1</v>
      </c>
      <c r="CJ2">
        <v>1</v>
      </c>
      <c r="CK2">
        <v>1</v>
      </c>
      <c r="CL2">
        <v>1</v>
      </c>
      <c r="CM2">
        <v>1</v>
      </c>
      <c r="CN2">
        <v>1</v>
      </c>
      <c r="CO2">
        <v>1</v>
      </c>
      <c r="CP2">
        <v>1</v>
      </c>
      <c r="CQ2">
        <v>1</v>
      </c>
      <c r="CR2">
        <v>1</v>
      </c>
      <c r="CS2">
        <v>1</v>
      </c>
      <c r="CT2">
        <v>1</v>
      </c>
      <c r="CU2">
        <v>0</v>
      </c>
      <c r="CV2">
        <v>1</v>
      </c>
      <c r="CW2">
        <v>1</v>
      </c>
      <c r="CX2">
        <v>1</v>
      </c>
      <c r="CY2">
        <v>1</v>
      </c>
      <c r="CZ2">
        <v>0</v>
      </c>
      <c r="DA2">
        <v>1</v>
      </c>
      <c r="D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2024-11-19T20:20:54Z</dcterms:modified>
</cp:coreProperties>
</file>