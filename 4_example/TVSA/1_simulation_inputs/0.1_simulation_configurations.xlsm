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110" codeName="{2D6B2E9A-1A31-A8AD-A733-73C221103EEE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vkalman/Documents/github/toPSAil/4_example/TVSA/1_simulation_inputs/"/>
    </mc:Choice>
  </mc:AlternateContent>
  <xr:revisionPtr revIDLastSave="0" documentId="13_ncr:1_{56B4E063-1A64-C245-A258-C102EB1A6968}" xr6:coauthVersionLast="47" xr6:coauthVersionMax="47" xr10:uidLastSave="{00000000-0000-0000-0000-000000000000}"/>
  <bookViews>
    <workbookView xWindow="3120" yWindow="880" windowWidth="21600" windowHeight="14180" tabRatio="818" activeTab="1" xr2:uid="{CB583278-6AF7-49E7-A969-6064EAB4A9B4}"/>
  </bookViews>
  <sheets>
    <sheet name="Revision History" sheetId="4" r:id="rId1"/>
    <sheet name="Initialization" sheetId="39" r:id="rId2"/>
    <sheet name="Model Selection" sheetId="10" r:id="rId3"/>
    <sheet name="Help" sheetId="40" state="hidden" r:id="rId4"/>
    <sheet name="Reference" sheetId="2" r:id="rId5"/>
    <sheet name="maintenance check list" sheetId="28" state="hidden" r:id="rId6"/>
    <sheet name="Data(Transposed)" sheetId="3" r:id="rId7"/>
    <sheet name="Data(Test)" sheetId="9" r:id="rId8"/>
  </sheets>
  <functionGroups builtInGroupCount="19"/>
  <definedNames>
    <definedName name="_xlnm._FilterDatabase" localSheetId="1" hidden="1">Initialization!$A$9:$J$23</definedName>
    <definedName name="_xlnm._FilterDatabase" localSheetId="2" hidden="1">'Model Selection'!$A$9:$J$17</definedName>
    <definedName name="_xlnm.Print_Area" localSheetId="1">Initialization!$A$2:$J$23</definedName>
    <definedName name="_xlnm.Print_Area" localSheetId="2">'Model Selection'!$A$2:$J$17</definedName>
    <definedName name="_xlnm.Print_Area" localSheetId="0">'Revision History'!$C$3:$K$51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4" i="39" l="1"/>
  <c r="J2" i="39"/>
  <c r="A2" i="39"/>
  <c r="J2" i="10" l="1"/>
  <c r="J4" i="10" l="1"/>
  <c r="A2" i="10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tc={2098560F-C92A-4527-B73B-CDE0FA861BCD}</author>
    <author>tc={02C02106-AE8E-4FEF-8B35-8F0B8F7C1FE9}</author>
    <author>tc={72C780EE-EEC0-48BF-833D-92549ACE4142}</author>
  </authors>
  <commentList>
    <comment ref="G9" authorId="0" shapeId="0" xr:uid="{2098560F-C92A-4527-B73B-CDE0FA861BCD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02C02106-AE8E-4FEF-8B35-8F0B8F7C1FE9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72C780EE-EEC0-48BF-833D-92549ACE4142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tc={ABAAE104-1442-420E-AD26-C6CAD21BF900}</author>
    <author>tc={74D95228-D979-4953-A89D-649833238ADF}</author>
    <author>tc={919D7803-FB7D-4052-BB7E-400DD79A8416}</author>
  </authors>
  <commentList>
    <comment ref="G9" authorId="0" shapeId="0" xr:uid="{ABAAE104-1442-420E-AD26-C6CAD21BF900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74D95228-D979-4953-A89D-649833238ADF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919D7803-FB7D-4052-BB7E-400DD79A8416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<sst xmlns="http://schemas.openxmlformats.org/spreadsheetml/2006/main" count="313" uniqueCount="135">
  <si>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</si>
  <si>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</si>
  <si>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</si>
  <si>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</si>
  <si>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</si>
  <si>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</si>
  <si>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</si>
  <si>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</si>
  <si>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</si>
  <si>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</si>
  <si>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</si>
  <si>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</si>
  <si>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</si>
  <si>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</si>
  <si>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</si>
  <si>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</si>
  <si>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</si>
  <si>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</si>
  <si>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</si>
  <si>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</si>
  <si>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</si>
  <si>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</si>
  <si>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</si>
  <si>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</si>
  <si>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</si>
  <si>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</si>
  <si>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</si>
  <si>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</si>
  <si>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</si>
  <si>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</si>
  <si>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</si>
  <si>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</si>
  <si>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</si>
  <si>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</si>
  <si>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</si>
  <si>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</si>
  <si>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</si>
  <si>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</si>
  <si>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</si>
  <si>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</si>
  <si>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</si>
  <si>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</si>
  <si>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</si>
  <si>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</si>
  <si>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</si>
  <si>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</si>
  <si>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</si>
  <si>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</si>
  <si>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</si>
  <si>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</si>
  <si>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</si>
  <si>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</si>
  <si>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</si>
  <si>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</si>
  <si>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</si>
  <si>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</si>
  <si>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</si>
  <si>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</si>
  <si>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0 = no-pressure equalization,
1 = pressure equalization.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</si>
  <si>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</si>
  <si>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</si>
  <si>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</si>
  <si>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</si>
  <si>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</si>
  <si>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</si>
  <si>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</si>
  <si>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</si>
  <si>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Isotherm</t>
  </si>
  <si>
    <t>Kinetics</t>
  </si>
  <si>
    <t>modSp1</t>
  </si>
  <si>
    <t>modSp2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</si>
  <si>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</si>
  <si>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</si>
  <si>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</si>
  <si>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</si>
  <si>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</si>
  <si>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</si>
  <si>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</si>
  <si>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</si>
  <si>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</si>
  <si>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</si>
  <si>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</si>
  <si>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</si>
  <si>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</si>
  <si>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</si>
  <si>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</si>
  <si>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modSp6</t>
  </si>
  <si>
    <t>modSp7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</si>
  <si>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</si>
  <si>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</si>
  <si>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</si>
  <si>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</si>
  <si>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</si>
  <si>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</si>
  <si>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t>MassTransferResistance</t>
  </si>
  <si>
    <t>Boolean</t>
  </si>
  <si>
    <t>numTanks</t>
  </si>
  <si>
    <t>initCondFeTa</t>
  </si>
  <si>
    <t>initCondRaTa</t>
  </si>
  <si>
    <t>numCols</t>
  </si>
  <si>
    <t>0 = ideal gas law,
1 = other equation of state.</t>
  </si>
  <si>
    <t>0 = a uni-bed PSA process,
1 = a multi-bed PSA process.</t>
  </si>
  <si>
    <t>0 = feed already available at a high pressure,
1 = feed compression required.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</si>
  <si>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</si>
  <si>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</si>
  <si>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</si>
  <si>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</si>
  <si>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</si>
  <si>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</si>
  <si>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</si>
  <si>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</si>
  <si>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Purpose/Summary</t>
  </si>
  <si>
    <t>TBD</t>
  </si>
  <si>
    <t>Initialization of the Simulation Environment</t>
  </si>
  <si>
    <t>Information on Model Selection</t>
  </si>
  <si>
    <t>Specify a heat capacity model: 
0 = a constant heat capacity model</t>
  </si>
  <si>
    <t>0 = time driven mode (fixed step duration),
1 = event driven mode (termination with a criteria).</t>
  </si>
  <si>
    <t>Specify an equation of states:
0 = none
1 = ideal gas law</t>
  </si>
  <si>
    <t>Specify a valve model:
0 = none
1 = a linear valve</t>
  </si>
  <si>
    <t>Specify an adsorption rate model:
0 = none
1 = linear driving force (LDF)</t>
  </si>
  <si>
    <t>0 = explicit adsorption isotherm model,
1 = implicit adsorption isotherm model.</t>
  </si>
  <si>
    <t>0 = explicit adsorption rate model,
1 = implicit adsorption rate model.</t>
  </si>
  <si>
    <t>0 = depressurization to the ambient pressure,
1 = depressurization to the vacuum pressure.</t>
  </si>
  <si>
    <t>0 = only recover the raffinate product,
1 = recover both raffinate and extract products.</t>
  </si>
  <si>
    <t>Finalized the spreadsheet for the v1.0 release</t>
  </si>
  <si>
    <t>Specify a model for the cyclic steady state (CSS) convergence calculation: 
0 = overall states
1 = 1st column ststes
2 = all column states
3 = the raffinate product tank states</t>
  </si>
  <si>
    <t>Initial development of the "0.1_simulation_configurations.xlsm" sheet.</t>
  </si>
  <si>
    <t>REV. NO.2 (9/14/2022)</t>
  </si>
  <si>
    <t>0 = no-axial pressure drop (flow-driven),
1 = axial pressure drop (pressure-driven).</t>
  </si>
  <si>
    <t>REV. NO.1 (6/8/2022)</t>
  </si>
  <si>
    <t>Specify the axial pressure drop model:
0 = no axial pressure drop
1 = Kozeny-Carman equation
2 = Ergun equation</t>
  </si>
  <si>
    <t>0 = isothermal operation,
1 = non-isothermal operation.</t>
  </si>
  <si>
    <t>0 = no hysteresis in adsorption isotherm
1 = there is hysteresis in adsorption isotherm</t>
  </si>
  <si>
    <t>Specify an adsorption isotherm model:
0 = none
1 = linear isotherm
2 = extended Langmuir isotherm
3 = multi-site Langmuir isotherm
4 = extended Langmuir-Freundlich isotherm
5 = dual-site Langmuir-Freundlich isotherm
6 = extended dual-site Langmuir-Freundlich isotherm</t>
  </si>
  <si>
    <t>0 = interbed purge stream
1 = external purge gas stream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</si>
</sst>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339966"/>
      <name val="Calibri"/>
      <family val="2"/>
    </font>
    <font>
      <b/>
      <i/>
      <sz val="14"/>
      <color rgb="FFFF99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57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11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1" fillId="5" borderId="8" xfId="0" applyFont="1" applyFill="1" applyBorder="1" applyAlignment="1">
      <alignment horizontal="right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4" fillId="5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4" fillId="4" borderId="0" xfId="0" applyFont="1" applyFill="1" applyAlignment="1">
      <alignment horizontal="left" vertical="center"/>
    </xf>
    <xf numFmtId="0" fontId="6" fillId="3" borderId="1" xfId="1" applyFont="1" applyFill="1" applyBorder="1" applyAlignment="1">
      <alignment horizontal="center" vertical="center" wrapText="1"/>
    </xf>
    <xf numFmtId="0" fontId="12" fillId="5" borderId="0" xfId="1" applyFont="1" applyFill="1" applyAlignment="1">
      <alignment horizontal="left" vertical="center"/>
    </xf>
    <xf numFmtId="0" fontId="13" fillId="5" borderId="0" xfId="1" applyFont="1" applyFill="1" applyAlignment="1">
      <alignment vertical="center" wrapText="1"/>
    </xf>
    <xf numFmtId="0" fontId="13" fillId="5" borderId="0" xfId="1" applyFont="1" applyFill="1" applyAlignment="1">
      <alignment horizontal="center" vertical="center"/>
    </xf>
    <xf numFmtId="0" fontId="13" fillId="5" borderId="0" xfId="1" applyFont="1" applyFill="1">
      <alignment vertical="center"/>
    </xf>
    <xf numFmtId="0" fontId="4" fillId="0" borderId="0" xfId="0" applyFont="1" applyAlignment="1">
      <alignment vertical="center"/>
    </xf>
    <xf numFmtId="0" fontId="4" fillId="3" borderId="3" xfId="0" applyFont="1" applyFill="1" applyBorder="1" applyAlignment="1">
      <alignment vertical="center"/>
    </xf>
    <xf numFmtId="0" fontId="4" fillId="3" borderId="0" xfId="0" applyFont="1" applyFill="1" applyAlignment="1">
      <alignment vertical="center"/>
    </xf>
    <xf numFmtId="0" fontId="7" fillId="3" borderId="0" xfId="0" applyFont="1" applyFill="1" applyAlignment="1">
      <alignment vertical="center"/>
    </xf>
    <xf numFmtId="0" fontId="4" fillId="3" borderId="7" xfId="0" applyFont="1" applyFill="1" applyBorder="1" applyAlignment="1">
      <alignment horizontal="center" vertical="center"/>
    </xf>
    <xf numFmtId="0" fontId="4" fillId="3" borderId="8" xfId="0" applyFont="1" applyFill="1" applyBorder="1" applyAlignment="1">
      <alignment horizontal="left" vertical="center" indent="1"/>
    </xf>
    <xf numFmtId="0" fontId="4" fillId="3" borderId="14" xfId="0" applyFont="1" applyFill="1" applyBorder="1" applyAlignment="1">
      <alignment horizontal="left" vertical="center" wrapText="1" indent="1"/>
    </xf>
    <xf numFmtId="0" fontId="5" fillId="0" borderId="2" xfId="1" applyFont="1" applyBorder="1" applyAlignment="1">
      <alignment horizontal="center" vertical="center"/>
    </xf>
    <xf numFmtId="0" fontId="6" fillId="4" borderId="1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3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7" fillId="4" borderId="6" xfId="0" applyFont="1" applyFill="1" applyBorder="1" applyAlignment="1">
      <alignment horizontal="left" vertical="center"/>
    </xf>
    <xf numFmtId="0" fontId="7" fillId="4" borderId="7" xfId="0" applyFont="1" applyFill="1" applyBorder="1" applyAlignment="1">
      <alignment horizontal="left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4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strike val="0"/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strike val="0"/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855" y="6070910"/>
          <a:ext cx="8828315" cy="2180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pSpPr/>
      </xdr:nvGrpSpPr>
      <xdr:grpSpPr>
        <a:xfrm>
          <a:off x="80680" y="787400"/>
          <a:ext cx="6759712" cy="55473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1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rgbClr val="FFC000"/>
              </a:solidFill>
            </a:endParaRP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5" name="Button 1" hidden="1">
                <a:extLst>
                  <a:ext uri="{63B3BB69-23CF-44E3-9099-C40C66FF867C}">
                    <a14:compatExt spid="_x0000_s88065"/>
                  </a:ext>
                  <a:ext uri="{FF2B5EF4-FFF2-40B4-BE49-F238E27FC236}">
                    <a16:creationId xmlns:a16="http://schemas.microsoft.com/office/drawing/2014/main" id="{00000000-0008-0000-0100-000001580100}"/>
                  </a:ext>
                </a:extLst>
              </xdr:cNvPr>
              <xdr:cNvSpPr/>
            </xdr:nvSpPr>
            <xdr:spPr bwMode="auto">
              <a:xfrm>
                <a:off x="1505271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6" name="Button 2" hidden="1">
                <a:extLst>
                  <a:ext uri="{63B3BB69-23CF-44E3-9099-C40C66FF867C}">
                    <a14:compatExt spid="_x0000_s88066"/>
                  </a:ext>
                  <a:ext uri="{FF2B5EF4-FFF2-40B4-BE49-F238E27FC236}">
                    <a16:creationId xmlns:a16="http://schemas.microsoft.com/office/drawing/2014/main" id="{00000000-0008-0000-0100-00000258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7" name="Button 3" hidden="1">
                <a:extLst>
                  <a:ext uri="{63B3BB69-23CF-44E3-9099-C40C66FF867C}">
                    <a14:compatExt spid="_x0000_s88067"/>
                  </a:ext>
                  <a:ext uri="{FF2B5EF4-FFF2-40B4-BE49-F238E27FC236}">
                    <a16:creationId xmlns:a16="http://schemas.microsoft.com/office/drawing/2014/main" id="{00000000-0008-0000-0100-0000035801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31" name="Group 30">
          <a:extLst>
            <a:ext uri="{FF2B5EF4-FFF2-40B4-BE49-F238E27FC236}">
              <a16:creationId xmlns:a16="http://schemas.microsoft.com/office/drawing/2014/main" id="{00000000-0008-0000-0200-00001F000000}"/>
            </a:ext>
          </a:extLst>
        </xdr:cNvPr>
        <xdr:cNvGrpSpPr/>
      </xdr:nvGrpSpPr>
      <xdr:grpSpPr>
        <a:xfrm>
          <a:off x="80680" y="609600"/>
          <a:ext cx="6759712" cy="554736"/>
          <a:chOff x="1407095" y="770965"/>
          <a:chExt cx="6129195" cy="559218"/>
        </a:xfrm>
      </xdr:grpSpPr>
      <xdr:sp macro="" textlink="">
        <xdr:nvSpPr>
          <xdr:cNvPr id="32" name="Rectangle 31">
            <a:extLst>
              <a:ext uri="{FF2B5EF4-FFF2-40B4-BE49-F238E27FC236}">
                <a16:creationId xmlns:a16="http://schemas.microsoft.com/office/drawing/2014/main" id="{00000000-0008-0000-0200-000020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rgbClr val="FFC000"/>
              </a:solidFill>
            </a:endParaRP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81" name="Button 41" hidden="1">
                <a:extLst>
                  <a:ext uri="{63B3BB69-23CF-44E3-9099-C40C66FF867C}">
                    <a14:compatExt spid="_x0000_s10281"/>
                  </a:ext>
                  <a:ext uri="{FF2B5EF4-FFF2-40B4-BE49-F238E27FC236}">
                    <a16:creationId xmlns:a16="http://schemas.microsoft.com/office/drawing/2014/main" id="{00000000-0008-0000-0200-000029280000}"/>
                  </a:ext>
                </a:extLst>
              </xdr:cNvPr>
              <xdr:cNvSpPr/>
            </xdr:nvSpPr>
            <xdr:spPr bwMode="auto">
              <a:xfrm>
                <a:off x="1505271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82" name="Button 42" hidden="1">
                <a:extLst>
                  <a:ext uri="{63B3BB69-23CF-44E3-9099-C40C66FF867C}">
                    <a14:compatExt spid="_x0000_s10282"/>
                  </a:ext>
                  <a:ext uri="{FF2B5EF4-FFF2-40B4-BE49-F238E27FC236}">
                    <a16:creationId xmlns:a16="http://schemas.microsoft.com/office/drawing/2014/main" id="{00000000-0008-0000-0200-00002A2800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83" name="Button 43" hidden="1">
                <a:extLst>
                  <a:ext uri="{63B3BB69-23CF-44E3-9099-C40C66FF867C}">
                    <a14:compatExt spid="_x0000_s10283"/>
                  </a:ext>
                  <a:ext uri="{FF2B5EF4-FFF2-40B4-BE49-F238E27FC236}">
                    <a16:creationId xmlns:a16="http://schemas.microsoft.com/office/drawing/2014/main" id="{00000000-0008-0000-0200-00002B28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0B3E855-406C-4674-A51D-86A64789BB44}" name="Table132" displayName="Table132" ref="A9:J23" totalsRowShown="0" headerRowDxfId="34" dataDxfId="32" headerRowBorderDxfId="33" tableBorderDxfId="31" totalsRowBorderDxfId="30">
  <autoFilter ref="A9:J23" xr:uid="{B089C5C3-2CCE-4800-96CA-2131BB6E3E4F}"/>
  <tableColumns count="10">
    <tableColumn id="1" xr3:uid="{68F80D25-29F2-4666-84E3-9B384B347FD6}" name="Variable" dataDxfId="29"/>
    <tableColumn id="4" xr3:uid="{970AC59F-A924-43F5-8348-8D9DC81CE55B}" name="Value" dataDxfId="28"/>
    <tableColumn id="5" xr3:uid="{4FD08566-BE5D-47FE-B0A9-0CA38A822BD7}" name="Unit" dataDxfId="27"/>
    <tableColumn id="6" xr3:uid="{0F3D7A19-FE09-47B5-B728-B70B368EF4CC}" name="Comparisons" dataDxfId="26"/>
    <tableColumn id="7" xr3:uid="{5AF158AA-FE83-40DC-9724-0492D92AFA6F}" name="Variable Type" dataDxfId="25"/>
    <tableColumn id="8" xr3:uid="{78535DA3-AFED-41F4-9B3B-57036563810F}" name="Dependency" dataDxfId="24"/>
    <tableColumn id="12" xr3:uid="{38B40BA1-DBE1-4774-8D5F-BDC4A25DDD46}" name="Test 1" dataDxfId="23"/>
    <tableColumn id="10" xr3:uid="{89B3A532-8A94-4DC0-B282-E767ECBF7A34}" name="Test 2" dataDxfId="22"/>
    <tableColumn id="2" xr3:uid="{8BB3F0AB-F341-44C2-860A-A879E77C3D5D}" name="Test 3" dataDxfId="21"/>
    <tableColumn id="9" xr3:uid="{9BB1CE86-B342-454F-B7CA-E8FDD6004FB1}" name="Description" dataDxfId="20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FE49B2F-1F87-4C06-ACCB-8071428D1B2C}" name="Table13" displayName="Table13" ref="A9:J17" totalsRowShown="0" headerRowDxfId="14" dataDxfId="12" headerRowBorderDxfId="13" tableBorderDxfId="11" totalsRowBorderDxfId="10">
  <autoFilter ref="A9:J17" xr:uid="{B089C5C3-2CCE-4800-96CA-2131BB6E3E4F}"/>
  <tableColumns count="10">
    <tableColumn id="1" xr3:uid="{E0503319-4244-40BF-80AC-47EAB20F9D82}" name="Variable" dataDxfId="9"/>
    <tableColumn id="4" xr3:uid="{C9B93118-2D75-48EB-867F-A112A1413B3A}" name="Value" dataDxfId="8"/>
    <tableColumn id="5" xr3:uid="{6DB24D56-641D-41E7-A0AF-33D3EA326C9E}" name="Unit" dataDxfId="7"/>
    <tableColumn id="6" xr3:uid="{EC0DB7D6-1463-4C4D-9A2A-4BC3C7916932}" name="Comparisons" dataDxfId="6"/>
    <tableColumn id="7" xr3:uid="{6FE91FB5-8BB7-4A02-B5AC-265E1EBFD7A4}" name="Variable Type" dataDxfId="5"/>
    <tableColumn id="8" xr3:uid="{A6460C6C-273A-466F-8C24-29520D28AB0E}" name="Dependency" dataDxfId="4"/>
    <tableColumn id="12" xr3:uid="{0D55DF56-EF41-44E6-9DE8-92E85F8BC954}" name="Test 1" dataDxfId="3"/>
    <tableColumn id="10" xr3:uid="{FE581202-0C06-4BC7-8D50-2FDDC17F8184}" name="Test 2" dataDxfId="2"/>
    <tableColumn id="2" xr3:uid="{0C40960E-3CC9-432B-A5CB-D76546536ADF}" name="Test 3" dataDxfId="1"/>
    <tableColumn id="9" xr3:uid="{05A43EF2-B89E-41B1-ABA5-98E847A1B9DC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2098560F-C92A-4527-B73B-CDE0FA861BCD}">
    <text>place 1 if we want to keep the row when re-initializing. Otherwise, leave it as a blank.</text>
  </threadedComment>
  <threadedComment ref="H9" dT="2020-11-26T18:35:03.27" personId="{7F98AE94-13FB-49E1-9262-339C11E0EDB4}" id="{02C02106-AE8E-4FEF-8B35-8F0B8F7C1FE9}">
    <text>supply a value greater than 1 if you want to duplicate the row</text>
  </threadedComment>
  <threadedComment ref="I9" dT="2020-11-28T01:53:47.29" personId="{7F98AE94-13FB-49E1-9262-339C11E0EDB4}" id="{72C780EE-EEC0-48BF-833D-92549ACE4142}">
    <text>1 means we need to have the variable specified; 0 means we need not have the variable specified</text>
  </threadedComment>
  <threadedComment ref="I9" dT="2020-11-28T01:56:42.32" personId="{7F98AE94-13FB-49E1-9262-339C11E0EDB4}" id="{EB57C615-2C60-4259-A14C-6668D247E387}" parentId="{72C780EE-EEC0-48BF-833D-92549ACE4142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ABAAE104-1442-420E-AD26-C6CAD21BF900}">
    <text>place 1 if we want to keep the row when re-initializing. Otherwise, leave it as a blank.</text>
  </threadedComment>
  <threadedComment ref="H9" dT="2020-11-26T18:35:03.27" personId="{7F98AE94-13FB-49E1-9262-339C11E0EDB4}" id="{74D95228-D979-4953-A89D-649833238ADF}">
    <text>supply a value greater than 1 if you want to duplicate the row</text>
  </threadedComment>
  <threadedComment ref="I9" dT="2020-11-28T01:53:47.29" personId="{7F98AE94-13FB-49E1-9262-339C11E0EDB4}" id="{919D7803-FB7D-4052-BB7E-400DD79A8416}">
    <text>1 means we need to have the variable specified; 0 means we need not have the variable specified</text>
  </threadedComment>
  <threadedComment ref="I9" dT="2020-11-28T01:56:42.32" personId="{7F98AE94-13FB-49E1-9262-339C11E0EDB4}" id="{DE01FF99-85B3-45B8-9729-4DFA43BA790A}" parentId="{919D7803-FB7D-4052-BB7E-400DD79A8416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D5" sqref="D5:J5"/>
    </sheetView>
  </sheetViews>
  <sheetFormatPr baseColWidth="10" defaultColWidth="0" defaultRowHeight="15" zeroHeight="1" x14ac:dyDescent="0.2"/>
  <cols>
    <col min="1" max="2" width="3.33203125" style="29" hidden="1" customWidth="1"/>
    <col min="3" max="3" width="2.5" style="29" customWidth="1"/>
    <col min="4" max="4" width="13.6640625" style="29" customWidth="1"/>
    <col min="5" max="5" width="51.33203125" style="30" bestFit="1" customWidth="1"/>
    <col min="6" max="6" width="15.6640625" style="31" bestFit="1" customWidth="1"/>
    <col min="7" max="9" width="13.33203125" style="29" customWidth="1"/>
    <col min="10" max="10" width="48.6640625" style="29" customWidth="1"/>
    <col min="11" max="11" width="2.5" style="29" customWidth="1"/>
    <col min="12" max="12" width="0" style="29" hidden="1" customWidth="1"/>
    <col min="13" max="16384" width="9" style="29" hidden="1"/>
  </cols>
  <sheetData>
    <row r="3" spans="4:10" x14ac:dyDescent="0.2"/>
    <row r="4" spans="4:10" ht="19" x14ac:dyDescent="0.25">
      <c r="D4" s="39" t="s">
        <v>127</v>
      </c>
      <c r="E4" s="40"/>
      <c r="F4" s="41"/>
      <c r="G4" s="42"/>
      <c r="H4" s="42"/>
      <c r="I4" s="42"/>
      <c r="J4" s="32" t="s">
        <v>85</v>
      </c>
    </row>
    <row r="5" spans="4:10" ht="40" x14ac:dyDescent="0.2">
      <c r="D5" s="50" t="s">
        <v>36</v>
      </c>
      <c r="E5" s="50"/>
      <c r="F5" s="50"/>
      <c r="G5" s="50"/>
      <c r="H5" s="50"/>
      <c r="I5" s="50"/>
      <c r="J5" s="50"/>
    </row>
    <row r="6" spans="4:10" ht="20" x14ac:dyDescent="0.2">
      <c r="D6" s="38" t="s">
        <v>30</v>
      </c>
      <c r="E6" s="38" t="s">
        <v>111</v>
      </c>
      <c r="F6" s="38" t="s">
        <v>31</v>
      </c>
      <c r="G6" s="38" t="s">
        <v>32</v>
      </c>
      <c r="H6" s="38" t="s">
        <v>33</v>
      </c>
      <c r="I6" s="38" t="s">
        <v>34</v>
      </c>
      <c r="J6" s="38" t="s">
        <v>35</v>
      </c>
    </row>
    <row r="7" spans="4:10" ht="60" x14ac:dyDescent="0.2">
      <c r="D7" s="33">
        <v>1</v>
      </c>
      <c r="E7" s="34" t="s">
        <v>126</v>
      </c>
      <c r="F7" s="35">
        <v>44720</v>
      </c>
      <c r="G7" s="33" t="s">
        <v>37</v>
      </c>
      <c r="H7" s="33"/>
      <c r="I7" s="33"/>
      <c r="J7" s="34"/>
    </row>
    <row r="8" spans="4:10" ht="40" x14ac:dyDescent="0.2">
      <c r="D8" s="33">
        <v>2</v>
      </c>
      <c r="E8" s="34" t="s">
        <v>124</v>
      </c>
      <c r="F8" s="35">
        <v>44818</v>
      </c>
      <c r="G8" s="33" t="s">
        <v>37</v>
      </c>
      <c r="H8" s="33"/>
      <c r="I8" s="33"/>
      <c r="J8" s="34"/>
    </row>
    <row r="9" spans="4:10" ht="19" x14ac:dyDescent="0.2">
      <c r="D9" s="33">
        <v>3</v>
      </c>
      <c r="E9" s="34"/>
      <c r="F9" s="35"/>
      <c r="G9" s="33"/>
      <c r="H9" s="33"/>
      <c r="I9" s="33"/>
      <c r="J9" s="34"/>
    </row>
    <row r="10" spans="4:10" ht="19" x14ac:dyDescent="0.2">
      <c r="D10" s="33">
        <v>4</v>
      </c>
      <c r="E10" s="34"/>
      <c r="F10" s="35"/>
      <c r="G10" s="33"/>
      <c r="H10" s="33"/>
      <c r="I10" s="33"/>
      <c r="J10" s="34"/>
    </row>
    <row r="11" spans="4:10" ht="19" x14ac:dyDescent="0.2">
      <c r="D11" s="33">
        <v>5</v>
      </c>
      <c r="E11" s="34"/>
      <c r="F11" s="35"/>
      <c r="G11" s="33"/>
      <c r="H11" s="33"/>
      <c r="I11" s="33"/>
      <c r="J11" s="34"/>
    </row>
    <row r="12" spans="4:10" ht="19" x14ac:dyDescent="0.2">
      <c r="D12" s="33">
        <v>6</v>
      </c>
      <c r="E12" s="34"/>
      <c r="F12" s="35"/>
      <c r="G12" s="33"/>
      <c r="H12" s="33"/>
      <c r="I12" s="33"/>
      <c r="J12" s="34"/>
    </row>
    <row r="13" spans="4:10" ht="19" x14ac:dyDescent="0.2">
      <c r="D13" s="33">
        <v>7</v>
      </c>
      <c r="E13" s="34"/>
      <c r="F13" s="35"/>
      <c r="G13" s="33"/>
      <c r="H13" s="33"/>
      <c r="I13" s="33"/>
      <c r="J13" s="34"/>
    </row>
    <row r="14" spans="4:10" ht="19" x14ac:dyDescent="0.2">
      <c r="D14" s="33">
        <v>8</v>
      </c>
      <c r="E14" s="34"/>
      <c r="F14" s="35"/>
      <c r="G14" s="33"/>
      <c r="H14" s="33"/>
      <c r="I14" s="33"/>
      <c r="J14" s="34"/>
    </row>
    <row r="15" spans="4:10" ht="19" x14ac:dyDescent="0.2">
      <c r="D15" s="33">
        <v>9</v>
      </c>
      <c r="E15" s="34"/>
      <c r="F15" s="35"/>
      <c r="G15" s="33"/>
      <c r="H15" s="33"/>
      <c r="I15" s="33"/>
      <c r="J15" s="34"/>
    </row>
    <row r="16" spans="4:10" ht="19" x14ac:dyDescent="0.2">
      <c r="D16" s="33">
        <v>10</v>
      </c>
      <c r="E16" s="34"/>
      <c r="F16" s="35"/>
      <c r="G16" s="33"/>
      <c r="H16" s="33"/>
      <c r="I16" s="33"/>
      <c r="J16" s="36"/>
    </row>
    <row r="17" x14ac:dyDescent="0.2"/>
    <row r="18" x14ac:dyDescent="0.2"/>
    <row r="19" x14ac:dyDescent="0.2"/>
    <row r="20" x14ac:dyDescent="0.2"/>
    <row r="21" x14ac:dyDescent="0.2"/>
    <row r="22" x14ac:dyDescent="0.2"/>
    <row r="23" x14ac:dyDescent="0.2"/>
    <row r="24" x14ac:dyDescent="0.2"/>
    <row r="25" x14ac:dyDescent="0.2"/>
    <row r="26" x14ac:dyDescent="0.2"/>
    <row r="27" x14ac:dyDescent="0.2"/>
    <row r="28" x14ac:dyDescent="0.2"/>
    <row r="29" x14ac:dyDescent="0.2"/>
  </sheetData>
  <sheetProtection selectLockedCells="1" selectUnlockedCells="1"/>
  <mergeCells count="1">
    <mergeCell ref="D5:J5"/>
  </mergeCells>
  <hyperlinks>
    <hyperlink ref="J4" r:id="rId1" display="https://www.jkscottresearchgroup.com/" xr:uid="{FC84A837-F237-42CE-921B-6CC371E1A6D5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BECA29-6AD6-496C-9683-B393D5E22A05}">
  <sheetPr codeName="Sheet6">
    <tabColor rgb="FF00B050"/>
  </sheetPr>
  <dimension ref="A2:K23"/>
  <sheetViews>
    <sheetView showGridLines="0" tabSelected="1" zoomScaleNormal="100" zoomScaleSheetLayoutView="70" workbookViewId="0">
      <pane ySplit="9" topLeftCell="A13" activePane="bottomLeft" state="frozen"/>
      <selection activeCell="B2" sqref="B2"/>
      <selection pane="bottomLeft" activeCell="B20" sqref="B20"/>
    </sheetView>
  </sheetViews>
  <sheetFormatPr baseColWidth="10" defaultColWidth="0" defaultRowHeight="14.75" customHeight="1" x14ac:dyDescent="0.2"/>
  <cols>
    <col min="1" max="1" width="17" style="3" bestFit="1" customWidth="1"/>
    <col min="2" max="2" width="22.1640625" style="3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customWidth="1"/>
    <col min="7" max="9" width="15" style="3" customWidth="1"/>
    <col min="10" max="10" width="57.5" style="3" customWidth="1"/>
    <col min="11" max="11" width="0" style="3" hidden="1" customWidth="1"/>
    <col min="12" max="16384" width="8.6640625" style="3" hidden="1"/>
  </cols>
  <sheetData>
    <row r="2" spans="1:10" ht="15" x14ac:dyDescent="0.2">
      <c r="A2" s="20" t="str">
        <f>'Revision History'!$D$4</f>
        <v>REV. NO.2 (9/14/2022)</v>
      </c>
      <c r="B2" s="21"/>
      <c r="C2" s="21"/>
      <c r="D2" s="21"/>
      <c r="E2" s="21"/>
      <c r="F2" s="21"/>
      <c r="G2" s="21"/>
      <c r="H2" s="21"/>
      <c r="I2" s="21"/>
      <c r="J2" s="22" t="str">
        <f>'Revision History'!$J$4</f>
        <v>Scott Research Group (jkscottresearchgroup.com)</v>
      </c>
    </row>
    <row r="3" spans="1:10" ht="19" x14ac:dyDescent="0.2">
      <c r="A3" s="51" t="s">
        <v>29</v>
      </c>
      <c r="B3" s="51"/>
      <c r="C3" s="51"/>
      <c r="D3" s="51"/>
      <c r="E3" s="51"/>
      <c r="F3" s="51"/>
      <c r="G3" s="51"/>
      <c r="H3" s="51"/>
      <c r="I3" s="51"/>
      <c r="J3" s="51"/>
    </row>
    <row r="4" spans="1:10" ht="14.75" customHeight="1" x14ac:dyDescent="0.2">
      <c r="A4" s="13"/>
      <c r="B4" s="14"/>
      <c r="C4" s="37"/>
      <c r="D4" s="15"/>
      <c r="E4" s="15"/>
      <c r="F4" s="15"/>
      <c r="G4" s="15"/>
      <c r="H4" s="15"/>
      <c r="I4" s="14"/>
      <c r="J4" s="52" t="str">
        <f>IF(COUNTIF(Table132[Test 3],1)=COUNTA(Table132[Value]),"Ready","Not Ready")</f>
        <v>Ready</v>
      </c>
    </row>
    <row r="5" spans="1:10" ht="14.75" customHeight="1" x14ac:dyDescent="0.2">
      <c r="A5" s="13"/>
      <c r="B5" s="14"/>
      <c r="C5" s="37"/>
      <c r="D5" s="15"/>
      <c r="E5" s="15"/>
      <c r="F5" s="15"/>
      <c r="G5" s="15"/>
      <c r="H5" s="15"/>
      <c r="I5" s="15"/>
      <c r="J5" s="53"/>
    </row>
    <row r="6" spans="1:10" ht="14.75" customHeight="1" x14ac:dyDescent="0.2">
      <c r="A6" s="13"/>
      <c r="B6" s="14"/>
      <c r="C6" s="37"/>
      <c r="D6" s="15"/>
      <c r="E6" s="15"/>
      <c r="F6" s="15"/>
      <c r="G6" s="15"/>
      <c r="H6" s="15"/>
      <c r="I6" s="15"/>
      <c r="J6" s="53"/>
    </row>
    <row r="7" spans="1:10" ht="14.75" customHeight="1" x14ac:dyDescent="0.2">
      <c r="A7" s="13"/>
      <c r="B7" s="14"/>
      <c r="C7" s="37"/>
      <c r="D7" s="15"/>
      <c r="E7" s="15"/>
      <c r="F7" s="15"/>
      <c r="G7" s="15"/>
      <c r="H7" s="15"/>
      <c r="I7" s="15"/>
      <c r="J7" s="53"/>
    </row>
    <row r="8" spans="1:10" ht="14.75" customHeight="1" x14ac:dyDescent="0.2">
      <c r="A8" s="16"/>
      <c r="B8" s="17"/>
      <c r="C8" s="18"/>
      <c r="D8" s="19"/>
      <c r="E8" s="19"/>
      <c r="F8" s="19"/>
      <c r="G8" s="19"/>
      <c r="H8" s="19"/>
      <c r="I8" s="19"/>
      <c r="J8" s="54"/>
    </row>
    <row r="9" spans="1:10" ht="16" x14ac:dyDescent="0.2">
      <c r="A9" s="23" t="s">
        <v>0</v>
      </c>
      <c r="B9" s="24" t="s">
        <v>1</v>
      </c>
      <c r="C9" s="24" t="s">
        <v>2</v>
      </c>
      <c r="D9" s="24" t="s">
        <v>14</v>
      </c>
      <c r="E9" s="24" t="s">
        <v>63</v>
      </c>
      <c r="F9" s="25" t="s">
        <v>38</v>
      </c>
      <c r="G9" s="25" t="s">
        <v>64</v>
      </c>
      <c r="H9" s="24" t="s">
        <v>65</v>
      </c>
      <c r="I9" s="26" t="s">
        <v>74</v>
      </c>
      <c r="J9" s="26" t="s">
        <v>12</v>
      </c>
    </row>
    <row r="10" spans="1:10" ht="32" x14ac:dyDescent="0.2">
      <c r="A10" s="4" t="s">
        <v>43</v>
      </c>
      <c r="B10" s="27">
        <v>0</v>
      </c>
      <c r="C10" s="2" t="s">
        <v>3</v>
      </c>
      <c r="D10" s="1" t="s">
        <v>57</v>
      </c>
      <c r="E10" s="1" t="s">
        <v>6</v>
      </c>
      <c r="F10" s="2" t="s">
        <v>39</v>
      </c>
      <c r="G10" s="1">
        <v>1</v>
      </c>
      <c r="H10" s="1">
        <v>1</v>
      </c>
      <c r="I10" s="6">
        <v>1</v>
      </c>
      <c r="J10" s="5" t="s">
        <v>101</v>
      </c>
    </row>
    <row r="11" spans="1:10" ht="32" x14ac:dyDescent="0.2">
      <c r="A11" s="4" t="s">
        <v>42</v>
      </c>
      <c r="B11" s="27">
        <v>0</v>
      </c>
      <c r="C11" s="2" t="s">
        <v>3</v>
      </c>
      <c r="D11" s="1" t="s">
        <v>57</v>
      </c>
      <c r="E11" s="1" t="s">
        <v>6</v>
      </c>
      <c r="F11" s="2" t="s">
        <v>39</v>
      </c>
      <c r="G11" s="1">
        <v>1</v>
      </c>
      <c r="H11" s="1">
        <v>1</v>
      </c>
      <c r="I11" s="6">
        <v>1</v>
      </c>
      <c r="J11" s="5" t="s">
        <v>58</v>
      </c>
    </row>
    <row r="12" spans="1:10" ht="32" x14ac:dyDescent="0.2">
      <c r="A12" s="4" t="s">
        <v>44</v>
      </c>
      <c r="B12" s="27">
        <v>0</v>
      </c>
      <c r="C12" s="2" t="s">
        <v>3</v>
      </c>
      <c r="D12" s="1" t="s">
        <v>57</v>
      </c>
      <c r="E12" s="1" t="s">
        <v>6</v>
      </c>
      <c r="F12" s="2" t="s">
        <v>39</v>
      </c>
      <c r="G12" s="1">
        <v>1</v>
      </c>
      <c r="H12" s="1">
        <v>1</v>
      </c>
      <c r="I12" s="6">
        <v>1</v>
      </c>
      <c r="J12" s="5" t="s">
        <v>128</v>
      </c>
    </row>
    <row r="13" spans="1:10" ht="32" x14ac:dyDescent="0.2">
      <c r="A13" s="4" t="s">
        <v>45</v>
      </c>
      <c r="B13" s="27">
        <v>0</v>
      </c>
      <c r="C13" s="2" t="s">
        <v>3</v>
      </c>
      <c r="D13" s="1" t="s">
        <v>57</v>
      </c>
      <c r="E13" s="1" t="s">
        <v>6</v>
      </c>
      <c r="F13" s="2" t="s">
        <v>39</v>
      </c>
      <c r="G13" s="1">
        <v>1</v>
      </c>
      <c r="H13" s="1">
        <v>1</v>
      </c>
      <c r="I13" s="6">
        <v>1</v>
      </c>
      <c r="J13" s="5" t="s">
        <v>116</v>
      </c>
    </row>
    <row r="14" spans="1:10" ht="32" x14ac:dyDescent="0.2">
      <c r="A14" s="4" t="s">
        <v>46</v>
      </c>
      <c r="B14" s="27">
        <v>1</v>
      </c>
      <c r="C14" s="2" t="s">
        <v>3</v>
      </c>
      <c r="D14" s="1" t="s">
        <v>57</v>
      </c>
      <c r="E14" s="1" t="s">
        <v>6</v>
      </c>
      <c r="F14" s="2" t="s">
        <v>39</v>
      </c>
      <c r="G14" s="1">
        <v>1</v>
      </c>
      <c r="H14" s="1">
        <v>1</v>
      </c>
      <c r="I14" s="6">
        <v>1</v>
      </c>
      <c r="J14" s="5" t="s">
        <v>131</v>
      </c>
    </row>
    <row r="15" spans="1:10" ht="32" x14ac:dyDescent="0.2">
      <c r="A15" s="4" t="s">
        <v>47</v>
      </c>
      <c r="B15" s="27">
        <v>0</v>
      </c>
      <c r="C15" s="2" t="s">
        <v>3</v>
      </c>
      <c r="D15" s="1" t="s">
        <v>57</v>
      </c>
      <c r="E15" s="1" t="s">
        <v>6</v>
      </c>
      <c r="F15" s="2" t="s">
        <v>39</v>
      </c>
      <c r="G15" s="1">
        <v>1</v>
      </c>
      <c r="H15" s="1">
        <v>1</v>
      </c>
      <c r="I15" s="6">
        <v>1</v>
      </c>
      <c r="J15" s="5" t="s">
        <v>100</v>
      </c>
    </row>
    <row r="16" spans="1:10" ht="32" x14ac:dyDescent="0.2">
      <c r="A16" s="4" t="s">
        <v>48</v>
      </c>
      <c r="B16" s="27">
        <v>0</v>
      </c>
      <c r="C16" s="2" t="s">
        <v>3</v>
      </c>
      <c r="D16" s="1" t="s">
        <v>57</v>
      </c>
      <c r="E16" s="1" t="s">
        <v>6</v>
      </c>
      <c r="F16" s="2" t="s">
        <v>39</v>
      </c>
      <c r="G16" s="1">
        <v>1</v>
      </c>
      <c r="H16" s="1">
        <v>1</v>
      </c>
      <c r="I16" s="6">
        <v>1</v>
      </c>
      <c r="J16" s="5" t="s">
        <v>120</v>
      </c>
    </row>
    <row r="17" spans="1:10" ht="32" x14ac:dyDescent="0.2">
      <c r="A17" s="4" t="s">
        <v>49</v>
      </c>
      <c r="B17" s="27">
        <v>0</v>
      </c>
      <c r="C17" s="2" t="s">
        <v>3</v>
      </c>
      <c r="D17" s="1" t="s">
        <v>57</v>
      </c>
      <c r="E17" s="1" t="s">
        <v>6</v>
      </c>
      <c r="F17" s="2" t="s">
        <v>39</v>
      </c>
      <c r="G17" s="1">
        <v>1</v>
      </c>
      <c r="H17" s="1">
        <v>1</v>
      </c>
      <c r="I17" s="6">
        <v>1</v>
      </c>
      <c r="J17" s="5" t="s">
        <v>121</v>
      </c>
    </row>
    <row r="18" spans="1:10" ht="32" x14ac:dyDescent="0.2">
      <c r="A18" s="4" t="s">
        <v>50</v>
      </c>
      <c r="B18" s="27">
        <v>0</v>
      </c>
      <c r="C18" s="2" t="s">
        <v>3</v>
      </c>
      <c r="D18" s="1" t="s">
        <v>57</v>
      </c>
      <c r="E18" s="1" t="s">
        <v>6</v>
      </c>
      <c r="F18" s="2" t="s">
        <v>39</v>
      </c>
      <c r="G18" s="1">
        <v>1</v>
      </c>
      <c r="H18" s="1">
        <v>1</v>
      </c>
      <c r="I18" s="6">
        <v>1</v>
      </c>
      <c r="J18" s="5" t="s">
        <v>102</v>
      </c>
    </row>
    <row r="19" spans="1:10" ht="32" x14ac:dyDescent="0.2">
      <c r="A19" s="4" t="s">
        <v>51</v>
      </c>
      <c r="B19" s="27">
        <v>0</v>
      </c>
      <c r="C19" s="2" t="s">
        <v>3</v>
      </c>
      <c r="D19" s="1" t="s">
        <v>57</v>
      </c>
      <c r="E19" s="1" t="s">
        <v>6</v>
      </c>
      <c r="F19" s="2" t="s">
        <v>39</v>
      </c>
      <c r="G19" s="1">
        <v>1</v>
      </c>
      <c r="H19" s="1">
        <v>1</v>
      </c>
      <c r="I19" s="6">
        <v>1</v>
      </c>
      <c r="J19" s="5" t="s">
        <v>123</v>
      </c>
    </row>
    <row r="20" spans="1:10" ht="32" x14ac:dyDescent="0.2">
      <c r="A20" s="4" t="s">
        <v>52</v>
      </c>
      <c r="B20" s="27">
        <v>1</v>
      </c>
      <c r="C20" s="2" t="s">
        <v>3</v>
      </c>
      <c r="D20" s="1" t="s">
        <v>57</v>
      </c>
      <c r="E20" s="1" t="s">
        <v>6</v>
      </c>
      <c r="F20" s="2" t="s">
        <v>39</v>
      </c>
      <c r="G20" s="1">
        <v>1</v>
      </c>
      <c r="H20" s="1">
        <v>1</v>
      </c>
      <c r="I20" s="6">
        <v>1</v>
      </c>
      <c r="J20" s="5" t="s">
        <v>122</v>
      </c>
    </row>
    <row r="21" spans="1:10" ht="32" x14ac:dyDescent="0.2">
      <c r="A21" s="47" t="s">
        <v>53</v>
      </c>
      <c r="B21" s="27">
        <v>0</v>
      </c>
      <c r="C21" s="48" t="s">
        <v>3</v>
      </c>
      <c r="D21" s="1" t="s">
        <v>57</v>
      </c>
      <c r="E21" s="1" t="s">
        <v>6</v>
      </c>
      <c r="F21" s="2" t="s">
        <v>39</v>
      </c>
      <c r="G21" s="1">
        <v>1</v>
      </c>
      <c r="H21" s="1">
        <v>1</v>
      </c>
      <c r="I21" s="6">
        <v>1</v>
      </c>
      <c r="J21" s="5" t="s">
        <v>132</v>
      </c>
    </row>
    <row r="22" spans="1:10" ht="32" x14ac:dyDescent="0.2">
      <c r="A22" s="47" t="s">
        <v>54</v>
      </c>
      <c r="B22" s="27">
        <v>1</v>
      </c>
      <c r="C22" s="48" t="s">
        <v>3</v>
      </c>
      <c r="D22" s="1" t="s">
        <v>57</v>
      </c>
      <c r="E22" s="1" t="s">
        <v>6</v>
      </c>
      <c r="F22" s="2" t="s">
        <v>39</v>
      </c>
      <c r="G22" s="1">
        <v>1</v>
      </c>
      <c r="H22" s="1">
        <v>1</v>
      </c>
      <c r="I22" s="6">
        <v>1</v>
      </c>
      <c r="J22" s="5" t="s">
        <v>134</v>
      </c>
    </row>
    <row r="23" spans="1:10" ht="16" x14ac:dyDescent="0.2">
      <c r="A23" s="8" t="s">
        <v>78</v>
      </c>
      <c r="B23" s="28"/>
      <c r="C23" s="9"/>
      <c r="D23" s="10"/>
      <c r="E23" s="10"/>
      <c r="F23" s="9"/>
      <c r="G23" s="10">
        <v>1</v>
      </c>
      <c r="H23" s="10">
        <v>1</v>
      </c>
      <c r="I23" s="11">
        <v>0</v>
      </c>
      <c r="J23" s="12" t="s">
        <v>79</v>
      </c>
    </row>
  </sheetData>
  <sheetProtection algorithmName="SHA-512" hashValue="rJ8x5/wmeZWr+Awms8gjV7zgy8vTKkx0qXTEAc0qx1uv2B12t64biHVwg4sLmpnO7+0hl/nlk50rfoVnBOHL1g==" saltValue="Y1PBjclQ/GLbLG17duBdiQ==" spinCount="100000" sheet="1" objects="1" scenarios="1" selectLockedCells="1"/>
  <mergeCells count="2">
    <mergeCell ref="A3:J3"/>
    <mergeCell ref="J4:J8"/>
  </mergeCells>
  <phoneticPr fontId="1" type="noConversion"/>
  <conditionalFormatting sqref="B10:B23">
    <cfRule type="expression" dxfId="39" priority="1">
      <formula>IF(AND($B10&lt;&gt;"",$I10=0),1,0)</formula>
    </cfRule>
    <cfRule type="expression" dxfId="38" priority="2">
      <formula>IF($B10&lt;&gt;"",1,0)</formula>
    </cfRule>
    <cfRule type="expression" dxfId="37" priority="3">
      <formula>$I10 = 0</formula>
    </cfRule>
  </conditionalFormatting>
  <conditionalFormatting sqref="J4">
    <cfRule type="expression" dxfId="36" priority="1934">
      <formula>IF(COUNTA($B$10:$B$23)&lt;&gt;COUNTIF($I$10:$I$23,1),1,0)</formula>
    </cfRule>
    <cfRule type="expression" dxfId="35" priority="1935">
      <formula>IF(COUNTA($B$10:$B$23)=COUNTIF($I$10:$I$23,1),1,0)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8065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177800</xdr:colOff>
                    <xdr:row>4</xdr:row>
                    <xdr:rowOff>76200</xdr:rowOff>
                  </from>
                  <to>
                    <xdr:col>1</xdr:col>
                    <xdr:colOff>901700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66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1003300</xdr:colOff>
                    <xdr:row>4</xdr:row>
                    <xdr:rowOff>76200</xdr:rowOff>
                  </from>
                  <to>
                    <xdr:col>3</xdr:col>
                    <xdr:colOff>50800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67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139700</xdr:colOff>
                    <xdr:row>4</xdr:row>
                    <xdr:rowOff>76200</xdr:rowOff>
                  </from>
                  <to>
                    <xdr:col>4</xdr:col>
                    <xdr:colOff>406400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10">
        <x14:dataValidation type="list" allowBlank="1" showInputMessage="1" showErrorMessage="1" promptTitle="Equation of State" prompt="0 = ideal gas law, _x000a_1 = other EOS." xr:uid="{920A0CBB-F2B0-4FAC-8EDF-E1712357EEAB}">
          <x14:formula1>
            <xm:f>Reference!$K$2:$K$4</xm:f>
          </x14:formula1>
          <xm:sqref>B15</xm:sqref>
        </x14:dataValidation>
        <x14:dataValidation type="list" allowBlank="1" showInputMessage="1" showErrorMessage="1" promptTitle="Heat Effect" prompt="0 = No, _x000a_1 = Yes." xr:uid="{13D491F2-03C5-4282-8E9B-A0A3DC29C5CB}">
          <x14:formula1>
            <xm:f>Reference!$K$2:$K$4</xm:f>
          </x14:formula1>
          <xm:sqref>B14</xm:sqref>
        </x14:dataValidation>
        <x14:dataValidation type="list" allowBlank="1" showInputMessage="1" showErrorMessage="1" promptTitle="Step Termination" prompt="0 = step duration, _x000a_1 = terminal event." xr:uid="{64472DFC-0330-4BC0-9B57-A9DA156591C9}">
          <x14:formula1>
            <xm:f>Reference!$K$2:$K$4</xm:f>
          </x14:formula1>
          <xm:sqref>B13</xm:sqref>
        </x14:dataValidation>
        <x14:dataValidation type="list" allowBlank="1" showInputMessage="1" showErrorMessage="1" promptTitle="Operation Policy" prompt="0 = pressure driven operation_x000a_1 = controlled operation" xr:uid="{9793C12D-384F-46CB-9B97-4BA9EB3C8854}">
          <x14:formula1>
            <xm:f>Reference!$K$2:$K$4</xm:f>
          </x14:formula1>
          <xm:sqref>B12</xm:sqref>
        </x14:dataValidation>
        <x14:dataValidation type="list" allowBlank="1" showInputMessage="1" showErrorMessage="1" promptTitle="Pressure Equalization" prompt="0 = No, _x000a_1 = Yes." xr:uid="{75D3F352-0CEB-47A3-8487-4B5B1A1EA88D}">
          <x14:formula1>
            <xm:f>Reference!$K$2:$K$4</xm:f>
          </x14:formula1>
          <xm:sqref>B11</xm:sqref>
        </x14:dataValidation>
        <x14:dataValidation type="list" allowBlank="1" showInputMessage="1" showErrorMessage="1" promptTitle="Multiple Column Interaction" prompt="0 = No, _x000a_1 = Yes." xr:uid="{8747AB33-F66E-4C1D-8279-2660DB4FCFBB}">
          <x14:formula1>
            <xm:f>Reference!$K$2:$K$4</xm:f>
          </x14:formula1>
          <xm:sqref>B10</xm:sqref>
        </x14:dataValidation>
        <x14:dataValidation type="list" allowBlank="1" showInputMessage="1" showErrorMessage="1" xr:uid="{77D586C7-FC85-492F-9E4F-ABDD591BC0FE}">
          <x14:formula1>
            <xm:f>Reference!$K$2:$K$4</xm:f>
          </x14:formula1>
          <xm:sqref>B16:B22</xm:sqref>
        </x14:dataValidation>
        <x14:dataValidation type="list" allowBlank="1" showInputMessage="1" showErrorMessage="1" xr:uid="{FAB8191F-D5A5-4883-8B36-5132CBEEBF34}">
          <x14:formula1>
            <xm:f>Reference!$C$2:$C$23</xm:f>
          </x14:formula1>
          <xm:sqref>F10:F23</xm:sqref>
        </x14:dataValidation>
        <x14:dataValidation type="list" allowBlank="1" showInputMessage="1" showErrorMessage="1" xr:uid="{FB5ECD24-63AB-49B4-AC30-9E289237726A}">
          <x14:formula1>
            <xm:f>Reference!$B$2:$B$18</xm:f>
          </x14:formula1>
          <xm:sqref>D10:D23</xm:sqref>
        </x14:dataValidation>
        <x14:dataValidation type="list" allowBlank="1" showInputMessage="1" showErrorMessage="1" xr:uid="{0B8D5AFE-9007-42BF-9922-5CE5F4505C3A}">
          <x14:formula1>
            <xm:f>Reference!$A$2:$A$8</xm:f>
          </x14:formula1>
          <xm:sqref>E10:E23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821980-F21C-420B-9562-2D9F713F6EBC}">
  <sheetPr codeName="Sheet5">
    <tabColor rgb="FF00B050"/>
  </sheetPr>
  <dimension ref="A2:J17"/>
  <sheetViews>
    <sheetView showGridLines="0" topLeftCell="A2" zoomScaleNormal="100" zoomScaleSheetLayoutView="70" workbookViewId="0">
      <pane ySplit="8" topLeftCell="A11" activePane="bottomLeft" state="frozen"/>
      <selection activeCell="B2" sqref="B2"/>
      <selection pane="bottomLeft" activeCell="B16" sqref="B16"/>
    </sheetView>
  </sheetViews>
  <sheetFormatPr baseColWidth="10" defaultColWidth="0" defaultRowHeight="15" zeroHeight="1" x14ac:dyDescent="0.2"/>
  <cols>
    <col min="1" max="1" width="17" style="3" bestFit="1" customWidth="1"/>
    <col min="2" max="2" width="22.1640625" style="3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hidden="1" customWidth="1"/>
    <col min="7" max="9" width="15" style="3" hidden="1" customWidth="1"/>
    <col min="10" max="10" width="57.5" style="3" customWidth="1"/>
    <col min="11" max="16384" width="8.6640625" style="3" hidden="1"/>
  </cols>
  <sheetData>
    <row r="2" spans="1:10" x14ac:dyDescent="0.2">
      <c r="A2" s="20" t="str">
        <f>'Revision History'!$D$4</f>
        <v>REV. NO.2 (9/14/2022)</v>
      </c>
      <c r="B2" s="21"/>
      <c r="C2" s="21"/>
      <c r="D2" s="21"/>
      <c r="E2" s="21"/>
      <c r="F2" s="21"/>
      <c r="G2" s="21"/>
      <c r="H2" s="21"/>
      <c r="I2" s="21"/>
      <c r="J2" s="22" t="str">
        <f>'Revision History'!$J$4</f>
        <v>Scott Research Group (jkscottresearchgroup.com)</v>
      </c>
    </row>
    <row r="3" spans="1:10" ht="19" x14ac:dyDescent="0.2">
      <c r="A3" s="51" t="s">
        <v>29</v>
      </c>
      <c r="B3" s="51"/>
      <c r="C3" s="51"/>
      <c r="D3" s="51"/>
      <c r="E3" s="51"/>
      <c r="F3" s="51"/>
      <c r="G3" s="51"/>
      <c r="H3" s="51"/>
      <c r="I3" s="51"/>
      <c r="J3" s="51"/>
    </row>
    <row r="4" spans="1:10" ht="14.75" customHeight="1" x14ac:dyDescent="0.2">
      <c r="A4" s="13"/>
      <c r="B4" s="14"/>
      <c r="C4" s="37"/>
      <c r="D4" s="15"/>
      <c r="E4" s="15"/>
      <c r="F4" s="15"/>
      <c r="G4" s="15"/>
      <c r="H4" s="15"/>
      <c r="I4" s="14"/>
      <c r="J4" s="52" t="str">
        <f>IF(COUNTIF(Table13[Test 3],1)=COUNTA(Table13[Value]),"Ready","Not Ready")</f>
        <v>Ready</v>
      </c>
    </row>
    <row r="5" spans="1:10" ht="14.75" customHeight="1" x14ac:dyDescent="0.2">
      <c r="A5" s="13"/>
      <c r="B5" s="14"/>
      <c r="C5" s="37"/>
      <c r="D5" s="15"/>
      <c r="E5" s="15"/>
      <c r="F5" s="15"/>
      <c r="G5" s="15"/>
      <c r="H5" s="15"/>
      <c r="I5" s="15"/>
      <c r="J5" s="53"/>
    </row>
    <row r="6" spans="1:10" ht="14.75" customHeight="1" x14ac:dyDescent="0.2">
      <c r="A6" s="13"/>
      <c r="B6" s="14"/>
      <c r="C6" s="37"/>
      <c r="D6" s="15"/>
      <c r="E6" s="15"/>
      <c r="F6" s="15"/>
      <c r="G6" s="15"/>
      <c r="H6" s="15"/>
      <c r="I6" s="15"/>
      <c r="J6" s="53"/>
    </row>
    <row r="7" spans="1:10" ht="14.75" customHeight="1" x14ac:dyDescent="0.2">
      <c r="A7" s="13"/>
      <c r="B7" s="14"/>
      <c r="C7" s="37"/>
      <c r="D7" s="15"/>
      <c r="E7" s="15"/>
      <c r="F7" s="15"/>
      <c r="G7" s="15"/>
      <c r="H7" s="15"/>
      <c r="I7" s="15"/>
      <c r="J7" s="53"/>
    </row>
    <row r="8" spans="1:10" ht="14.75" customHeight="1" x14ac:dyDescent="0.2">
      <c r="A8" s="16"/>
      <c r="B8" s="17"/>
      <c r="C8" s="18"/>
      <c r="D8" s="19"/>
      <c r="E8" s="19"/>
      <c r="F8" s="19"/>
      <c r="G8" s="19"/>
      <c r="H8" s="19"/>
      <c r="I8" s="19"/>
      <c r="J8" s="54"/>
    </row>
    <row r="9" spans="1:10" ht="16" x14ac:dyDescent="0.2">
      <c r="A9" s="23" t="s">
        <v>0</v>
      </c>
      <c r="B9" s="24" t="s">
        <v>1</v>
      </c>
      <c r="C9" s="24" t="s">
        <v>2</v>
      </c>
      <c r="D9" s="24" t="s">
        <v>14</v>
      </c>
      <c r="E9" s="24" t="s">
        <v>63</v>
      </c>
      <c r="F9" s="25" t="s">
        <v>38</v>
      </c>
      <c r="G9" s="25" t="s">
        <v>64</v>
      </c>
      <c r="H9" s="24" t="s">
        <v>65</v>
      </c>
      <c r="I9" s="26" t="s">
        <v>74</v>
      </c>
      <c r="J9" s="26" t="s">
        <v>12</v>
      </c>
    </row>
    <row r="10" spans="1:10" ht="128" x14ac:dyDescent="0.2">
      <c r="A10" s="4" t="s">
        <v>69</v>
      </c>
      <c r="B10" s="27">
        <v>7</v>
      </c>
      <c r="C10" s="2" t="s">
        <v>3</v>
      </c>
      <c r="D10" s="1" t="s">
        <v>57</v>
      </c>
      <c r="E10" s="1" t="s">
        <v>82</v>
      </c>
      <c r="F10" s="2" t="s">
        <v>39</v>
      </c>
      <c r="G10" s="1">
        <v>1</v>
      </c>
      <c r="H10" s="1">
        <v>1</v>
      </c>
      <c r="I10" s="6">
        <v>1</v>
      </c>
      <c r="J10" s="49" t="s">
        <v>133</v>
      </c>
    </row>
    <row r="11" spans="1:10" ht="48" x14ac:dyDescent="0.2">
      <c r="A11" s="4" t="s">
        <v>70</v>
      </c>
      <c r="B11" s="27">
        <v>1</v>
      </c>
      <c r="C11" s="2" t="s">
        <v>3</v>
      </c>
      <c r="D11" s="1" t="s">
        <v>57</v>
      </c>
      <c r="E11" s="1" t="s">
        <v>82</v>
      </c>
      <c r="F11" s="2" t="s">
        <v>39</v>
      </c>
      <c r="G11" s="1">
        <v>1</v>
      </c>
      <c r="H11" s="1">
        <v>1</v>
      </c>
      <c r="I11" s="6">
        <v>1</v>
      </c>
      <c r="J11" s="5" t="s">
        <v>119</v>
      </c>
    </row>
    <row r="12" spans="1:10" ht="48" x14ac:dyDescent="0.2">
      <c r="A12" s="4" t="s">
        <v>71</v>
      </c>
      <c r="B12" s="27">
        <v>1</v>
      </c>
      <c r="C12" s="2" t="s">
        <v>3</v>
      </c>
      <c r="D12" s="1" t="s">
        <v>57</v>
      </c>
      <c r="E12" s="1" t="s">
        <v>82</v>
      </c>
      <c r="F12" s="2" t="s">
        <v>39</v>
      </c>
      <c r="G12" s="1">
        <v>1</v>
      </c>
      <c r="H12" s="1">
        <v>1</v>
      </c>
      <c r="I12" s="6">
        <v>1</v>
      </c>
      <c r="J12" s="5" t="s">
        <v>117</v>
      </c>
    </row>
    <row r="13" spans="1:10" ht="48" x14ac:dyDescent="0.2">
      <c r="A13" s="4" t="s">
        <v>72</v>
      </c>
      <c r="B13" s="27">
        <v>1</v>
      </c>
      <c r="C13" s="2" t="s">
        <v>3</v>
      </c>
      <c r="D13" s="1" t="s">
        <v>57</v>
      </c>
      <c r="E13" s="1" t="s">
        <v>82</v>
      </c>
      <c r="F13" s="2" t="s">
        <v>39</v>
      </c>
      <c r="G13" s="1">
        <v>1</v>
      </c>
      <c r="H13" s="1">
        <v>1</v>
      </c>
      <c r="I13" s="6">
        <v>1</v>
      </c>
      <c r="J13" s="5" t="s">
        <v>118</v>
      </c>
    </row>
    <row r="14" spans="1:10" ht="32" x14ac:dyDescent="0.2">
      <c r="A14" s="4" t="s">
        <v>73</v>
      </c>
      <c r="B14" s="27">
        <v>0</v>
      </c>
      <c r="C14" s="2" t="s">
        <v>3</v>
      </c>
      <c r="D14" s="1" t="s">
        <v>57</v>
      </c>
      <c r="E14" s="1" t="s">
        <v>82</v>
      </c>
      <c r="F14" s="2" t="s">
        <v>39</v>
      </c>
      <c r="G14" s="1">
        <v>1</v>
      </c>
      <c r="H14" s="1">
        <v>1</v>
      </c>
      <c r="I14" s="6">
        <v>1</v>
      </c>
      <c r="J14" s="5" t="s">
        <v>115</v>
      </c>
    </row>
    <row r="15" spans="1:10" ht="64" x14ac:dyDescent="0.2">
      <c r="A15" s="4" t="s">
        <v>86</v>
      </c>
      <c r="B15" s="27">
        <v>0</v>
      </c>
      <c r="C15" s="2" t="s">
        <v>3</v>
      </c>
      <c r="D15" s="1" t="s">
        <v>57</v>
      </c>
      <c r="E15" s="1" t="s">
        <v>82</v>
      </c>
      <c r="F15" s="2" t="s">
        <v>39</v>
      </c>
      <c r="G15" s="1">
        <v>1</v>
      </c>
      <c r="H15" s="1">
        <v>1</v>
      </c>
      <c r="I15" s="6">
        <v>1</v>
      </c>
      <c r="J15" s="5" t="s">
        <v>130</v>
      </c>
    </row>
    <row r="16" spans="1:10" ht="96" x14ac:dyDescent="0.2">
      <c r="A16" s="4" t="s">
        <v>87</v>
      </c>
      <c r="B16" s="27">
        <v>0</v>
      </c>
      <c r="C16" s="2" t="s">
        <v>3</v>
      </c>
      <c r="D16" s="1" t="s">
        <v>57</v>
      </c>
      <c r="E16" s="1" t="s">
        <v>82</v>
      </c>
      <c r="F16" s="2" t="s">
        <v>39</v>
      </c>
      <c r="G16" s="1">
        <v>1</v>
      </c>
      <c r="H16" s="1">
        <v>1</v>
      </c>
      <c r="I16" s="6">
        <v>1</v>
      </c>
      <c r="J16" s="5" t="s">
        <v>125</v>
      </c>
    </row>
    <row r="17" spans="1:10" ht="16" x14ac:dyDescent="0.2">
      <c r="A17" s="8" t="s">
        <v>78</v>
      </c>
      <c r="B17" s="28"/>
      <c r="C17" s="9"/>
      <c r="D17" s="10"/>
      <c r="E17" s="10"/>
      <c r="F17" s="9"/>
      <c r="G17" s="10">
        <v>1</v>
      </c>
      <c r="H17" s="10">
        <v>1</v>
      </c>
      <c r="I17" s="11">
        <v>0</v>
      </c>
      <c r="J17" s="12" t="s">
        <v>79</v>
      </c>
    </row>
  </sheetData>
  <sheetProtection algorithmName="SHA-512" hashValue="IrpeMttSf3dnpUnDfL7VIba1gjQLFMdeNENDXHxCgrMWxAoxpp1bpRkO+LI6pee56FJt429e2UPDQcxuUw2LvQ==" saltValue="bnzHzslyquHKNWSAFD0v4Q==" spinCount="100000" sheet="1" objects="1" scenarios="1" selectLockedCells="1"/>
  <mergeCells count="2">
    <mergeCell ref="A3:J3"/>
    <mergeCell ref="J4:J8"/>
  </mergeCells>
  <phoneticPr fontId="1" type="noConversion"/>
  <conditionalFormatting sqref="B10:B17">
    <cfRule type="expression" dxfId="19" priority="1">
      <formula>IF(AND($B10&lt;&gt;"",$I10=0),1,0)</formula>
    </cfRule>
    <cfRule type="expression" dxfId="18" priority="2">
      <formula>IF($B10&lt;&gt;"",1,0)</formula>
    </cfRule>
    <cfRule type="expression" dxfId="17" priority="8">
      <formula>$I10 = 0</formula>
    </cfRule>
  </conditionalFormatting>
  <conditionalFormatting sqref="J4">
    <cfRule type="expression" dxfId="16" priority="1942">
      <formula>IF(COUNTA($B$10:$B$17)&lt;&gt;COUNTIF($I$10:$I$17,1),1,0)</formula>
    </cfRule>
    <cfRule type="expression" dxfId="15" priority="1943">
      <formula>IF(COUNTA($B$10:$B$17)=COUNTIF($I$10:$I$17,1),1,0)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1" r:id="rId4" name="Button 41">
              <controlPr defaultSize="0" autoFill="0" autoPict="0" macro="[0]!initComs">
                <anchor moveWithCells="1" sizeWithCells="1">
                  <from>
                    <xdr:col>0</xdr:col>
                    <xdr:colOff>190500</xdr:colOff>
                    <xdr:row>4</xdr:row>
                    <xdr:rowOff>76200</xdr:rowOff>
                  </from>
                  <to>
                    <xdr:col>1</xdr:col>
                    <xdr:colOff>1003300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2" r:id="rId5" name="Button 42">
              <controlPr defaultSize="0" autoFill="0" autoPict="0" macro="[0]!pushData">
                <anchor moveWithCells="1" sizeWithCells="1">
                  <from>
                    <xdr:col>1</xdr:col>
                    <xdr:colOff>1104900</xdr:colOff>
                    <xdr:row>4</xdr:row>
                    <xdr:rowOff>76200</xdr:rowOff>
                  </from>
                  <to>
                    <xdr:col>3</xdr:col>
                    <xdr:colOff>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3" r:id="rId6" name="Button 43">
              <controlPr defaultSize="0" autoFill="0" autoPict="0" macro="[0]!clearData">
                <anchor moveWithCells="1" sizeWithCells="1">
                  <from>
                    <xdr:col>3</xdr:col>
                    <xdr:colOff>114300</xdr:colOff>
                    <xdr:row>4</xdr:row>
                    <xdr:rowOff>76200</xdr:rowOff>
                  </from>
                  <to>
                    <xdr:col>4</xdr:col>
                    <xdr:colOff>381000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B6C3A73A-B6B2-43B7-8595-D4931E22BD65}">
          <x14:formula1>
            <xm:f>Reference!$G$2:$G$12</xm:f>
          </x14:formula1>
          <xm:sqref>B10:B16</xm:sqref>
        </x14:dataValidation>
        <x14:dataValidation type="list" allowBlank="1" showInputMessage="1" showErrorMessage="1" xr:uid="{893FB6AB-5634-443B-93CC-4E33E6DFB43B}">
          <x14:formula1>
            <xm:f>Reference!$A$2:$A$8</xm:f>
          </x14:formula1>
          <xm:sqref>E10:E17</xm:sqref>
        </x14:dataValidation>
        <x14:dataValidation type="list" allowBlank="1" showInputMessage="1" showErrorMessage="1" xr:uid="{E0AEFF75-ED65-4D37-990C-48A6D28F6B43}">
          <x14:formula1>
            <xm:f>Reference!$B$2:$B$18</xm:f>
          </x14:formula1>
          <xm:sqref>D10:D17</xm:sqref>
        </x14:dataValidation>
        <x14:dataValidation type="list" allowBlank="1" showInputMessage="1" showErrorMessage="1" xr:uid="{65D0AF1F-2B05-4A3D-82D0-E9AE5BDEBBB8}">
          <x14:formula1>
            <xm:f>Reference!$C$2:$C$23</xm:f>
          </x14:formula1>
          <xm:sqref>F10:F17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4CFE28-5DFB-4DBC-BA7F-9CAE6152A4E3}">
  <sheetPr codeName="Sheet18">
    <tabColor rgb="FF00B050"/>
  </sheetPr>
  <dimension ref="A1:Q34"/>
  <sheetViews>
    <sheetView showGridLines="0" zoomScale="85" zoomScaleNormal="85" zoomScaleSheetLayoutView="55" workbookViewId="0">
      <pane ySplit="1" topLeftCell="A2" activePane="bottomLeft" state="frozen"/>
      <selection activeCell="D4" sqref="D4:J4"/>
      <selection pane="bottomLeft" activeCell="G20" sqref="G20"/>
    </sheetView>
  </sheetViews>
  <sheetFormatPr baseColWidth="10" defaultColWidth="0" defaultRowHeight="0" customHeight="1" zeroHeight="1" x14ac:dyDescent="0.2"/>
  <cols>
    <col min="1" max="2" width="8.6640625" style="43" customWidth="1"/>
    <col min="3" max="3" width="13.1640625" style="43" customWidth="1"/>
    <col min="4" max="4" width="13.5" style="43" customWidth="1"/>
    <col min="5" max="6" width="8.6640625" style="43" customWidth="1"/>
    <col min="7" max="7" width="14.6640625" style="43" customWidth="1"/>
    <col min="8" max="8" width="11.6640625" style="43" customWidth="1"/>
    <col min="9" max="9" width="10.33203125" style="43" customWidth="1"/>
    <col min="10" max="10" width="5.6640625" style="43" customWidth="1"/>
    <col min="11" max="11" width="10.5" style="43" customWidth="1"/>
    <col min="12" max="17" width="8.6640625" style="43" customWidth="1"/>
    <col min="18" max="16384" width="8.6640625" style="43" hidden="1"/>
  </cols>
  <sheetData>
    <row r="1" spans="1:17" ht="15" x14ac:dyDescent="0.2">
      <c r="A1" s="20" t="s">
        <v>129</v>
      </c>
      <c r="B1" s="21"/>
      <c r="C1" s="21"/>
      <c r="D1" s="21"/>
      <c r="E1" s="21"/>
      <c r="F1" s="21"/>
      <c r="G1" s="21"/>
      <c r="H1" s="21"/>
      <c r="I1" s="22"/>
      <c r="J1" s="22"/>
      <c r="K1" s="22"/>
      <c r="L1" s="22"/>
      <c r="M1" s="22"/>
      <c r="N1" s="22"/>
      <c r="O1" s="22"/>
      <c r="P1" s="22"/>
      <c r="Q1" s="22" t="s">
        <v>85</v>
      </c>
    </row>
    <row r="2" spans="1:17" ht="15" x14ac:dyDescent="0.2">
      <c r="A2" s="55" t="s">
        <v>113</v>
      </c>
      <c r="B2" s="56"/>
      <c r="C2" s="56"/>
      <c r="D2" s="56"/>
      <c r="E2" s="56"/>
      <c r="F2" s="56"/>
      <c r="G2" s="56"/>
      <c r="H2" s="56"/>
      <c r="I2" s="56"/>
      <c r="J2" s="56"/>
      <c r="K2" s="56"/>
      <c r="L2" s="56"/>
      <c r="M2" s="56"/>
      <c r="N2" s="56"/>
      <c r="O2" s="56"/>
      <c r="P2" s="56"/>
      <c r="Q2" s="56"/>
    </row>
    <row r="3" spans="1:17" ht="15" x14ac:dyDescent="0.2">
      <c r="A3" s="44"/>
      <c r="B3" s="45"/>
      <c r="C3" s="45"/>
      <c r="D3" s="45"/>
      <c r="E3" s="45"/>
      <c r="F3" s="45"/>
      <c r="G3" s="45"/>
      <c r="H3" s="45"/>
      <c r="I3" s="45"/>
      <c r="J3" s="45"/>
      <c r="K3" s="45"/>
      <c r="L3" s="45"/>
      <c r="M3" s="45"/>
      <c r="N3" s="45"/>
      <c r="O3" s="45"/>
      <c r="P3" s="45"/>
      <c r="Q3" s="45"/>
    </row>
    <row r="4" spans="1:17" ht="15" x14ac:dyDescent="0.2">
      <c r="A4" s="44"/>
      <c r="B4" s="45" t="s">
        <v>112</v>
      </c>
      <c r="C4" s="45"/>
      <c r="D4" s="45"/>
      <c r="E4" s="45"/>
      <c r="F4" s="45"/>
      <c r="G4" s="45"/>
      <c r="H4" s="45"/>
      <c r="I4" s="45"/>
      <c r="J4" s="45"/>
      <c r="K4" s="45"/>
      <c r="L4" s="45"/>
      <c r="M4" s="45"/>
      <c r="N4" s="45"/>
      <c r="O4" s="45"/>
      <c r="P4" s="45"/>
      <c r="Q4" s="45"/>
    </row>
    <row r="5" spans="1:17" ht="15" x14ac:dyDescent="0.2">
      <c r="A5" s="44"/>
      <c r="B5" s="46"/>
      <c r="C5" s="45"/>
      <c r="D5" s="45"/>
      <c r="E5" s="45"/>
      <c r="F5" s="45"/>
      <c r="G5" s="45"/>
      <c r="H5" s="45"/>
      <c r="I5" s="45"/>
      <c r="J5" s="45"/>
      <c r="K5" s="45"/>
      <c r="L5" s="45"/>
      <c r="M5" s="45"/>
      <c r="N5" s="45"/>
      <c r="O5" s="45"/>
      <c r="P5" s="45"/>
      <c r="Q5" s="45"/>
    </row>
    <row r="6" spans="1:17" ht="15" x14ac:dyDescent="0.2">
      <c r="A6" s="44"/>
      <c r="B6" s="45"/>
      <c r="C6" s="45"/>
      <c r="D6" s="45"/>
      <c r="E6" s="45"/>
      <c r="F6" s="45"/>
      <c r="G6" s="45"/>
      <c r="H6" s="45"/>
      <c r="I6" s="45"/>
      <c r="J6" s="45"/>
      <c r="K6" s="45"/>
      <c r="L6" s="45"/>
      <c r="M6" s="45"/>
      <c r="N6" s="45"/>
      <c r="O6" s="45"/>
      <c r="P6" s="45"/>
      <c r="Q6" s="45"/>
    </row>
    <row r="7" spans="1:17" ht="15" x14ac:dyDescent="0.2">
      <c r="A7" s="44"/>
      <c r="B7" s="45"/>
      <c r="C7" s="45"/>
      <c r="D7" s="45"/>
      <c r="E7" s="45"/>
      <c r="F7" s="45"/>
      <c r="G7" s="45"/>
      <c r="H7" s="45"/>
      <c r="I7" s="45"/>
      <c r="J7" s="45"/>
      <c r="K7" s="45"/>
      <c r="L7" s="45"/>
      <c r="M7" s="45"/>
      <c r="N7" s="45"/>
      <c r="O7" s="45"/>
      <c r="P7" s="45"/>
      <c r="Q7" s="45"/>
    </row>
    <row r="8" spans="1:17" ht="15" x14ac:dyDescent="0.2">
      <c r="A8" s="44"/>
      <c r="B8" s="45"/>
      <c r="C8" s="45"/>
      <c r="D8" s="45"/>
      <c r="E8" s="45"/>
      <c r="F8" s="45"/>
      <c r="G8" s="45"/>
      <c r="H8" s="45"/>
      <c r="I8" s="45"/>
      <c r="J8" s="45"/>
      <c r="K8" s="45"/>
      <c r="L8" s="45"/>
      <c r="M8" s="45"/>
      <c r="N8" s="45"/>
      <c r="O8" s="45"/>
      <c r="P8" s="45"/>
      <c r="Q8" s="45"/>
    </row>
    <row r="9" spans="1:17" ht="15" x14ac:dyDescent="0.2">
      <c r="A9" s="44"/>
      <c r="B9" s="45"/>
      <c r="C9" s="45"/>
      <c r="D9" s="45"/>
      <c r="E9" s="45"/>
      <c r="F9" s="45"/>
      <c r="G9" s="45"/>
      <c r="H9" s="45"/>
      <c r="I9" s="45"/>
      <c r="J9" s="45"/>
      <c r="K9" s="45"/>
      <c r="L9" s="45"/>
      <c r="M9" s="45"/>
      <c r="N9" s="45"/>
      <c r="O9" s="45"/>
      <c r="P9" s="45"/>
      <c r="Q9" s="45"/>
    </row>
    <row r="10" spans="1:17" ht="15" x14ac:dyDescent="0.2">
      <c r="A10" s="44"/>
      <c r="B10" s="45"/>
      <c r="C10" s="45"/>
      <c r="D10" s="45"/>
      <c r="E10" s="45"/>
      <c r="F10" s="45"/>
      <c r="G10" s="45"/>
      <c r="H10" s="45"/>
      <c r="I10" s="45"/>
      <c r="J10" s="45"/>
      <c r="K10" s="45"/>
      <c r="L10" s="45"/>
      <c r="M10" s="45"/>
      <c r="N10" s="45"/>
      <c r="O10" s="45"/>
      <c r="P10" s="45"/>
      <c r="Q10" s="45"/>
    </row>
    <row r="11" spans="1:17" ht="15" x14ac:dyDescent="0.2">
      <c r="A11" s="44"/>
      <c r="B11" s="45"/>
      <c r="C11" s="45"/>
      <c r="D11" s="45"/>
      <c r="E11" s="45"/>
      <c r="F11" s="45"/>
      <c r="G11" s="45"/>
      <c r="H11" s="45"/>
      <c r="I11" s="45"/>
      <c r="J11" s="45"/>
      <c r="K11" s="45"/>
      <c r="L11" s="45"/>
      <c r="M11" s="45"/>
      <c r="N11" s="45"/>
      <c r="O11" s="45"/>
      <c r="P11" s="45"/>
      <c r="Q11" s="45"/>
    </row>
    <row r="12" spans="1:17" ht="15" x14ac:dyDescent="0.2">
      <c r="A12" s="44"/>
      <c r="B12" s="45"/>
      <c r="C12" s="45"/>
      <c r="D12" s="45"/>
      <c r="E12" s="45"/>
      <c r="F12" s="45"/>
      <c r="G12" s="45"/>
      <c r="H12" s="45"/>
      <c r="I12" s="45"/>
      <c r="J12" s="45"/>
      <c r="K12" s="45"/>
      <c r="L12" s="45"/>
      <c r="M12" s="45"/>
      <c r="N12" s="45"/>
      <c r="O12" s="45"/>
      <c r="P12" s="45"/>
      <c r="Q12" s="45"/>
    </row>
    <row r="13" spans="1:17" ht="15" x14ac:dyDescent="0.2">
      <c r="A13" s="44"/>
      <c r="B13" s="45"/>
      <c r="C13" s="45"/>
      <c r="D13" s="45"/>
      <c r="E13" s="45"/>
      <c r="F13" s="45"/>
      <c r="G13" s="45"/>
      <c r="H13" s="45"/>
      <c r="I13" s="45"/>
      <c r="J13" s="45"/>
      <c r="K13" s="45"/>
      <c r="L13" s="45"/>
      <c r="M13" s="45"/>
      <c r="N13" s="45"/>
      <c r="O13" s="45"/>
      <c r="P13" s="45"/>
      <c r="Q13" s="45"/>
    </row>
    <row r="14" spans="1:17" ht="15" x14ac:dyDescent="0.2">
      <c r="A14" s="44"/>
      <c r="B14" s="45"/>
      <c r="C14" s="45"/>
      <c r="D14" s="45"/>
      <c r="E14" s="45"/>
      <c r="F14" s="45"/>
      <c r="G14" s="45"/>
      <c r="H14" s="45"/>
      <c r="I14" s="45"/>
      <c r="J14" s="45"/>
      <c r="K14" s="45"/>
      <c r="L14" s="45"/>
      <c r="M14" s="45"/>
      <c r="N14" s="45"/>
      <c r="O14" s="45"/>
      <c r="P14" s="45"/>
      <c r="Q14" s="45"/>
    </row>
    <row r="15" spans="1:17" ht="15" x14ac:dyDescent="0.2">
      <c r="A15" s="44"/>
      <c r="B15" s="45"/>
      <c r="C15" s="45"/>
      <c r="D15" s="45"/>
      <c r="E15" s="45"/>
      <c r="F15" s="45"/>
      <c r="G15" s="45"/>
      <c r="H15" s="45"/>
      <c r="I15" s="45"/>
      <c r="J15" s="45"/>
      <c r="K15" s="45"/>
      <c r="L15" s="45"/>
      <c r="M15" s="45"/>
      <c r="N15" s="45"/>
      <c r="O15" s="45"/>
      <c r="P15" s="45"/>
      <c r="Q15" s="45"/>
    </row>
    <row r="16" spans="1:17" ht="15" x14ac:dyDescent="0.2">
      <c r="A16" s="44"/>
      <c r="B16" s="45"/>
      <c r="C16" s="45"/>
      <c r="D16" s="45"/>
      <c r="E16" s="45"/>
      <c r="F16" s="45"/>
      <c r="G16" s="45"/>
      <c r="H16" s="45"/>
      <c r="I16" s="45"/>
      <c r="J16" s="45"/>
      <c r="K16" s="45"/>
      <c r="L16" s="45"/>
      <c r="M16" s="45"/>
      <c r="N16" s="45"/>
      <c r="O16" s="45"/>
      <c r="P16" s="45"/>
      <c r="Q16" s="45"/>
    </row>
    <row r="17" spans="1:17" ht="15" x14ac:dyDescent="0.2">
      <c r="A17" s="44"/>
      <c r="B17" s="45"/>
      <c r="C17" s="45"/>
      <c r="D17" s="45"/>
      <c r="E17" s="45"/>
      <c r="F17" s="45"/>
      <c r="G17" s="45"/>
      <c r="H17" s="45"/>
      <c r="I17" s="45"/>
      <c r="J17" s="45"/>
      <c r="K17" s="45"/>
      <c r="L17" s="45"/>
      <c r="M17" s="45"/>
      <c r="N17" s="45"/>
      <c r="O17" s="45"/>
      <c r="P17" s="45"/>
      <c r="Q17" s="45"/>
    </row>
    <row r="18" spans="1:17" ht="15" x14ac:dyDescent="0.2">
      <c r="A18" s="55" t="s">
        <v>114</v>
      </c>
      <c r="B18" s="56"/>
      <c r="C18" s="56"/>
      <c r="D18" s="56"/>
      <c r="E18" s="56"/>
      <c r="F18" s="56"/>
      <c r="G18" s="56"/>
      <c r="H18" s="56"/>
      <c r="I18" s="56"/>
      <c r="J18" s="56"/>
      <c r="K18" s="56"/>
      <c r="L18" s="56"/>
      <c r="M18" s="56"/>
      <c r="N18" s="56"/>
      <c r="O18" s="56"/>
      <c r="P18" s="56"/>
      <c r="Q18" s="56"/>
    </row>
    <row r="19" spans="1:17" ht="15" x14ac:dyDescent="0.2">
      <c r="A19" s="44"/>
      <c r="B19" s="45"/>
      <c r="C19" s="45"/>
      <c r="D19" s="45"/>
      <c r="E19" s="45"/>
      <c r="F19" s="45"/>
      <c r="G19" s="45"/>
      <c r="H19" s="45"/>
      <c r="I19" s="45"/>
      <c r="J19" s="45"/>
      <c r="K19" s="45"/>
      <c r="L19" s="45"/>
      <c r="M19" s="45"/>
      <c r="N19" s="45"/>
      <c r="O19" s="45"/>
      <c r="P19" s="45"/>
      <c r="Q19" s="45"/>
    </row>
    <row r="20" spans="1:17" ht="15" x14ac:dyDescent="0.2">
      <c r="A20" s="44"/>
      <c r="B20" s="45" t="s">
        <v>112</v>
      </c>
      <c r="C20" s="45"/>
      <c r="D20" s="45"/>
      <c r="E20" s="45"/>
      <c r="F20" s="45"/>
      <c r="G20" s="45"/>
      <c r="H20" s="45"/>
      <c r="I20" s="45"/>
      <c r="J20" s="45"/>
      <c r="K20" s="45"/>
      <c r="L20" s="45"/>
      <c r="M20" s="45"/>
      <c r="N20" s="45"/>
      <c r="O20" s="45"/>
      <c r="P20" s="45"/>
      <c r="Q20" s="45"/>
    </row>
    <row r="21" spans="1:17" ht="15" x14ac:dyDescent="0.2">
      <c r="A21" s="44"/>
      <c r="B21" s="45"/>
      <c r="C21" s="45"/>
      <c r="D21" s="45"/>
      <c r="E21" s="45"/>
      <c r="F21" s="45"/>
      <c r="G21" s="45"/>
      <c r="H21" s="45"/>
      <c r="I21" s="45"/>
      <c r="J21" s="45"/>
      <c r="K21" s="45"/>
      <c r="L21" s="45"/>
      <c r="M21" s="45"/>
      <c r="N21" s="45"/>
      <c r="O21" s="45"/>
      <c r="P21" s="45"/>
      <c r="Q21" s="45"/>
    </row>
    <row r="22" spans="1:17" ht="15" x14ac:dyDescent="0.2">
      <c r="A22" s="44"/>
      <c r="B22" s="45"/>
      <c r="C22" s="45"/>
      <c r="D22" s="45"/>
      <c r="E22" s="45"/>
      <c r="F22" s="45"/>
      <c r="G22" s="45"/>
      <c r="H22" s="45"/>
      <c r="I22" s="45"/>
      <c r="J22" s="45"/>
      <c r="K22" s="45"/>
      <c r="L22" s="45"/>
      <c r="M22" s="45"/>
      <c r="N22" s="45"/>
      <c r="O22" s="45"/>
      <c r="P22" s="45"/>
      <c r="Q22" s="45"/>
    </row>
    <row r="23" spans="1:17" ht="15" x14ac:dyDescent="0.2">
      <c r="A23" s="44"/>
      <c r="B23" s="45"/>
      <c r="C23" s="45"/>
      <c r="D23" s="45"/>
      <c r="E23" s="45"/>
      <c r="F23" s="45"/>
      <c r="G23" s="45"/>
      <c r="H23" s="45"/>
      <c r="I23" s="45"/>
      <c r="J23" s="45"/>
      <c r="K23" s="45"/>
      <c r="L23" s="45"/>
      <c r="M23" s="45"/>
      <c r="N23" s="45"/>
      <c r="O23" s="45"/>
      <c r="P23" s="45"/>
      <c r="Q23" s="45"/>
    </row>
    <row r="24" spans="1:17" ht="15" x14ac:dyDescent="0.2">
      <c r="A24" s="44"/>
      <c r="B24" s="45"/>
      <c r="C24" s="45"/>
      <c r="D24" s="45"/>
      <c r="E24" s="45"/>
      <c r="F24" s="45"/>
      <c r="G24" s="45"/>
      <c r="H24" s="45"/>
      <c r="I24" s="45"/>
      <c r="J24" s="45"/>
      <c r="K24" s="45"/>
      <c r="L24" s="45"/>
      <c r="M24" s="45"/>
      <c r="N24" s="45"/>
      <c r="O24" s="45"/>
      <c r="P24" s="45"/>
      <c r="Q24" s="45"/>
    </row>
    <row r="25" spans="1:17" ht="15" x14ac:dyDescent="0.2">
      <c r="A25" s="44"/>
      <c r="B25" s="45"/>
      <c r="C25" s="45"/>
      <c r="D25" s="45"/>
      <c r="E25" s="45"/>
      <c r="F25" s="45"/>
      <c r="G25" s="45"/>
      <c r="H25" s="45"/>
      <c r="I25" s="45"/>
      <c r="J25" s="45"/>
      <c r="K25" s="45"/>
      <c r="L25" s="45"/>
      <c r="M25" s="45"/>
      <c r="N25" s="45"/>
      <c r="O25" s="45"/>
      <c r="P25" s="45"/>
      <c r="Q25" s="45"/>
    </row>
    <row r="26" spans="1:17" ht="15" x14ac:dyDescent="0.2">
      <c r="A26" s="44"/>
      <c r="B26" s="45"/>
      <c r="C26" s="45"/>
      <c r="D26" s="45"/>
      <c r="E26" s="45"/>
      <c r="F26" s="45"/>
      <c r="G26" s="45"/>
      <c r="H26" s="45"/>
      <c r="I26" s="45"/>
      <c r="J26" s="45"/>
      <c r="K26" s="45"/>
      <c r="L26" s="45"/>
      <c r="M26" s="45"/>
      <c r="N26" s="45"/>
      <c r="O26" s="45"/>
      <c r="P26" s="45"/>
      <c r="Q26" s="45"/>
    </row>
    <row r="27" spans="1:17" ht="15" x14ac:dyDescent="0.2">
      <c r="A27" s="44"/>
      <c r="B27" s="45"/>
      <c r="C27" s="45"/>
      <c r="D27" s="45"/>
      <c r="E27" s="45"/>
      <c r="F27" s="45"/>
      <c r="G27" s="45"/>
      <c r="H27" s="45"/>
      <c r="I27" s="45"/>
      <c r="J27" s="45"/>
      <c r="K27" s="45"/>
      <c r="L27" s="45"/>
      <c r="M27" s="45"/>
      <c r="N27" s="45"/>
      <c r="O27" s="45"/>
      <c r="P27" s="45"/>
      <c r="Q27" s="45"/>
    </row>
    <row r="28" spans="1:17" ht="15" x14ac:dyDescent="0.2">
      <c r="A28" s="44"/>
      <c r="B28" s="45"/>
      <c r="C28" s="45"/>
      <c r="D28" s="45"/>
      <c r="E28" s="45"/>
      <c r="F28" s="45"/>
      <c r="G28" s="45"/>
      <c r="H28" s="45"/>
      <c r="I28" s="45"/>
      <c r="J28" s="45"/>
      <c r="K28" s="45"/>
      <c r="L28" s="45"/>
      <c r="M28" s="45"/>
      <c r="N28" s="45"/>
      <c r="O28" s="45"/>
      <c r="P28" s="45"/>
      <c r="Q28" s="45"/>
    </row>
    <row r="29" spans="1:17" ht="15" x14ac:dyDescent="0.2">
      <c r="A29" s="44"/>
      <c r="B29" s="45"/>
      <c r="C29" s="45"/>
      <c r="D29" s="45"/>
      <c r="E29" s="45"/>
      <c r="F29" s="45"/>
      <c r="G29" s="45"/>
      <c r="H29" s="45"/>
      <c r="I29" s="45"/>
      <c r="J29" s="45"/>
      <c r="K29" s="45"/>
      <c r="L29" s="45"/>
      <c r="M29" s="45"/>
      <c r="N29" s="45"/>
      <c r="O29" s="45"/>
      <c r="P29" s="45"/>
      <c r="Q29" s="45"/>
    </row>
    <row r="30" spans="1:17" ht="15" x14ac:dyDescent="0.2">
      <c r="A30" s="44"/>
      <c r="B30" s="45"/>
      <c r="C30" s="45"/>
      <c r="D30" s="45"/>
      <c r="E30" s="45"/>
      <c r="F30" s="45"/>
      <c r="G30" s="45"/>
      <c r="H30" s="45"/>
      <c r="I30" s="45"/>
      <c r="J30" s="45"/>
      <c r="K30" s="45"/>
      <c r="L30" s="45"/>
      <c r="M30" s="45"/>
      <c r="N30" s="45"/>
      <c r="O30" s="45"/>
      <c r="P30" s="45"/>
      <c r="Q30" s="45"/>
    </row>
    <row r="31" spans="1:17" ht="15" x14ac:dyDescent="0.2">
      <c r="A31" s="44"/>
      <c r="B31" s="45"/>
      <c r="C31" s="45"/>
      <c r="D31" s="45"/>
      <c r="E31" s="45"/>
      <c r="F31" s="45"/>
      <c r="G31" s="45"/>
      <c r="H31" s="45"/>
      <c r="I31" s="45"/>
      <c r="J31" s="45"/>
      <c r="K31" s="45"/>
      <c r="L31" s="45"/>
      <c r="M31" s="45"/>
      <c r="N31" s="45"/>
      <c r="O31" s="45"/>
      <c r="P31" s="45"/>
      <c r="Q31" s="45"/>
    </row>
    <row r="32" spans="1:17" ht="15" x14ac:dyDescent="0.2">
      <c r="A32" s="44"/>
      <c r="B32" s="46"/>
      <c r="C32" s="45"/>
      <c r="D32" s="45"/>
      <c r="E32" s="45"/>
      <c r="F32" s="45"/>
      <c r="G32" s="45"/>
      <c r="H32" s="45"/>
      <c r="I32" s="45"/>
      <c r="J32" s="45"/>
      <c r="K32" s="45"/>
      <c r="L32" s="45"/>
      <c r="M32" s="45"/>
      <c r="N32" s="45"/>
      <c r="O32" s="45"/>
      <c r="P32" s="45"/>
      <c r="Q32" s="45"/>
    </row>
    <row r="33" spans="1:17" ht="15" x14ac:dyDescent="0.2">
      <c r="A33" s="44"/>
      <c r="B33" s="45"/>
      <c r="C33" s="45"/>
      <c r="D33" s="45"/>
      <c r="E33" s="45"/>
      <c r="F33" s="45"/>
      <c r="G33" s="45"/>
      <c r="H33" s="45"/>
      <c r="I33" s="45"/>
      <c r="J33" s="45"/>
      <c r="K33" s="45"/>
      <c r="L33" s="45"/>
      <c r="M33" s="45"/>
      <c r="N33" s="45"/>
      <c r="O33" s="45"/>
      <c r="P33" s="45"/>
      <c r="Q33" s="45"/>
    </row>
    <row r="34" spans="1:17" ht="15" x14ac:dyDescent="0.2">
      <c r="A34" s="44"/>
      <c r="B34" s="45"/>
      <c r="C34" s="45"/>
      <c r="D34" s="45"/>
      <c r="E34" s="45"/>
      <c r="F34" s="45"/>
      <c r="G34" s="45"/>
      <c r="H34" s="45"/>
      <c r="I34" s="45"/>
      <c r="J34" s="45"/>
      <c r="K34" s="45"/>
      <c r="L34" s="45"/>
      <c r="M34" s="45"/>
      <c r="N34" s="45"/>
      <c r="O34" s="45"/>
      <c r="P34" s="45"/>
      <c r="Q34" s="45"/>
    </row>
  </sheetData>
  <sheetProtection selectLockedCells="1" selectUnlockedCells="1"/>
  <mergeCells count="2">
    <mergeCell ref="A2:Q2"/>
    <mergeCell ref="A18:Q18"/>
  </mergeCells>
  <pageMargins left="0.7" right="0.7" top="0.75" bottom="0.75" header="0.3" footer="0.3"/>
  <pageSetup scale="20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baseColWidth="10" defaultColWidth="8.6640625" defaultRowHeight="15" x14ac:dyDescent="0.2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6640625" bestFit="1" customWidth="1"/>
    <col min="17" max="17" width="20.6640625" bestFit="1" customWidth="1"/>
    <col min="21" max="21" width="10.5" customWidth="1"/>
  </cols>
  <sheetData>
    <row r="1" spans="1:21" x14ac:dyDescent="0.2">
      <c r="A1" t="s">
        <v>13</v>
      </c>
      <c r="B1" t="s">
        <v>14</v>
      </c>
      <c r="C1" t="s">
        <v>38</v>
      </c>
      <c r="D1" t="s">
        <v>66</v>
      </c>
      <c r="E1" t="s">
        <v>67</v>
      </c>
      <c r="F1" t="s">
        <v>68</v>
      </c>
      <c r="G1" s="1" t="s">
        <v>71</v>
      </c>
      <c r="H1" s="1" t="s">
        <v>72</v>
      </c>
      <c r="I1" s="1" t="s">
        <v>73</v>
      </c>
      <c r="J1" s="7" t="s">
        <v>75</v>
      </c>
      <c r="K1" s="7" t="s">
        <v>6</v>
      </c>
      <c r="L1" t="s">
        <v>83</v>
      </c>
      <c r="M1" t="s">
        <v>80</v>
      </c>
      <c r="N1" t="s">
        <v>81</v>
      </c>
      <c r="O1" t="s">
        <v>84</v>
      </c>
      <c r="P1" t="s">
        <v>91</v>
      </c>
      <c r="Q1" t="s">
        <v>94</v>
      </c>
      <c r="R1" t="s">
        <v>95</v>
      </c>
      <c r="S1" t="s">
        <v>96</v>
      </c>
      <c r="T1" t="s">
        <v>99</v>
      </c>
      <c r="U1" t="s">
        <v>103</v>
      </c>
    </row>
    <row r="2" spans="1:21" x14ac:dyDescent="0.2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 x14ac:dyDescent="0.2">
      <c r="A3" t="s">
        <v>7</v>
      </c>
      <c r="B3" t="s">
        <v>24</v>
      </c>
      <c r="C3" t="s">
        <v>39</v>
      </c>
      <c r="D3" t="s">
        <v>76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104</v>
      </c>
    </row>
    <row r="4" spans="1:21" x14ac:dyDescent="0.2">
      <c r="A4" t="s">
        <v>82</v>
      </c>
      <c r="B4" t="s">
        <v>21</v>
      </c>
      <c r="C4" t="s">
        <v>43</v>
      </c>
      <c r="D4" t="s">
        <v>77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105</v>
      </c>
    </row>
    <row r="5" spans="1:21" x14ac:dyDescent="0.2">
      <c r="A5" t="s">
        <v>10</v>
      </c>
      <c r="B5" t="s">
        <v>22</v>
      </c>
      <c r="C5" t="s">
        <v>42</v>
      </c>
      <c r="D5" t="s">
        <v>62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106</v>
      </c>
    </row>
    <row r="6" spans="1:21" x14ac:dyDescent="0.2">
      <c r="A6" t="s">
        <v>6</v>
      </c>
      <c r="B6" t="s">
        <v>23</v>
      </c>
      <c r="C6" t="s">
        <v>44</v>
      </c>
      <c r="D6" t="s">
        <v>59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107</v>
      </c>
    </row>
    <row r="7" spans="1:21" x14ac:dyDescent="0.2">
      <c r="A7" t="s">
        <v>9</v>
      </c>
      <c r="B7" t="s">
        <v>25</v>
      </c>
      <c r="C7" t="s">
        <v>45</v>
      </c>
      <c r="D7" t="s">
        <v>60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108</v>
      </c>
    </row>
    <row r="8" spans="1:21" x14ac:dyDescent="0.2">
      <c r="A8" t="s">
        <v>11</v>
      </c>
      <c r="B8" t="s">
        <v>26</v>
      </c>
      <c r="C8" t="s">
        <v>46</v>
      </c>
      <c r="D8" t="s">
        <v>61</v>
      </c>
      <c r="E8">
        <v>6</v>
      </c>
      <c r="F8">
        <v>6</v>
      </c>
      <c r="G8">
        <v>5</v>
      </c>
      <c r="H8">
        <v>5</v>
      </c>
      <c r="I8">
        <v>5</v>
      </c>
      <c r="U8" t="s">
        <v>109</v>
      </c>
    </row>
    <row r="9" spans="1:21" x14ac:dyDescent="0.2">
      <c r="B9" t="s">
        <v>92</v>
      </c>
      <c r="C9" t="s">
        <v>47</v>
      </c>
      <c r="E9">
        <v>7</v>
      </c>
      <c r="F9">
        <v>7</v>
      </c>
      <c r="G9">
        <v>6</v>
      </c>
      <c r="H9">
        <v>6</v>
      </c>
      <c r="I9">
        <v>6</v>
      </c>
      <c r="U9" t="s">
        <v>110</v>
      </c>
    </row>
    <row r="10" spans="1:21" x14ac:dyDescent="0.2">
      <c r="B10" t="s">
        <v>27</v>
      </c>
      <c r="C10" t="s">
        <v>48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 x14ac:dyDescent="0.2">
      <c r="B11" t="s">
        <v>16</v>
      </c>
      <c r="C11" t="s">
        <v>49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97</v>
      </c>
    </row>
    <row r="12" spans="1:21" x14ac:dyDescent="0.2">
      <c r="B12" t="s">
        <v>93</v>
      </c>
      <c r="C12" t="s">
        <v>50</v>
      </c>
      <c r="G12">
        <v>9</v>
      </c>
      <c r="H12">
        <v>9</v>
      </c>
      <c r="I12">
        <v>9</v>
      </c>
      <c r="J12" t="s">
        <v>8</v>
      </c>
    </row>
    <row r="13" spans="1:21" x14ac:dyDescent="0.2">
      <c r="B13" t="s">
        <v>17</v>
      </c>
      <c r="C13" t="s">
        <v>51</v>
      </c>
      <c r="J13">
        <v>1</v>
      </c>
    </row>
    <row r="14" spans="1:21" x14ac:dyDescent="0.2">
      <c r="B14" t="s">
        <v>20</v>
      </c>
      <c r="C14" t="s">
        <v>52</v>
      </c>
      <c r="J14">
        <v>2</v>
      </c>
    </row>
    <row r="15" spans="1:21" x14ac:dyDescent="0.2">
      <c r="B15" t="s">
        <v>15</v>
      </c>
      <c r="C15" t="s">
        <v>53</v>
      </c>
    </row>
    <row r="16" spans="1:21" x14ac:dyDescent="0.2">
      <c r="B16" t="s">
        <v>57</v>
      </c>
      <c r="C16" t="s">
        <v>54</v>
      </c>
      <c r="J16" t="s">
        <v>98</v>
      </c>
    </row>
    <row r="17" spans="2:10" x14ac:dyDescent="0.2">
      <c r="B17" t="s">
        <v>18</v>
      </c>
      <c r="C17" t="s">
        <v>55</v>
      </c>
      <c r="J17" t="s">
        <v>8</v>
      </c>
    </row>
    <row r="18" spans="2:10" x14ac:dyDescent="0.2">
      <c r="B18" t="s">
        <v>19</v>
      </c>
      <c r="C18" t="s">
        <v>56</v>
      </c>
      <c r="J18">
        <v>1</v>
      </c>
    </row>
    <row r="19" spans="2:10" x14ac:dyDescent="0.2">
      <c r="C19" t="s">
        <v>28</v>
      </c>
      <c r="J19">
        <v>2</v>
      </c>
    </row>
    <row r="20" spans="2:10" x14ac:dyDescent="0.2">
      <c r="C20" t="s">
        <v>4</v>
      </c>
      <c r="J20">
        <v>3</v>
      </c>
    </row>
    <row r="21" spans="2:10" x14ac:dyDescent="0.2">
      <c r="C21" t="s">
        <v>41</v>
      </c>
      <c r="J21">
        <v>4</v>
      </c>
    </row>
    <row r="22" spans="2:10" x14ac:dyDescent="0.2">
      <c r="C22" t="s">
        <v>40</v>
      </c>
    </row>
    <row r="23" spans="2:10" x14ac:dyDescent="0.2">
      <c r="C23" t="s">
        <v>5</v>
      </c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baseColWidth="10" defaultColWidth="8.6640625" defaultRowHeight="15" x14ac:dyDescent="0.2"/>
  <sheetData>
    <row r="1" spans="1:1" x14ac:dyDescent="0.2">
      <c r="A1" t="s">
        <v>90</v>
      </c>
    </row>
    <row r="2" spans="1:1" x14ac:dyDescent="0.2">
      <c r="A2" t="s">
        <v>88</v>
      </c>
    </row>
    <row r="3" spans="1:1" x14ac:dyDescent="0.2">
      <c r="A3" t="s">
        <v>89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V2"/>
  <sheetViews>
    <sheetView workbookViewId="0">
      <selection activeCell="CM2" sqref="CM2"/>
    </sheetView>
  </sheetViews>
  <sheetFormatPr baseColWidth="10" defaultColWidth="8.6640625" defaultRowHeight="15" x14ac:dyDescent="0.2"/>
  <sheetData>
    <row r="1" spans="1:22" x14ac:dyDescent="0.2">
      <c r="A1" t="s">
        <v>43</v>
      </c>
      <c r="B1" t="s">
        <v>42</v>
      </c>
      <c r="C1" t="s">
        <v>44</v>
      </c>
      <c r="D1" t="s">
        <v>45</v>
      </c>
      <c r="E1" t="s">
        <v>46</v>
      </c>
      <c r="F1" t="s">
        <v>47</v>
      </c>
      <c r="G1" t="s">
        <v>48</v>
      </c>
      <c r="H1" t="s">
        <v>49</v>
      </c>
      <c r="I1" t="s">
        <v>50</v>
      </c>
      <c r="J1" t="s">
        <v>51</v>
      </c>
      <c r="K1" t="s">
        <v>52</v>
      </c>
      <c r="L1" t="s">
        <v>53</v>
      </c>
      <c r="M1" t="s">
        <v>54</v>
      </c>
      <c r="N1" t="s">
        <v>78</v>
      </c>
      <c r="O1" t="s">
        <v>69</v>
      </c>
      <c r="P1" t="s">
        <v>70</v>
      </c>
      <c r="Q1" t="s">
        <v>71</v>
      </c>
      <c r="R1" t="s">
        <v>72</v>
      </c>
      <c r="S1" t="s">
        <v>73</v>
      </c>
      <c r="T1" t="s">
        <v>86</v>
      </c>
      <c r="U1" t="s">
        <v>87</v>
      </c>
      <c r="V1" t="s">
        <v>78</v>
      </c>
    </row>
    <row r="2" spans="1:22" x14ac:dyDescent="0.2">
      <c r="A2">
        <v>0</v>
      </c>
      <c r="B2">
        <v>0</v>
      </c>
      <c r="C2">
        <v>0</v>
      </c>
      <c r="D2">
        <v>0</v>
      </c>
      <c r="E2">
        <v>1</v>
      </c>
      <c r="F2">
        <v>0</v>
      </c>
      <c r="G2">
        <v>0</v>
      </c>
      <c r="H2">
        <v>0</v>
      </c>
      <c r="I2">
        <v>0</v>
      </c>
      <c r="J2">
        <v>0</v>
      </c>
      <c r="K2">
        <v>1</v>
      </c>
      <c r="L2">
        <v>0</v>
      </c>
      <c r="M2">
        <v>1</v>
      </c>
      <c r="O2">
        <v>7</v>
      </c>
      <c r="P2">
        <v>1</v>
      </c>
      <c r="Q2">
        <v>1</v>
      </c>
      <c r="R2">
        <v>1</v>
      </c>
      <c r="S2">
        <v>0</v>
      </c>
      <c r="T2">
        <v>0</v>
      </c>
      <c r="U2">
        <v>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V2"/>
  <sheetViews>
    <sheetView workbookViewId="0">
      <selection activeCell="CR2" sqref="CR2"/>
    </sheetView>
  </sheetViews>
  <sheetFormatPr baseColWidth="10" defaultColWidth="8.6640625" defaultRowHeight="15" x14ac:dyDescent="0.2"/>
  <sheetData>
    <row r="1" spans="1:22" x14ac:dyDescent="0.2">
      <c r="A1" t="s">
        <v>43</v>
      </c>
      <c r="B1" t="s">
        <v>42</v>
      </c>
      <c r="C1" t="s">
        <v>44</v>
      </c>
      <c r="D1" t="s">
        <v>45</v>
      </c>
      <c r="E1" t="s">
        <v>46</v>
      </c>
      <c r="F1" t="s">
        <v>47</v>
      </c>
      <c r="G1" t="s">
        <v>48</v>
      </c>
      <c r="H1" t="s">
        <v>49</v>
      </c>
      <c r="I1" t="s">
        <v>50</v>
      </c>
      <c r="J1" t="s">
        <v>51</v>
      </c>
      <c r="K1" t="s">
        <v>52</v>
      </c>
      <c r="L1" t="s">
        <v>53</v>
      </c>
      <c r="M1" t="s">
        <v>54</v>
      </c>
      <c r="N1" t="s">
        <v>78</v>
      </c>
      <c r="O1" t="s">
        <v>69</v>
      </c>
      <c r="P1" t="s">
        <v>70</v>
      </c>
      <c r="Q1" t="s">
        <v>71</v>
      </c>
      <c r="R1" t="s">
        <v>72</v>
      </c>
      <c r="S1" t="s">
        <v>73</v>
      </c>
      <c r="T1" t="s">
        <v>86</v>
      </c>
      <c r="U1" t="s">
        <v>87</v>
      </c>
      <c r="V1" t="s">
        <v>78</v>
      </c>
    </row>
    <row r="2" spans="1:22" x14ac:dyDescent="0.2">
      <c r="A2">
        <v>1</v>
      </c>
      <c r="B2">
        <v>1</v>
      </c>
      <c r="C2">
        <v>1</v>
      </c>
      <c r="D2">
        <v>1</v>
      </c>
      <c r="E2">
        <v>1</v>
      </c>
      <c r="F2">
        <v>1</v>
      </c>
      <c r="G2">
        <v>1</v>
      </c>
      <c r="H2">
        <v>1</v>
      </c>
      <c r="I2">
        <v>1</v>
      </c>
      <c r="J2">
        <v>1</v>
      </c>
      <c r="K2">
        <v>1</v>
      </c>
      <c r="L2">
        <v>1</v>
      </c>
      <c r="M2">
        <v>1</v>
      </c>
      <c r="N2">
        <v>0</v>
      </c>
      <c r="O2">
        <v>1</v>
      </c>
      <c r="P2">
        <v>1</v>
      </c>
      <c r="Q2">
        <v>1</v>
      </c>
      <c r="R2">
        <v>1</v>
      </c>
      <c r="S2">
        <v>1</v>
      </c>
      <c r="T2">
        <v>1</v>
      </c>
      <c r="U2">
        <v>1</v>
      </c>
      <c r="V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3</vt:i4>
      </vt:variant>
    </vt:vector>
  </HeadingPairs>
  <TitlesOfParts>
    <vt:vector size="11" baseType="lpstr">
      <vt:lpstr>Revision History</vt:lpstr>
      <vt:lpstr>Initialization</vt:lpstr>
      <vt:lpstr>Model Selection</vt:lpstr>
      <vt:lpstr>Help</vt:lpstr>
      <vt:lpstr>Reference</vt:lpstr>
      <vt:lpstr>maintenance check list</vt:lpstr>
      <vt:lpstr>Data(Transposed)</vt:lpstr>
      <vt:lpstr>Data(Test)</vt:lpstr>
      <vt:lpstr>Initialization!Print_Area</vt:lpstr>
      <vt:lpstr>'Model Selection'!Print_Area</vt:lpstr>
      <vt:lpstr>'Revision History'!Print_Area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Kalman, Viktor</cp:lastModifiedBy>
  <cp:lastPrinted>2020-11-27T00:08:43Z</cp:lastPrinted>
  <dcterms:created xsi:type="dcterms:W3CDTF">2020-11-24T18:36:54Z</dcterms:created>
  <dcterms:modified xsi:type="dcterms:W3CDTF">2024-12-02T09:26:42Z</dcterms:modified>
</cp:coreProperties>
</file>