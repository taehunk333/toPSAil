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\1_simulation_inputs\"/>
    </mc:Choice>
  </mc:AlternateContent>
  <xr:revisionPtr revIDLastSave="0" documentId="13_ncr:1_{BDF6D475-04A4-4C86-A7E8-00B017390C3D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Stream Properties" sheetId="40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1" hidden="1">'Stream Properties'!$A$9:$J$9</definedName>
    <definedName name="_xlnm.Print_Area" localSheetId="0">'Revision History'!$C$3:$K$51</definedName>
    <definedName name="_xlnm.Print_Area" localSheetId="1">'Stream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40" l="1"/>
  <c r="J2" i="40" l="1"/>
  <c r="A2" i="40"/>
  <c r="H10" i="40" l="1"/>
  <c r="J4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tc={EC35CD65-F6A0-2843-AEA8-B28CEBAB5730}</author>
    <author>tc={4F66F176-4F1E-4244-B224-6522953A59A8}</author>
    <author>tc={D4085501-5E29-584B-B204-BA69BFB905B8}</author>
  </authors>
  <commentList>
    <comment ref="G9" authorId="0" shapeId="0" xr:uid="{EC35CD65-F6A0-2843-AEA8-B28CEBAB573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F66F176-4F1E-4244-B224-6522953A59A8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4085501-5E29-584B-B204-BA69BFB905B8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<sst xmlns="http://schemas.openxmlformats.org/spreadsheetml/2006/main" count="148" uniqueCount="110">
  <si>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</si>
  <si>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</si>
  <si>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</si>
  <si>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</si>
  <si>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</si>
  <si>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</si>
  <si>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</si>
  <si>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</si>
  <si>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</si>
  <si>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</si>
  <si>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</si>
  <si>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</si>
  <si>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</si>
  <si>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</si>
  <si>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</si>
  <si>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</si>
  <si>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</si>
  <si>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</si>
  <si>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</si>
  <si>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</si>
  <si>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</si>
  <si>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</si>
  <si>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</si>
  <si>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</si>
  <si>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</si>
  <si>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</si>
  <si>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</si>
  <si>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</si>
  <si>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</si>
  <si>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</si>
  <si>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</si>
  <si>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</si>
  <si>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</si>
  <si>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</si>
  <si>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</si>
  <si>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</si>
  <si>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</si>
  <si>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</si>
  <si>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</si>
  <si>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</si>
  <si>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</si>
  <si>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</si>
  <si>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</si>
  <si>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</si>
  <si>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</si>
  <si>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</si>
  <si>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</si>
  <si>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</si>
  <si>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</si>
  <si>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</si>
  <si>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</si>
  <si>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</si>
  <si>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</si>
  <si>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</si>
  <si>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</si>
  <si>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</si>
  <si>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</si>
  <si>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</si>
  <si>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</si>
  <si>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</si>
  <si>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</si>
  <si>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</si>
  <si>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</si>
  <si>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</si>
  <si>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</si>
  <si>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</si>
  <si>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</si>
  <si>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</si>
  <si>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</si>
  <si>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</si>
  <si>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</si>
  <si>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</si>
  <si>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</si>
  <si>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</si>
  <si>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</si>
  <si>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</si>
  <si>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</si>
  <si>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</si>
  <si>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</si>
  <si>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</si>
  <si>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</si>
  <si>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</si>
  <si>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</si>
  <si>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</si>
  <si>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</si>
  <si>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</si>
  <si>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</si>
  <si>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</si>
  <si>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</si>
  <si>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</si>
  <si>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</si>
  <si>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</si>
  <si>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yExC1</t>
  </si>
  <si>
    <t>yExC2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</si>
  <si>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</si>
  <si>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</si>
  <si>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</si>
  <si>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</si>
  <si>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</si>
  <si>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</si>
  <si>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</si>
  <si>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</si>
  <si>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</si>
  <si>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</si>
  <si>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</si>
  <si>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</si>
  <si>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</si>
  <si>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Initial development of the "2.3_extract_stream_properties.xlsm" sheet.</t>
  </si>
  <si>
    <t>REV. NO.2 (9/14/2022)</t>
  </si>
  <si>
    <t>The desired extract product mole fraction of ith component at the raffinate product pressure; the first component is the light 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</si>
</sst>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3" name="Button 1" hidden="1">
                <a:extLst>
                  <a:ext uri="{63B3BB69-23CF-44E3-9099-C40C66FF867C}">
                    <a14:compatExt spid="_x0000_s84993"/>
                  </a:ext>
                  <a:ext uri="{FF2B5EF4-FFF2-40B4-BE49-F238E27FC236}">
                    <a16:creationId xmlns:a16="http://schemas.microsoft.com/office/drawing/2014/main" id="{00000000-0008-0000-0100-0000014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4" name="Button 2" hidden="1">
                <a:extLst>
                  <a:ext uri="{63B3BB69-23CF-44E3-9099-C40C66FF867C}">
                    <a14:compatExt spid="_x0000_s84994"/>
                  </a:ext>
                  <a:ext uri="{FF2B5EF4-FFF2-40B4-BE49-F238E27FC236}">
                    <a16:creationId xmlns:a16="http://schemas.microsoft.com/office/drawing/2014/main" id="{00000000-0008-0000-0100-0000024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5" name="Button 3" hidden="1">
                <a:extLst>
                  <a:ext uri="{63B3BB69-23CF-44E3-9099-C40C66FF867C}">
                    <a14:compatExt spid="_x0000_s84995"/>
                  </a:ext>
                  <a:ext uri="{FF2B5EF4-FFF2-40B4-BE49-F238E27FC236}">
                    <a16:creationId xmlns:a16="http://schemas.microsoft.com/office/drawing/2014/main" id="{00000000-0008-0000-0100-0000034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B4F31D-53BA-6E49-9826-6749D7B9535C}" name="Table11082" displayName="Table11082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036EF48E-8B2B-0A41-B977-65B637A0CA82}" name="Variable" dataDxfId="9"/>
    <tableColumn id="4" xr3:uid="{D9E76E46-0F5F-4C44-8EFE-794152685663}" name="Value" dataDxfId="8"/>
    <tableColumn id="5" xr3:uid="{917AE284-601D-0E46-BFAF-24ACA9592E10}" name="Unit" dataDxfId="7"/>
    <tableColumn id="6" xr3:uid="{C47C9C25-53E6-8041-984E-7F35AED4CB77}" name="Comparisons" dataDxfId="6"/>
    <tableColumn id="7" xr3:uid="{C1B1908D-308A-0541-A4ED-67BB6C997952}" name="Variable Type" dataDxfId="5"/>
    <tableColumn id="8" xr3:uid="{268FCCAD-6B40-0B46-8E22-3BD9F833DCC0}" name="Dependency" dataDxfId="4"/>
    <tableColumn id="12" xr3:uid="{C4DB334C-4F3D-654A-8F5B-B2A89455D5AB}" name="Test 1" dataDxfId="3"/>
    <tableColumn id="10" xr3:uid="{5A6F5FFC-CD8B-5C49-BBFD-3856E773BD09}" name="Test 2" dataDxfId="2"/>
    <tableColumn id="2" xr3:uid="{513514C6-535A-6D48-A54F-C93A508612C4}" name="Test 3" dataDxfId="1"/>
    <tableColumn id="9" xr3:uid="{B3207BCD-3EDF-2B4E-A6F2-44846C8948F7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35CD65-F6A0-2843-AEA8-B28CEBAB5730}">
    <text>place 1 if we want to keep the row when re-initializing. Otherwise, leave it as a blank.</text>
  </threadedComment>
  <threadedComment ref="H9" dT="2020-11-26T18:35:03.27" personId="{7F98AE94-13FB-49E1-9262-339C11E0EDB4}" id="{4F66F176-4F1E-4244-B224-6522953A59A8}">
    <text>supply a value greater than 1 if you want to duplicate the row</text>
  </threadedComment>
  <threadedComment ref="I9" dT="2020-11-28T01:53:47.29" personId="{7F98AE94-13FB-49E1-9262-339C11E0EDB4}" id="{D4085501-5E29-584B-B204-BA69BFB905B8}">
    <text>1 means we need to have the variable specified; 0 means we need not have the variable specified</text>
  </threadedComment>
  <threadedComment ref="I9" dT="2020-11-28T01:56:42.32" personId="{7F98AE94-13FB-49E1-9262-339C11E0EDB4}" id="{D552AE71-122C-0347-84C0-F7D3F31078C8}" parentId="{D4085501-5E29-584B-B204-BA69BFB905B8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3"/>
  <sheetViews>
    <sheetView showGridLines="0" view="pageBreakPreview" topLeftCell="C3" zoomScaleNormal="85" zoomScaleSheetLayoutView="100" workbookViewId="0">
      <selection activeCell="G8" sqref="G8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777343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777343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4" t="s">
        <v>108</v>
      </c>
      <c r="E4" s="45"/>
      <c r="F4" s="46"/>
      <c r="G4" s="47"/>
      <c r="H4" s="47"/>
      <c r="I4" s="47"/>
      <c r="J4" s="34" t="s">
        <v>82</v>
      </c>
    </row>
    <row r="5" spans="4:10" ht="36">
      <c r="D5" s="49" t="s">
        <v>36</v>
      </c>
      <c r="E5" s="49"/>
      <c r="F5" s="49"/>
      <c r="G5" s="49"/>
      <c r="H5" s="49"/>
      <c r="I5" s="49"/>
      <c r="J5" s="49"/>
    </row>
    <row r="6" spans="4:10" ht="18">
      <c r="D6" s="42" t="s">
        <v>30</v>
      </c>
      <c r="E6" s="42" t="s">
        <v>105</v>
      </c>
      <c r="F6" s="42" t="s">
        <v>31</v>
      </c>
      <c r="G6" s="42" t="s">
        <v>32</v>
      </c>
      <c r="H6" s="42" t="s">
        <v>33</v>
      </c>
      <c r="I6" s="42" t="s">
        <v>34</v>
      </c>
      <c r="J6" s="42" t="s">
        <v>35</v>
      </c>
    </row>
    <row r="7" spans="4:10" ht="54">
      <c r="D7" s="35">
        <v>1</v>
      </c>
      <c r="E7" s="36" t="s">
        <v>107</v>
      </c>
      <c r="F7" s="37">
        <v>44720</v>
      </c>
      <c r="G7" s="35" t="s">
        <v>37</v>
      </c>
      <c r="H7" s="35"/>
      <c r="I7" s="35"/>
      <c r="J7" s="36"/>
    </row>
    <row r="8" spans="4:10" ht="36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A7799-6226-144C-96F7-6246B77A06C0}">
  <sheetPr codeName="Sheet22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39" t="str">
        <f>'Revision History'!D4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History'!J4</f>
        <v>Scott Research Group (jkscottresearchgroup.com)</v>
      </c>
    </row>
    <row r="3" spans="1:10" ht="18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1" t="str">
        <f>IF(COUNTIF(Table11082[Test 3],1)=COUNTA(Table11082[Value]),"Ready","Not Ready")</f>
        <v>Ready</v>
      </c>
    </row>
    <row r="5" spans="1:10" ht="14.55" customHeight="1">
      <c r="A5" s="17"/>
      <c r="B5" s="18"/>
      <c r="C5" s="43"/>
      <c r="D5" s="43"/>
      <c r="E5" s="43"/>
      <c r="F5" s="43"/>
      <c r="G5" s="19"/>
      <c r="H5" s="43"/>
      <c r="I5" s="43"/>
      <c r="J5" s="52"/>
    </row>
    <row r="6" spans="1:10" ht="14.55" customHeight="1">
      <c r="A6" s="17"/>
      <c r="B6" s="18"/>
      <c r="C6" s="43"/>
      <c r="D6" s="43"/>
      <c r="E6" s="43"/>
      <c r="F6" s="43"/>
      <c r="G6" s="19"/>
      <c r="H6" s="43"/>
      <c r="I6" s="43"/>
      <c r="J6" s="52"/>
    </row>
    <row r="7" spans="1:10" ht="14.55" customHeight="1">
      <c r="A7" s="17"/>
      <c r="B7" s="18"/>
      <c r="C7" s="43"/>
      <c r="D7" s="43"/>
      <c r="E7" s="43"/>
      <c r="F7" s="43"/>
      <c r="G7" s="19"/>
      <c r="H7" s="43"/>
      <c r="I7" s="43"/>
      <c r="J7" s="52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3"/>
    </row>
    <row r="9" spans="1:10" ht="14.4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43.2">
      <c r="A10" s="4" t="s">
        <v>92</v>
      </c>
      <c r="B10" s="29">
        <v>0.01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8">
        <f>[1]Initialization!$B$10</f>
        <v>2</v>
      </c>
      <c r="I10" s="6">
        <v>1</v>
      </c>
      <c r="J10" s="5" t="s">
        <v>109</v>
      </c>
    </row>
    <row r="11" spans="1:10" ht="43.2">
      <c r="A11" s="4" t="s">
        <v>93</v>
      </c>
      <c r="B11" s="29">
        <v>0.99</v>
      </c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48">
        <f>[1]Initialization!$B$10</f>
        <v>2</v>
      </c>
      <c r="I11" s="6">
        <v>1</v>
      </c>
      <c r="J11" s="5" t="s">
        <v>109</v>
      </c>
    </row>
    <row r="12" spans="1:10" ht="14.4">
      <c r="A12" s="8" t="s">
        <v>75</v>
      </c>
      <c r="B12" s="30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JlgUGLePWdlGVWO2cpgseUoi6ALO+DihMRUHFQ29cr/3Gy5c3dE32zh9sO2Q0vBqQXdifOa1QrzstoJWP93UQQ==" saltValue="g1uCV8phZHwS62igpJiLOQ==" spinCount="100000" sheet="1" objects="1" scenarios="1" selectLockedCells="1"/>
  <mergeCells count="2">
    <mergeCell ref="A3:J3"/>
    <mergeCell ref="J4:J8"/>
  </mergeCells>
  <conditionalFormatting sqref="B10:B12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12">
      <formula>IF(COUNTA($B$10:$B$12)&lt;&gt;COUNTIF($I$10:$I$12,1),1,0)</formula>
    </cfRule>
    <cfRule type="expression" dxfId="15" priority="1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96</v>
      </c>
      <c r="U1" t="s">
        <v>97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98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99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100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101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102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103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104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95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defaultColWidth="8.77734375" defaultRowHeight="14.4"/>
  <sheetData>
    <row r="1" spans="1:3">
      <c r="A1" t="s">
        <v>92</v>
      </c>
      <c r="B1" t="s">
        <v>93</v>
      </c>
      <c r="C1" t="s">
        <v>75</v>
      </c>
    </row>
    <row r="2" spans="1:3">
      <c r="A2">
        <v>0.01</v>
      </c>
      <c r="B2">
        <v>0.99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defaultColWidth="8.77734375" defaultRowHeight="14.4"/>
  <sheetData>
    <row r="1" spans="1:3">
      <c r="A1" t="s">
        <v>92</v>
      </c>
      <c r="B1" t="s">
        <v>93</v>
      </c>
      <c r="C1" t="s">
        <v>75</v>
      </c>
    </row>
    <row r="2" spans="1:3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Stream Properties</vt:lpstr>
      <vt:lpstr>Reference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2022-10-21T03:58:40Z</dcterms:modified>
</cp:coreProperties>
</file>