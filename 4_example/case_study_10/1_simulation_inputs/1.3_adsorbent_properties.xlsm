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9DFC35B5-8C21-4F4B-AE54-99699161FDC4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Isotherm'!$A$2:$J$15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54" l="1"/>
  <c r="B10" i="54"/>
  <c r="I10" i="55"/>
  <c r="B11" i="53" l="1"/>
  <c r="B10" i="53"/>
  <c r="B11" i="58"/>
  <c r="J4" i="58" s="1"/>
  <c r="I12" i="57"/>
  <c r="I11" i="57"/>
  <c r="J4" i="57" s="1"/>
  <c r="J2" i="58"/>
  <c r="A2" i="58"/>
  <c r="J2" i="57"/>
  <c r="A2" i="57"/>
  <c r="J4" i="56"/>
  <c r="J2" i="56"/>
  <c r="A2" i="56"/>
  <c r="H10" i="53" l="1"/>
  <c r="H11" i="53"/>
  <c r="H13" i="53" l="1"/>
  <c r="H12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<sst xmlns="http://schemas.openxmlformats.org/spreadsheetml/2006/main" count="343" uniqueCount="162">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</sst>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15" totalsRowShown="0" headerRowDxfId="60" dataDxfId="58" headerRowBorderDxfId="59" tableBorderDxfId="57" totalsRowBorderDxfId="56">
  <autoFilter ref="A9:J1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159</v>
      </c>
      <c r="E4" s="52"/>
      <c r="F4" s="53"/>
      <c r="G4" s="54"/>
      <c r="H4" s="54"/>
      <c r="I4" s="54"/>
      <c r="J4" s="39" t="s">
        <v>100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5" t="s">
        <v>35</v>
      </c>
      <c r="E6" s="45" t="s">
        <v>156</v>
      </c>
      <c r="F6" s="45" t="s">
        <v>36</v>
      </c>
      <c r="G6" s="45" t="s">
        <v>37</v>
      </c>
      <c r="H6" s="45" t="s">
        <v>38</v>
      </c>
      <c r="I6" s="45" t="s">
        <v>39</v>
      </c>
      <c r="J6" s="45" t="s">
        <v>40</v>
      </c>
    </row>
    <row r="7" spans="4:10" ht="54">
      <c r="D7" s="40">
        <v>1</v>
      </c>
      <c r="E7" s="41" t="s">
        <v>161</v>
      </c>
      <c r="F7" s="42">
        <v>44720</v>
      </c>
      <c r="G7" s="40" t="s">
        <v>42</v>
      </c>
      <c r="H7" s="40"/>
      <c r="I7" s="40"/>
      <c r="J7" s="41"/>
    </row>
    <row r="8" spans="4:10" ht="36">
      <c r="D8" s="40">
        <v>2</v>
      </c>
      <c r="E8" s="41" t="s">
        <v>157</v>
      </c>
      <c r="F8" s="42">
        <v>44818</v>
      </c>
      <c r="G8" s="40" t="s">
        <v>42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72</v>
      </c>
      <c r="E1" t="s">
        <v>81</v>
      </c>
      <c r="F1" t="s">
        <v>82</v>
      </c>
      <c r="G1" s="1" t="s">
        <v>83</v>
      </c>
      <c r="H1" s="1" t="s">
        <v>84</v>
      </c>
      <c r="I1" s="1" t="s">
        <v>85</v>
      </c>
      <c r="J1" s="7" t="s">
        <v>87</v>
      </c>
      <c r="K1" s="7" t="s">
        <v>6</v>
      </c>
      <c r="L1" t="s">
        <v>98</v>
      </c>
      <c r="M1" t="s">
        <v>94</v>
      </c>
      <c r="N1" t="s">
        <v>95</v>
      </c>
      <c r="O1" t="s">
        <v>99</v>
      </c>
      <c r="P1" t="s">
        <v>104</v>
      </c>
      <c r="Q1" t="s">
        <v>125</v>
      </c>
      <c r="R1" t="s">
        <v>133</v>
      </c>
      <c r="S1" t="s">
        <v>134</v>
      </c>
      <c r="T1" t="s">
        <v>145</v>
      </c>
      <c r="U1" t="s">
        <v>146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29</v>
      </c>
      <c r="C3" t="s">
        <v>44</v>
      </c>
      <c r="D3" t="s">
        <v>90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147</v>
      </c>
    </row>
    <row r="4" spans="1:21">
      <c r="A4" t="s">
        <v>97</v>
      </c>
      <c r="B4" t="s">
        <v>26</v>
      </c>
      <c r="C4" t="s">
        <v>48</v>
      </c>
      <c r="D4" t="s">
        <v>91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148</v>
      </c>
    </row>
    <row r="5" spans="1:21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149</v>
      </c>
    </row>
    <row r="6" spans="1:21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150</v>
      </c>
    </row>
    <row r="7" spans="1:21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151</v>
      </c>
    </row>
    <row r="8" spans="1:21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152</v>
      </c>
    </row>
    <row r="9" spans="1:21">
      <c r="B9" t="s">
        <v>105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153</v>
      </c>
    </row>
    <row r="10" spans="1:21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143</v>
      </c>
    </row>
    <row r="12" spans="1:21">
      <c r="B12" t="s">
        <v>106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56</v>
      </c>
      <c r="J13">
        <v>1</v>
      </c>
    </row>
    <row r="14" spans="1:21">
      <c r="B14" t="s">
        <v>25</v>
      </c>
      <c r="C14" t="s">
        <v>57</v>
      </c>
      <c r="J14">
        <v>2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  <c r="J16" t="s">
        <v>144</v>
      </c>
    </row>
    <row r="17" spans="2:10">
      <c r="B17" t="s">
        <v>18</v>
      </c>
      <c r="C17" t="s">
        <v>60</v>
      </c>
      <c r="J17" t="s">
        <v>8</v>
      </c>
    </row>
    <row r="18" spans="2:10">
      <c r="B18" t="s">
        <v>19</v>
      </c>
      <c r="C18" t="s">
        <v>61</v>
      </c>
      <c r="J18">
        <v>1</v>
      </c>
    </row>
    <row r="19" spans="2:10">
      <c r="C19" t="s">
        <v>33</v>
      </c>
      <c r="J19">
        <v>2</v>
      </c>
    </row>
    <row r="20" spans="2:10">
      <c r="C20" t="s">
        <v>4</v>
      </c>
      <c r="J20">
        <v>3</v>
      </c>
    </row>
    <row r="21" spans="2:10">
      <c r="C21" t="s">
        <v>46</v>
      </c>
      <c r="J21">
        <v>4</v>
      </c>
    </row>
    <row r="22" spans="2:10">
      <c r="C22" t="s">
        <v>45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28.8">
      <c r="A10" s="4" t="s">
        <v>154</v>
      </c>
      <c r="B10" s="33">
        <v>0.08</v>
      </c>
      <c r="C10" s="2" t="s">
        <v>77</v>
      </c>
      <c r="D10" s="1" t="s">
        <v>26</v>
      </c>
      <c r="E10" s="1" t="s">
        <v>7</v>
      </c>
      <c r="F10" s="2" t="s">
        <v>52</v>
      </c>
      <c r="G10" s="1">
        <v>1</v>
      </c>
      <c r="H10" s="6">
        <v>1</v>
      </c>
      <c r="I10" s="6">
        <v>1</v>
      </c>
      <c r="J10" s="5" t="s">
        <v>155</v>
      </c>
    </row>
    <row r="11" spans="1:10" ht="14.4">
      <c r="A11" s="8" t="s">
        <v>92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93</v>
      </c>
    </row>
  </sheetData>
  <sheetProtection algorithmName="SHA-512" hashValue="Vuw6GFN36IEMAloZ3NMSAA1PM3Eif8xzaBkq5o66+wzgqg40YFL4AS6FHwWP3mUWTsIu0pX43XGpstCfP4II5g==" saltValue="FY7q/0QN1dxXOtY1KWq7Vw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72">
      <c r="A10" s="4" t="s">
        <v>126</v>
      </c>
      <c r="B10" s="33">
        <v>1</v>
      </c>
      <c r="C10" s="2" t="s">
        <v>3</v>
      </c>
      <c r="D10" s="1" t="s">
        <v>26</v>
      </c>
      <c r="E10" s="1" t="s">
        <v>97</v>
      </c>
      <c r="F10" s="2" t="s">
        <v>44</v>
      </c>
      <c r="G10" s="1">
        <v>1</v>
      </c>
      <c r="H10" s="1">
        <v>1</v>
      </c>
      <c r="I10" s="6">
        <v>1</v>
      </c>
      <c r="J10" s="5" t="s">
        <v>138</v>
      </c>
    </row>
    <row r="11" spans="1:10" ht="14.4">
      <c r="A11" s="4" t="s">
        <v>141</v>
      </c>
      <c r="B11" s="33"/>
      <c r="C11" s="2" t="s">
        <v>3</v>
      </c>
      <c r="D11" s="1" t="s">
        <v>26</v>
      </c>
      <c r="E11" s="1" t="s">
        <v>7</v>
      </c>
      <c r="F11" s="2" t="s">
        <v>33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139</v>
      </c>
    </row>
    <row r="12" spans="1:10" ht="14.4">
      <c r="A12" s="4" t="s">
        <v>142</v>
      </c>
      <c r="B12" s="33"/>
      <c r="C12" s="2" t="s">
        <v>3</v>
      </c>
      <c r="D12" s="1" t="s">
        <v>26</v>
      </c>
      <c r="E12" s="1" t="s">
        <v>7</v>
      </c>
      <c r="F12" s="2" t="s">
        <v>33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140</v>
      </c>
    </row>
    <row r="13" spans="1:10" ht="14.4">
      <c r="A13" s="8" t="s">
        <v>92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93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28.8">
      <c r="A10" s="4" t="s">
        <v>68</v>
      </c>
      <c r="B10" s="33">
        <v>1.7899999999999999E-3</v>
      </c>
      <c r="C10" s="2" t="s">
        <v>21</v>
      </c>
      <c r="D10" s="1" t="s">
        <v>26</v>
      </c>
      <c r="E10" s="1" t="s">
        <v>7</v>
      </c>
      <c r="F10" s="2" t="s">
        <v>44</v>
      </c>
      <c r="G10" s="1">
        <v>1</v>
      </c>
      <c r="H10" s="6">
        <v>1</v>
      </c>
      <c r="I10" s="6">
        <v>1</v>
      </c>
      <c r="J10" s="5" t="s">
        <v>124</v>
      </c>
    </row>
    <row r="11" spans="1:10" ht="28.8">
      <c r="A11" s="4" t="s">
        <v>69</v>
      </c>
      <c r="B11" s="33">
        <f>724*10^(-6)</f>
        <v>7.2399999999999993E-4</v>
      </c>
      <c r="C11" s="2" t="s">
        <v>21</v>
      </c>
      <c r="D11" s="1" t="s">
        <v>26</v>
      </c>
      <c r="E11" s="1" t="s">
        <v>7</v>
      </c>
      <c r="F11" s="2" t="s">
        <v>44</v>
      </c>
      <c r="G11" s="1">
        <v>1</v>
      </c>
      <c r="H11" s="6">
        <v>1</v>
      </c>
      <c r="I11" s="6">
        <v>1</v>
      </c>
      <c r="J11" s="5" t="s">
        <v>96</v>
      </c>
    </row>
    <row r="12" spans="1:10" ht="14.4">
      <c r="A12" s="8" t="s">
        <v>92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93</v>
      </c>
    </row>
  </sheetData>
  <sheetProtection algorithmName="SHA-512" hashValue="GrRDWxsvV8NDfCdwdL6T3WzwjVqij0WNk4Rke7LI/EobD/EAnY35xeU8cm40GCiq2FeO+C8Dyazp+jZH3aopRw==" saltValue="nAZtqMI2UggZQr22g0Pi4g==" spinCount="100000" sheet="1" objects="1" scenarios="1" selectLockedCells="1"/>
  <mergeCells count="2">
    <mergeCell ref="A3:J3"/>
    <mergeCell ref="J4:J8"/>
  </mergeCells>
  <conditionalFormatting sqref="B10:B12">
    <cfRule type="expression" dxfId="91" priority="10">
      <formula>IF(AND($B10&lt;&gt;"",$I10=0),1,0)</formula>
    </cfRule>
    <cfRule type="expression" dxfId="90" priority="11">
      <formula>IF($B10&lt;&gt;"",1,0)</formula>
    </cfRule>
    <cfRule type="expression" dxfId="89" priority="12">
      <formula>$I10=0</formula>
    </cfRule>
  </conditionalFormatting>
  <conditionalFormatting sqref="J4">
    <cfRule type="expression" dxfId="88" priority="2065">
      <formula>IF(COUNTA($B$10:$B$12)&lt;&gt;COUNTIF($I$10:$I$12,1),1,0)</formula>
    </cfRule>
    <cfRule type="expression" dxfId="87" priority="2066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5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28.8">
      <c r="A10" s="4" t="s">
        <v>73</v>
      </c>
      <c r="B10" s="33">
        <f>8.178*1000000/1790</f>
        <v>4568.7150837988829</v>
      </c>
      <c r="C10" s="2" t="s">
        <v>22</v>
      </c>
      <c r="D10" s="1" t="s">
        <v>26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78</v>
      </c>
    </row>
    <row r="11" spans="1:10" ht="28.8">
      <c r="A11" s="4" t="s">
        <v>76</v>
      </c>
      <c r="B11" s="33">
        <f>3.822*1000000/1790</f>
        <v>2135.1955307262569</v>
      </c>
      <c r="C11" s="2" t="s">
        <v>22</v>
      </c>
      <c r="D11" s="1" t="s">
        <v>26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78</v>
      </c>
    </row>
    <row r="12" spans="1:10" ht="28.8">
      <c r="A12" s="4" t="s">
        <v>74</v>
      </c>
      <c r="B12" s="33">
        <v>1</v>
      </c>
      <c r="C12" s="2" t="s">
        <v>23</v>
      </c>
      <c r="D12" s="1" t="s">
        <v>26</v>
      </c>
      <c r="E12" s="1" t="s">
        <v>7</v>
      </c>
      <c r="F12" s="2" t="s">
        <v>5</v>
      </c>
      <c r="G12" s="1">
        <v>1</v>
      </c>
      <c r="H12" s="55">
        <f>[1]Initialization!$B$10</f>
        <v>2</v>
      </c>
      <c r="I12" s="6">
        <v>1</v>
      </c>
      <c r="J12" s="5" t="s">
        <v>79</v>
      </c>
    </row>
    <row r="13" spans="1:10" ht="28.8">
      <c r="A13" s="4" t="s">
        <v>75</v>
      </c>
      <c r="B13" s="33">
        <v>1</v>
      </c>
      <c r="C13" s="2" t="s">
        <v>23</v>
      </c>
      <c r="D13" s="1" t="s">
        <v>26</v>
      </c>
      <c r="E13" s="1" t="s">
        <v>7</v>
      </c>
      <c r="F13" s="2" t="s">
        <v>5</v>
      </c>
      <c r="G13" s="1"/>
      <c r="H13" s="55">
        <f>[1]Initialization!$B$10</f>
        <v>2</v>
      </c>
      <c r="I13" s="6">
        <v>1</v>
      </c>
      <c r="J13" s="5" t="s">
        <v>79</v>
      </c>
    </row>
    <row r="14" spans="1:10" ht="28.8">
      <c r="A14" s="46" t="s">
        <v>136</v>
      </c>
      <c r="B14" s="33">
        <v>300.14999999999998</v>
      </c>
      <c r="C14" s="35" t="s">
        <v>20</v>
      </c>
      <c r="D14" s="1" t="s">
        <v>26</v>
      </c>
      <c r="E14" s="1" t="s">
        <v>7</v>
      </c>
      <c r="F14" s="2" t="s">
        <v>51</v>
      </c>
      <c r="G14" s="1">
        <v>1</v>
      </c>
      <c r="H14" s="1">
        <v>1</v>
      </c>
      <c r="I14" s="6">
        <v>1</v>
      </c>
      <c r="J14" s="5" t="s">
        <v>137</v>
      </c>
    </row>
    <row r="15" spans="1:10" ht="14.4">
      <c r="A15" s="8" t="s">
        <v>92</v>
      </c>
      <c r="B15" s="34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93</v>
      </c>
    </row>
  </sheetData>
  <sheetProtection algorithmName="SHA-512" hashValue="0/tyfqiT2FnPStJZNZMF6lXVjQHCyroa+Nolc2dL8saNTNqUhL6Vq1+j52ky8gkd1wweHtGVHA2n/0mwCzcgDQ==" saltValue="6JnAkqFQU03F/JnEcFukjw==" spinCount="100000" sheet="1" objects="1" scenarios="1" selectLockedCells="1"/>
  <mergeCells count="2">
    <mergeCell ref="A3:J3"/>
    <mergeCell ref="J4:J8"/>
  </mergeCells>
  <conditionalFormatting sqref="B15">
    <cfRule type="expression" dxfId="71" priority="10">
      <formula>IF(AND($B15&lt;&gt;"",$I15=0),1,0)</formula>
    </cfRule>
    <cfRule type="expression" dxfId="70" priority="11">
      <formula>IF($B15&lt;&gt;"",1,0)</formula>
    </cfRule>
    <cfRule type="expression" dxfId="69" priority="12">
      <formula>$I15=0</formula>
    </cfRule>
  </conditionalFormatting>
  <conditionalFormatting sqref="J4">
    <cfRule type="expression" dxfId="68" priority="13">
      <formula>IF(COUNTA($B$10:$B$15)&lt;&gt;COUNTIF($I$10:$I$15,1),1,0)</formula>
    </cfRule>
    <cfRule type="expression" dxfId="67" priority="14">
      <formula>IF(COUNTA($B$10:$B$15)=COUNTIF($I$10:$I$15,1),1,0)</formula>
    </cfRule>
  </conditionalFormatting>
  <conditionalFormatting sqref="B10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conditionalFormatting sqref="B11:B14">
    <cfRule type="expression" dxfId="63" priority="4">
      <formula>IF(AND($B11&lt;&gt;"",$I11=0),1,0)</formula>
    </cfRule>
    <cfRule type="expression" dxfId="62" priority="5">
      <formula>IF($B11&lt;&gt;"",1,0)</formula>
    </cfRule>
    <cfRule type="expression" dxfId="61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E10:E15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F10:F15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43.2">
      <c r="A10" s="4" t="s">
        <v>88</v>
      </c>
      <c r="B10" s="33">
        <f>6*10^(-9)*15/(0.0008)^2</f>
        <v>0.14062500000000003</v>
      </c>
      <c r="C10" s="2" t="s">
        <v>24</v>
      </c>
      <c r="D10" s="1" t="s">
        <v>25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80</v>
      </c>
    </row>
    <row r="11" spans="1:10" ht="43.2">
      <c r="A11" s="4" t="s">
        <v>89</v>
      </c>
      <c r="B11" s="33">
        <f>3*10^(-7)*15/(0.0008)^2</f>
        <v>7.03125</v>
      </c>
      <c r="C11" s="2" t="s">
        <v>24</v>
      </c>
      <c r="D11" s="1" t="s">
        <v>25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80</v>
      </c>
    </row>
    <row r="12" spans="1:10" ht="14.4">
      <c r="A12" s="8" t="s">
        <v>92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93</v>
      </c>
    </row>
  </sheetData>
  <sheetProtection algorithmName="SHA-512" hashValue="wXwVnS0iX4TB5BmLkk6npcsMm2SyoQHpizfDy5qwvVgKcQkpBTG2LebgLAMDA5eu2bSf+DndQcNxqC881ABYvA==" saltValue="vPW8pIGk5v50chtO1bam3w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7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43.2">
      <c r="A10" s="46" t="s">
        <v>131</v>
      </c>
      <c r="B10" s="33"/>
      <c r="C10" s="35" t="s">
        <v>135</v>
      </c>
      <c r="D10" s="1" t="s">
        <v>26</v>
      </c>
      <c r="E10" s="1" t="s">
        <v>7</v>
      </c>
      <c r="F10" s="2" t="s">
        <v>44</v>
      </c>
      <c r="G10" s="1">
        <v>1</v>
      </c>
      <c r="H10" s="1">
        <v>1</v>
      </c>
      <c r="I10" s="44">
        <f>IF([2]Initialization!$B$14=0,0,1)</f>
        <v>0</v>
      </c>
      <c r="J10" s="5" t="s">
        <v>132</v>
      </c>
    </row>
    <row r="11" spans="1:10" ht="14.4">
      <c r="A11" s="8" t="s">
        <v>92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93</v>
      </c>
    </row>
    <row r="17" s="3" customFormat="1" ht="14.55" hidden="1" customHeight="1"/>
  </sheetData>
  <sheetProtection algorithmName="SHA-512" hashValue="YBLVfba+NhUDhMX3sGhsvWl1wSf55inHIHHjxUnjbpxNnpGysa/BKRnBPRKVHe3p3BrGFLCSm8rLDDOWpM2log==" saltValue="zBcWwhOyboWpnQSFBKlYB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160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100</v>
      </c>
    </row>
    <row r="2" spans="1:18" ht="14.4">
      <c r="A2" s="61" t="s">
        <v>107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111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112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113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122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108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109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115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116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120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121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114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110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158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117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119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118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123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127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128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129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130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103</v>
      </c>
    </row>
    <row r="2" spans="1:1">
      <c r="A2" t="s">
        <v>101</v>
      </c>
    </row>
    <row r="3" spans="1:1">
      <c r="A3" t="s">
        <v>102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topLeftCell="CF1" workbookViewId="0">
      <selection activeCell="CM2" sqref="CM2"/>
    </sheetView>
  </sheetViews>
  <sheetFormatPr defaultColWidth="8.77734375" defaultRowHeight="14.4"/>
  <sheetData>
    <row r="1" spans="1:20">
      <c r="A1" t="s">
        <v>154</v>
      </c>
      <c r="B1" t="s">
        <v>92</v>
      </c>
      <c r="C1" t="s">
        <v>126</v>
      </c>
      <c r="D1" t="s">
        <v>141</v>
      </c>
      <c r="E1" t="s">
        <v>142</v>
      </c>
      <c r="F1" t="s">
        <v>92</v>
      </c>
      <c r="G1" t="s">
        <v>68</v>
      </c>
      <c r="H1" t="s">
        <v>69</v>
      </c>
      <c r="I1" t="s">
        <v>92</v>
      </c>
      <c r="J1" t="s">
        <v>73</v>
      </c>
      <c r="K1" t="s">
        <v>76</v>
      </c>
      <c r="L1" t="s">
        <v>74</v>
      </c>
      <c r="M1" t="s">
        <v>75</v>
      </c>
      <c r="N1" t="s">
        <v>136</v>
      </c>
      <c r="O1" t="s">
        <v>92</v>
      </c>
      <c r="P1" t="s">
        <v>88</v>
      </c>
      <c r="Q1" t="s">
        <v>89</v>
      </c>
      <c r="R1" t="s">
        <v>92</v>
      </c>
      <c r="S1" t="s">
        <v>131</v>
      </c>
      <c r="T1" t="s">
        <v>92</v>
      </c>
    </row>
    <row r="2" spans="1:20">
      <c r="A2">
        <v>0.08</v>
      </c>
      <c r="C2">
        <v>1</v>
      </c>
      <c r="G2">
        <v>1.7899999999999999E-3</v>
      </c>
      <c r="H2">
        <v>7.2399999999999993E-4</v>
      </c>
      <c r="J2">
        <v>4568.7150837988829</v>
      </c>
      <c r="K2">
        <v>2135.1955307262569</v>
      </c>
      <c r="L2">
        <v>1</v>
      </c>
      <c r="M2">
        <v>1</v>
      </c>
      <c r="N2">
        <v>300.14999999999998</v>
      </c>
      <c r="P2">
        <v>0.14062500000000003</v>
      </c>
      <c r="Q2">
        <v>7.03125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topLeftCell="CC1" workbookViewId="0">
      <selection activeCell="CR2" sqref="CR2"/>
    </sheetView>
  </sheetViews>
  <sheetFormatPr defaultColWidth="8.77734375" defaultRowHeight="14.4"/>
  <sheetData>
    <row r="1" spans="1:20">
      <c r="A1" t="s">
        <v>154</v>
      </c>
      <c r="B1" t="s">
        <v>92</v>
      </c>
      <c r="C1" t="s">
        <v>126</v>
      </c>
      <c r="D1" t="s">
        <v>141</v>
      </c>
      <c r="E1" t="s">
        <v>142</v>
      </c>
      <c r="F1" t="s">
        <v>92</v>
      </c>
      <c r="G1" t="s">
        <v>68</v>
      </c>
      <c r="H1" t="s">
        <v>69</v>
      </c>
      <c r="I1" t="s">
        <v>92</v>
      </c>
      <c r="J1" t="s">
        <v>73</v>
      </c>
      <c r="K1" t="s">
        <v>76</v>
      </c>
      <c r="L1" t="s">
        <v>74</v>
      </c>
      <c r="M1" t="s">
        <v>75</v>
      </c>
      <c r="N1" t="s">
        <v>136</v>
      </c>
      <c r="O1" t="s">
        <v>92</v>
      </c>
      <c r="P1" t="s">
        <v>88</v>
      </c>
      <c r="Q1" t="s">
        <v>89</v>
      </c>
      <c r="R1" t="s">
        <v>92</v>
      </c>
      <c r="S1" t="s">
        <v>131</v>
      </c>
      <c r="T1" t="s">
        <v>92</v>
      </c>
    </row>
    <row r="2" spans="1:2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0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2022-10-21T12:46:06Z</dcterms:modified>
</cp:coreProperties>
</file>