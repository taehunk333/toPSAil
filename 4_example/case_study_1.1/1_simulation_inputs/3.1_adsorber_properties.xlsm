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tables/table1.xml" ContentType="application/vnd.openxmlformats-officedocument.spreadsheetml.table+xml"/>
  <Override PartName="/xl/comments1.xml" ContentType="application/vnd.openxmlformats-officedocument.spreadsheetml.comments+xml"/>
  <Override PartName="/xl/threadedComments/threadedComment1.xml" ContentType="application/vnd.ms-excel.threadedcomments+xml"/>
  <Override PartName="/xl/drawings/drawing3.xml" ContentType="application/vnd.openxmlformats-officedocument.drawing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tables/table2.xml" ContentType="application/vnd.openxmlformats-officedocument.spreadsheetml.table+xml"/>
  <Override PartName="/xl/comments2.xml" ContentType="application/vnd.openxmlformats-officedocument.spreadsheetml.comments+xml"/>
  <Override PartName="/xl/threadedComments/threadedComment2.xml" ContentType="application/vnd.ms-excel.threadedcomments+xml"/>
  <Override PartName="/xl/drawings/drawing4.xml" ContentType="application/vnd.openxmlformats-officedocument.drawing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tables/table3.xml" ContentType="application/vnd.openxmlformats-officedocument.spreadsheetml.table+xml"/>
  <Override PartName="/xl/comments3.xml" ContentType="application/vnd.openxmlformats-officedocument.spreadsheetml.comments+xml"/>
  <Override PartName="/xl/threadedComments/threadedComment3.xml" ContentType="application/vnd.ms-excel.threadedcomments+xml"/>
  <Override PartName="/xl/drawings/drawing5.xml" ContentType="application/vnd.openxmlformats-officedocument.drawing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tables/table4.xml" ContentType="application/vnd.openxmlformats-officedocument.spreadsheetml.table+xml"/>
  <Override PartName="/xl/comments4.xml" ContentType="application/vnd.openxmlformats-officedocument.spreadsheetml.comments+xml"/>
  <Override PartName="/xl/threadedComments/threadedComment4.xml" ContentType="application/vnd.ms-excel.threadedcomments+xml"/>
  <Override PartName="/xl/drawings/drawing6.xml" ContentType="application/vnd.openxmlformats-officedocument.drawing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tables/table5.xml" ContentType="application/vnd.openxmlformats-officedocument.spreadsheetml.table+xml"/>
  <Override PartName="/xl/comments5.xml" ContentType="application/vnd.openxmlformats-officedocument.spreadsheetml.comments+xml"/>
  <Override PartName="/xl/threadedComments/threadedComment5.xml" ContentType="application/vnd.ms-excel.threadedcomments+xml"/>
  <Override PartName="/xl/persons/person.xml" ContentType="application/vnd.ms-excel.person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931" codeName="{B6124F1A-AFFB-F854-7757-9A1D4C6FC43C}"/>
  <workbookPr updateLinks="always"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tkim333\Documents\GitHub\toPSAil\4_example\case_study_1.1\1_simulation_inputs\"/>
    </mc:Choice>
  </mc:AlternateContent>
  <xr:revisionPtr revIDLastSave="0" documentId="13_ncr:1_{E4133B62-47CE-4984-B190-80D26B8BC5A5}" xr6:coauthVersionLast="47" xr6:coauthVersionMax="47" xr10:uidLastSave="{00000000-0000-0000-0000-000000000000}"/>
  <bookViews>
    <workbookView xWindow="-108" yWindow="-108" windowWidth="23256" windowHeight="13176" tabRatio="818" activeTab="5" xr2:uid="{CB583278-6AF7-49E7-A969-6064EAB4A9B4}"/>
  </bookViews>
  <sheets>
    <sheet name="Revision History" sheetId="4" r:id="rId1"/>
    <sheet name="Reference" sheetId="2" state="hidden" r:id="rId2"/>
    <sheet name="Initialization" sheetId="45" r:id="rId3"/>
    <sheet name="Geometry" sheetId="46" r:id="rId4"/>
    <sheet name="Adsorber Packing" sheetId="47" r:id="rId5"/>
    <sheet name="Adsorber Design" sheetId="43" r:id="rId6"/>
    <sheet name="Physical Properties" sheetId="42" r:id="rId7"/>
    <sheet name="Help" sheetId="44" r:id="rId8"/>
    <sheet name="maintenance check list" sheetId="28" state="hidden" r:id="rId9"/>
    <sheet name="Data(Transposed)" sheetId="3" state="hidden" r:id="rId10"/>
    <sheet name="Data(Test)" sheetId="9" state="hidden" r:id="rId11"/>
  </sheets>
  <functionGroups builtInGroupCount="19"/>
  <externalReferences>
    <externalReference r:id="rId12"/>
    <externalReference r:id="rId13"/>
  </externalReferences>
  <definedNames>
    <definedName name="_xlnm._FilterDatabase" localSheetId="5" hidden="1">'Adsorber Design'!$A$8:$J$8</definedName>
    <definedName name="_xlnm._FilterDatabase" localSheetId="4" hidden="1">'Adsorber Packing'!$A$8:$J$8</definedName>
    <definedName name="_xlnm._FilterDatabase" localSheetId="3" hidden="1">Geometry!$A$8:$J$8</definedName>
    <definedName name="_xlnm._FilterDatabase" localSheetId="2" hidden="1">Initialization!$A$8:$J$8</definedName>
    <definedName name="_xlnm._FilterDatabase" localSheetId="6" hidden="1">'Physical Properties'!$A$8:$J$8</definedName>
    <definedName name="_xlnm.Print_Area" localSheetId="5">'Adsorber Design'!$A$1:$J$16</definedName>
    <definedName name="_xlnm.Print_Area" localSheetId="4">'Adsorber Packing'!$A$1:$J$11</definedName>
    <definedName name="_xlnm.Print_Area" localSheetId="3">Geometry!$A$1:$J$12</definedName>
    <definedName name="_xlnm.Print_Area" localSheetId="2">Initialization!$A$1:$J$11</definedName>
    <definedName name="_xlnm.Print_Area" localSheetId="6">'Physical Properties'!$A$1:$J$13</definedName>
    <definedName name="_xlnm.Print_Area" localSheetId="0">'Revision History'!$C$3:$K$51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B14" i="43" l="1"/>
  <c r="B13" i="43"/>
  <c r="B11" i="43"/>
  <c r="B10" i="43"/>
  <c r="I12" i="42"/>
  <c r="I10" i="42"/>
  <c r="I9" i="42"/>
  <c r="H10" i="45"/>
  <c r="I13" i="43" l="1" a="1"/>
  <c r="I13" i="43" s="1"/>
  <c r="A1" i="44"/>
  <c r="H9" i="45"/>
  <c r="J3" i="47"/>
  <c r="J1" i="47"/>
  <c r="A1" i="47"/>
  <c r="J3" i="46"/>
  <c r="J1" i="46"/>
  <c r="A1" i="46"/>
  <c r="J3" i="45"/>
  <c r="J1" i="45"/>
  <c r="A1" i="45"/>
  <c r="I14" i="43" l="1" a="1"/>
  <c r="I14" i="43" s="1"/>
  <c r="I11" i="43" a="1"/>
  <c r="I11" i="43" s="1"/>
  <c r="I10" i="43" a="1"/>
  <c r="I10" i="43" s="1"/>
  <c r="Q1" i="44" l="1"/>
  <c r="J1" i="43"/>
  <c r="A1" i="43"/>
  <c r="J3" i="42"/>
  <c r="J1" i="42"/>
  <c r="A1" i="42"/>
  <c r="J3" i="43" l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tc={855A74DB-6D76-B440-8179-8298933D5524}</author>
    <author>tc={F43C97A6-F7D1-7146-882D-AAA8215A72F1}</author>
    <author>tc={33C7DDB6-B0F7-6E4B-9ACB-6463A54CF433}</author>
  </authors>
  <commentList>
    <comment ref="G8" authorId="0" shapeId="0" xr:uid="{855A74DB-6D76-B440-8179-8298933D5524}">
      <text>
        <t>[Threaded comment]
Your version of Excel allows you to read this threaded comment; however, any edits to it will get removed if the file is opened in a newer version of Excel. Learn more: https://go.microsoft.com/fwlink/?linkid=870924
Comment:
    place 1 if we want to keep the row when re-initializing. Otherwise, leave it as a blank.</t>
      </text>
    </comment>
    <comment ref="H8" authorId="1" shapeId="0" xr:uid="{F43C97A6-F7D1-7146-882D-AAA8215A72F1}">
      <text>
        <t>[Threaded comment]
Your version of Excel allows you to read this threaded comment; however, any edits to it will get removed if the file is opened in a newer version of Excel. Learn more: https://go.microsoft.com/fwlink/?linkid=870924
Comment:
    supply a value greater than 1 if you want to duplicate the row</t>
      </text>
    </comment>
    <comment ref="I8" authorId="2" shapeId="0" xr:uid="{33C7DDB6-B0F7-6E4B-9ACB-6463A54CF433}">
      <text>
        <t>[Threaded comment]
Your version of Excel allows you to read this threaded comment; however, any edits to it will get removed if the file is opened in a newer version of Excel. Learn more: https://go.microsoft.com/fwlink/?linkid=870924
Comment:
    1 means we need to have the variable specified; 0 means we need not have the variable specified
Reply:
    Orange highlighted cells contain if then statement to allow the MATLAB® to check for the right inputs</t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tc={9A8B1F84-B3DF-164B-A3BA-167595E4E39E}</author>
    <author>tc={DD2DB5E7-0BE2-2741-82E0-81328A4E121F}</author>
    <author>tc={45AD0834-D243-D54F-B65B-68EFB1FB2F4E}</author>
  </authors>
  <commentList>
    <comment ref="G8" authorId="0" shapeId="0" xr:uid="{9A8B1F84-B3DF-164B-A3BA-167595E4E39E}">
      <text>
        <t>[Threaded comment]
Your version of Excel allows you to read this threaded comment; however, any edits to it will get removed if the file is opened in a newer version of Excel. Learn more: https://go.microsoft.com/fwlink/?linkid=870924
Comment:
    place 1 if we want to keep the row when re-initializing. Otherwise, leave it as a blank.</t>
      </text>
    </comment>
    <comment ref="H8" authorId="1" shapeId="0" xr:uid="{DD2DB5E7-0BE2-2741-82E0-81328A4E121F}">
      <text>
        <t>[Threaded comment]
Your version of Excel allows you to read this threaded comment; however, any edits to it will get removed if the file is opened in a newer version of Excel. Learn more: https://go.microsoft.com/fwlink/?linkid=870924
Comment:
    supply a value greater than 1 if you want to duplicate the row</t>
      </text>
    </comment>
    <comment ref="I8" authorId="2" shapeId="0" xr:uid="{45AD0834-D243-D54F-B65B-68EFB1FB2F4E}">
      <text>
        <t>[Threaded comment]
Your version of Excel allows you to read this threaded comment; however, any edits to it will get removed if the file is opened in a newer version of Excel. Learn more: https://go.microsoft.com/fwlink/?linkid=870924
Comment:
    1 means we need to have the variable specified; 0 means we need not have the variable specified
Reply:
    Orange highlighted cells contain if then statement to allow the MATLAB® to check for the right inputs</t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tc={9F70F694-8BFD-5F45-BAAF-8C96E17EAE71}</author>
    <author>tc={2AB62911-0592-7148-807F-2395912B8CFB}</author>
    <author>tc={B9284979-1F53-6C42-B1BB-35E9AA2B6E07}</author>
  </authors>
  <commentList>
    <comment ref="G8" authorId="0" shapeId="0" xr:uid="{9F70F694-8BFD-5F45-BAAF-8C96E17EAE71}">
      <text>
        <t>[Threaded comment]
Your version of Excel allows you to read this threaded comment; however, any edits to it will get removed if the file is opened in a newer version of Excel. Learn more: https://go.microsoft.com/fwlink/?linkid=870924
Comment:
    place 1 if we want to keep the row when re-initializing. Otherwise, leave it as a blank.</t>
      </text>
    </comment>
    <comment ref="H8" authorId="1" shapeId="0" xr:uid="{2AB62911-0592-7148-807F-2395912B8CFB}">
      <text>
        <t>[Threaded comment]
Your version of Excel allows you to read this threaded comment; however, any edits to it will get removed if the file is opened in a newer version of Excel. Learn more: https://go.microsoft.com/fwlink/?linkid=870924
Comment:
    supply a value greater than 1 if you want to duplicate the row</t>
      </text>
    </comment>
    <comment ref="I8" authorId="2" shapeId="0" xr:uid="{B9284979-1F53-6C42-B1BB-35E9AA2B6E07}">
      <text>
        <t>[Threaded comment]
Your version of Excel allows you to read this threaded comment; however, any edits to it will get removed if the file is opened in a newer version of Excel. Learn more: https://go.microsoft.com/fwlink/?linkid=870924
Comment:
    1 means we need to have the variable specified; 0 means we need not have the variable specified
Reply:
    Orange highlighted cells contain if then statement to allow the MATLAB® to check for the right inputs</t>
      </text>
    </comment>
  </commentList>
</comments>
</file>

<file path=xl/comments4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tc={9C094753-09F5-4AE4-818D-B8A8B3AE571B}</author>
    <author>tc={6C278506-3489-4911-8C75-B1A34FB6DB6D}</author>
    <author>tc={19828CF7-A8D5-4881-A13F-5FF203151D6A}</author>
  </authors>
  <commentList>
    <comment ref="G8" authorId="0" shapeId="0" xr:uid="{9C094753-09F5-4AE4-818D-B8A8B3AE571B}">
      <text>
        <t>[Threaded comment]
Your version of Excel allows you to read this threaded comment; however, any edits to it will get removed if the file is opened in a newer version of Excel. Learn more: https://go.microsoft.com/fwlink/?linkid=870924
Comment:
    place 1 if we want to keep the row when re-initializing. Otherwise, leave it as a blank.</t>
      </text>
    </comment>
    <comment ref="H8" authorId="1" shapeId="0" xr:uid="{6C278506-3489-4911-8C75-B1A34FB6DB6D}">
      <text>
        <t>[Threaded comment]
Your version of Excel allows you to read this threaded comment; however, any edits to it will get removed if the file is opened in a newer version of Excel. Learn more: https://go.microsoft.com/fwlink/?linkid=870924
Comment:
    supply a value greater than 1 if you want to duplicate the row</t>
      </text>
    </comment>
    <comment ref="I8" authorId="2" shapeId="0" xr:uid="{19828CF7-A8D5-4881-A13F-5FF203151D6A}">
      <text>
        <t>[Threaded comment]
Your version of Excel allows you to read this threaded comment; however, any edits to it will get removed if the file is opened in a newer version of Excel. Learn more: https://go.microsoft.com/fwlink/?linkid=870924
Comment:
    1 means we need to have the variable specified; 0 means we need not have the variable specified
Reply:
    Orange highlighted cells contain if then statement to allow the MATLAB® to check for the right inputs</t>
      </text>
    </comment>
  </commentList>
</comments>
</file>

<file path=xl/comments5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tc={B33F54E8-F5DD-4FD7-827E-56A8D3D93CF9}</author>
    <author>tc={C37A90FE-2888-4963-8404-F359F50F80AE}</author>
    <author>tc={192400E2-DB21-460A-8FDB-3E57AAFC5B4A}</author>
  </authors>
  <commentList>
    <comment ref="G8" authorId="0" shapeId="0" xr:uid="{B33F54E8-F5DD-4FD7-827E-56A8D3D93CF9}">
      <text>
        <t>[Threaded comment]
Your version of Excel allows you to read this threaded comment; however, any edits to it will get removed if the file is opened in a newer version of Excel. Learn more: https://go.microsoft.com/fwlink/?linkid=870924
Comment:
    place 1 if we want to keep the row when re-initializing. Otherwise, leave it as a blank.</t>
      </text>
    </comment>
    <comment ref="H8" authorId="1" shapeId="0" xr:uid="{C37A90FE-2888-4963-8404-F359F50F80AE}">
      <text>
        <t>[Threaded comment]
Your version of Excel allows you to read this threaded comment; however, any edits to it will get removed if the file is opened in a newer version of Excel. Learn more: https://go.microsoft.com/fwlink/?linkid=870924
Comment:
    supply a value greater than 1 if you want to duplicate the row</t>
      </text>
    </comment>
    <comment ref="I8" authorId="2" shapeId="0" xr:uid="{192400E2-DB21-460A-8FDB-3E57AAFC5B4A}">
      <text>
        <t>[Threaded comment]
Your version of Excel allows you to read this threaded comment; however, any edits to it will get removed if the file is opened in a newer version of Excel. Learn more: https://go.microsoft.com/fwlink/?linkid=870924
Comment:
    1 means we need to have the variable specified; 0 means we need not have the variable specified
Reply:
    Orange highlighted cells contain if then statement to allow the MATLAB® to check for the right inputs</t>
      </text>
    </comment>
  </commentList>
</comment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<sst xmlns="http://schemas.openxmlformats.org/spreadsheetml/2006/main" count="340" uniqueCount="153">
  <si>
    <t>Variable</t>
  </si>
  <si>
    <t>Value</t>
  </si>
  <si>
    <t>Unit</t>
  </si>
  <si>
    <t>-</t>
  </si>
  <si>
    <t>nVols</t>
  </si>
  <si>
    <t>nComs</t>
  </si>
  <si>
    <t>boolean</t>
  </si>
  <si>
    <t>scalar</t>
  </si>
  <si>
    <t xml:space="preserve"> </t>
  </si>
  <si>
    <t>string</t>
  </si>
  <si>
    <t>vector</t>
  </si>
  <si>
    <t>other</t>
  </si>
  <si>
    <t>Description</t>
  </si>
  <si>
    <t>Data Type</t>
  </si>
  <si>
    <t>Comparisons</t>
  </si>
  <si>
    <t>natural constant</t>
  </si>
  <si>
    <t>column design</t>
  </si>
  <si>
    <t>system property</t>
  </si>
  <si>
    <t>n.a.</t>
  </si>
  <si>
    <t>others</t>
  </si>
  <si>
    <t>bar</t>
  </si>
  <si>
    <t>K</t>
  </si>
  <si>
    <t>kg/cc</t>
  </si>
  <si>
    <t>kg</t>
  </si>
  <si>
    <t>physical properties</t>
  </si>
  <si>
    <t>adsorbent properties</t>
  </si>
  <si>
    <t>adsorbate properties</t>
  </si>
  <si>
    <t>isotherm parameters</t>
  </si>
  <si>
    <t>numerical methods</t>
  </si>
  <si>
    <t>sorption rate</t>
  </si>
  <si>
    <t>feed stream</t>
  </si>
  <si>
    <t>cycle information</t>
  </si>
  <si>
    <t>voidFrac</t>
  </si>
  <si>
    <t>massAds</t>
  </si>
  <si>
    <t>Specification of simulation parameters</t>
  </si>
  <si>
    <t>Rev. No.</t>
  </si>
  <si>
    <t>Rev. Date</t>
  </si>
  <si>
    <t>Draft</t>
    <phoneticPr fontId="0" type="noConversion"/>
  </si>
  <si>
    <t>Review</t>
    <phoneticPr fontId="0" type="noConversion"/>
  </si>
  <si>
    <t>Approval</t>
    <phoneticPr fontId="0" type="noConversion"/>
  </si>
  <si>
    <t>Notes</t>
    <phoneticPr fontId="0" type="noConversion"/>
  </si>
  <si>
    <t>Revision Management Tracking List</t>
  </si>
  <si>
    <t>TK</t>
  </si>
  <si>
    <t>Dependency</t>
  </si>
  <si>
    <t>no</t>
  </si>
  <si>
    <t>nSteps</t>
  </si>
  <si>
    <t>nCols</t>
  </si>
  <si>
    <t>bool2</t>
  </si>
  <si>
    <t>bool1</t>
  </si>
  <si>
    <t>bool3</t>
  </si>
  <si>
    <t>bool4</t>
  </si>
  <si>
    <t>bool5</t>
  </si>
  <si>
    <t>bool6</t>
  </si>
  <si>
    <t>bool7</t>
  </si>
  <si>
    <t>bool8</t>
  </si>
  <si>
    <t>bool9</t>
  </si>
  <si>
    <t>bool10</t>
  </si>
  <si>
    <t>bool11</t>
  </si>
  <si>
    <t>bool12</t>
  </si>
  <si>
    <t>bool13</t>
  </si>
  <si>
    <t>bool14</t>
  </si>
  <si>
    <t>bool15</t>
  </si>
  <si>
    <t>identifier</t>
  </si>
  <si>
    <t>HP</t>
  </si>
  <si>
    <t>DP</t>
  </si>
  <si>
    <t>LP</t>
  </si>
  <si>
    <t>RP</t>
  </si>
  <si>
    <t>Variable Type</t>
  </si>
  <si>
    <t>The inner radius of an adsorption column. Just specify the inner radius for the isothermal process.</t>
  </si>
  <si>
    <t>The outer radius of an adsorption column. Only specify for non-isothermal process.</t>
  </si>
  <si>
    <t>voidFracBed</t>
  </si>
  <si>
    <t>Bed porosity</t>
  </si>
  <si>
    <t>Test 1</t>
  </si>
  <si>
    <t>Test 2</t>
  </si>
  <si>
    <t>Step</t>
  </si>
  <si>
    <t>cm</t>
  </si>
  <si>
    <t>The mass of adsorbents inside an adsorption column</t>
  </si>
  <si>
    <t>Isotherm</t>
  </si>
  <si>
    <t>Kinetics</t>
  </si>
  <si>
    <t>modSp3</t>
  </si>
  <si>
    <t>modSp4</t>
  </si>
  <si>
    <t>modSp5</t>
  </si>
  <si>
    <t>Test 3</t>
  </si>
  <si>
    <t>initCond</t>
  </si>
  <si>
    <t>EQ</t>
  </si>
  <si>
    <t>RT</t>
  </si>
  <si>
    <t>testVal</t>
  </si>
  <si>
    <t>Test Place holder</t>
  </si>
  <si>
    <t>The height of an adsorption column</t>
  </si>
  <si>
    <t>boundCond</t>
  </si>
  <si>
    <t>event</t>
  </si>
  <si>
    <t>integer</t>
  </si>
  <si>
    <t>Cycle Types</t>
  </si>
  <si>
    <t>valve constant</t>
  </si>
  <si>
    <t>Scott Research Group (jkscottresearchgroup.com)</t>
  </si>
  <si>
    <t>[1] update list of strings in a macro for highlighting tabs to be yellow when data to MATLAB is cleared</t>
  </si>
  <si>
    <t>[2] for any newly created entries, specify values for the tests (Test 1, Test 2, and Test 3) or program a conditional statement so that based on the model specification from the user, we can ask which parameters to be supplied by the user.</t>
  </si>
  <si>
    <t>Maintenance check list (1/2/2021)</t>
  </si>
  <si>
    <t>flowDir</t>
  </si>
  <si>
    <t>product stream</t>
  </si>
  <si>
    <t>tank design</t>
  </si>
  <si>
    <r>
      <t>W/m</t>
    </r>
    <r>
      <rPr>
        <vertAlign val="superscript"/>
        <sz val="11"/>
        <color theme="1"/>
        <rFont val="Consolas"/>
        <family val="3"/>
      </rPr>
      <t>2</t>
    </r>
    <r>
      <rPr>
        <sz val="11"/>
        <color theme="1"/>
        <rFont val="Consolas"/>
        <family val="3"/>
      </rPr>
      <t>-K</t>
    </r>
  </si>
  <si>
    <t>radInCol</t>
  </si>
  <si>
    <t>radOutCol</t>
  </si>
  <si>
    <t>a heat transfer coefficient from column to a column wall</t>
  </si>
  <si>
    <t>a heat transfer coefficient from a column wall to the ambient environment</t>
  </si>
  <si>
    <t>inConBed1</t>
  </si>
  <si>
    <t>MassTransferResistance</t>
  </si>
  <si>
    <t>column wall density</t>
  </si>
  <si>
    <t>Boolean</t>
  </si>
  <si>
    <t>numTanks</t>
  </si>
  <si>
    <t>J/kg-K</t>
  </si>
  <si>
    <t>htTrCoInCol</t>
  </si>
  <si>
    <t>htTrCoOutCol</t>
  </si>
  <si>
    <t>initCondFeTa</t>
  </si>
  <si>
    <t>initCondRaTa</t>
  </si>
  <si>
    <t>tempCol</t>
  </si>
  <si>
    <t>waDensCol</t>
  </si>
  <si>
    <t>htCapCol</t>
  </si>
  <si>
    <t>numCols</t>
  </si>
  <si>
    <t>numIntSolv</t>
  </si>
  <si>
    <t>ode45</t>
  </si>
  <si>
    <t>ode23</t>
  </si>
  <si>
    <t>ode113</t>
  </si>
  <si>
    <t>ode15s</t>
  </si>
  <si>
    <t>ode23s</t>
  </si>
  <si>
    <t>ode23t</t>
  </si>
  <si>
    <t>ode23tb</t>
  </si>
  <si>
    <t>heightCol</t>
  </si>
  <si>
    <t>Purpose/Summary</t>
  </si>
  <si>
    <t>Adsorption Column Information</t>
  </si>
  <si>
    <t>Assumptions:</t>
  </si>
  <si>
    <t>1. All adsorption columns are identicial in their dimension, packing, and properties.</t>
  </si>
  <si>
    <t>2. Only a single adsorbent layer is supported.</t>
  </si>
  <si>
    <t>inConBed2</t>
  </si>
  <si>
    <t>The adsorption column temperature in the isothermal simulation. During non-isothermal simulation, this is the initial temperature of an adsorption column.</t>
  </si>
  <si>
    <t>The high pressure for an adsorption column. This is the desired pressure at which the raffinate product should be recovered.</t>
  </si>
  <si>
    <t>The low pressure for an adsorption column. This is the lowest pressure that the adsorption column is expected to go, during depressurization, either down to the atmospheric pressure or to a vacuum.</t>
  </si>
  <si>
    <t xml:space="preserve">This is the pressure at which the back-pressure regulator + check-valve will fully open during a high pressure feed or rinse step. </t>
  </si>
  <si>
    <t>This is the pressure at which the back-pressure regulator + check-valve will fully open during a low pressure purge.</t>
  </si>
  <si>
    <t>This is the set pressure at which the back-pressure regulator + check valve will try to maintain for a low pressure purge step.</t>
  </si>
  <si>
    <t>This is the set pressure at which the back-pressure regulator + check valve will try to maintain for a high pressure feed or rinse step.</t>
  </si>
  <si>
    <t>presColHigh</t>
  </si>
  <si>
    <t>presColLow</t>
  </si>
  <si>
    <t>presColHighSet</t>
  </si>
  <si>
    <t>presColLowSet</t>
  </si>
  <si>
    <t>presColLowFull</t>
  </si>
  <si>
    <t>presColHighFull</t>
  </si>
  <si>
    <t>Finalized the spreadsheet for the v1.0 release</t>
  </si>
  <si>
    <t>Initial development of the "3.1_adsorber_properties.xlsm" sheet.</t>
  </si>
  <si>
    <t>REV. NO.2 (9/14/2022)</t>
  </si>
  <si>
    <t>1 = saturation with the feed 
    at the high pressure
2 = saturation with the raffinate product
    at the high pressure
3 = saturation with an extract product
    at the high pressure
4 = saturation with the feed
    at the low pressure
5 = saturation with the raffinate product
    at the low pressure
6 = saturation with the extract product
    at the low pressure
7 = saturation with the feed
    at the feed pressure
8 = saturation with the raffinate product
    at the feed pressure
9 = saturation with an extract product
    at the feed pressure</t>
  </si>
  <si>
    <t>column wall heat capacity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</si>
</sst>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9">
    <font>
      <sz val="11"/>
      <color theme="1"/>
      <name val="Calibri"/>
      <family val="2"/>
      <scheme val="minor"/>
    </font>
    <font>
      <sz val="8"/>
      <name val="Calibri"/>
      <family val="2"/>
      <scheme val="minor"/>
    </font>
    <font>
      <sz val="11"/>
      <color theme="1"/>
      <name val="Calibri"/>
      <family val="2"/>
      <charset val="129"/>
      <scheme val="minor"/>
    </font>
    <font>
      <sz val="14"/>
      <color theme="1"/>
      <name val="Consolas"/>
      <family val="3"/>
    </font>
    <font>
      <sz val="11"/>
      <color theme="1"/>
      <name val="Consolas"/>
      <family val="3"/>
    </font>
    <font>
      <b/>
      <i/>
      <sz val="28"/>
      <color theme="1"/>
      <name val="Consolas"/>
      <family val="3"/>
    </font>
    <font>
      <b/>
      <i/>
      <sz val="14"/>
      <color theme="1"/>
      <name val="Consolas"/>
      <family val="3"/>
    </font>
    <font>
      <b/>
      <i/>
      <sz val="11"/>
      <color theme="1"/>
      <name val="Consolas"/>
      <family val="3"/>
    </font>
    <font>
      <b/>
      <i/>
      <sz val="11"/>
      <color theme="0"/>
      <name val="Consolas"/>
      <family val="3"/>
    </font>
    <font>
      <sz val="11"/>
      <color theme="0"/>
      <name val="Consolas"/>
      <family val="3"/>
    </font>
    <font>
      <u/>
      <sz val="11"/>
      <color theme="10"/>
      <name val="Calibri"/>
      <family val="2"/>
      <scheme val="minor"/>
    </font>
    <font>
      <b/>
      <i/>
      <sz val="14"/>
      <color rgb="FF339966"/>
      <name val="Calibri"/>
      <family val="2"/>
    </font>
    <font>
      <i/>
      <sz val="11"/>
      <color theme="0"/>
      <name val="Consolas"/>
      <family val="3"/>
    </font>
    <font>
      <i/>
      <sz val="14"/>
      <color theme="0"/>
      <name val="Consolas"/>
      <family val="3"/>
    </font>
    <font>
      <sz val="14"/>
      <color theme="0"/>
      <name val="Consolas"/>
      <family val="3"/>
    </font>
    <font>
      <i/>
      <u/>
      <sz val="14"/>
      <color theme="0"/>
      <name val="Consolas"/>
      <family val="3"/>
    </font>
    <font>
      <b/>
      <i/>
      <sz val="14"/>
      <color rgb="FFFF0000"/>
      <name val="Calibri"/>
      <family val="2"/>
    </font>
    <font>
      <b/>
      <i/>
      <sz val="14"/>
      <color rgb="FFFF9900"/>
      <name val="Calibri"/>
      <family val="2"/>
    </font>
    <font>
      <vertAlign val="superscript"/>
      <sz val="11"/>
      <color theme="1"/>
      <name val="Consolas"/>
      <family val="3"/>
    </font>
  </fonts>
  <fills count="7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rgb="FFFFC000"/>
        <bgColor indexed="64"/>
      </patternFill>
    </fill>
  </fills>
  <borders count="15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/>
      <bottom/>
      <diagonal/>
    </border>
  </borders>
  <cellStyleXfs count="3">
    <xf numFmtId="0" fontId="0" fillId="0" borderId="0"/>
    <xf numFmtId="0" fontId="2" fillId="0" borderId="0">
      <alignment vertical="center"/>
    </xf>
    <xf numFmtId="0" fontId="10" fillId="0" borderId="0" applyNumberFormat="0" applyFill="0" applyBorder="0" applyAlignment="0" applyProtection="0"/>
  </cellStyleXfs>
  <cellXfs count="65">
    <xf numFmtId="0" fontId="0" fillId="0" borderId="0" xfId="0"/>
    <xf numFmtId="0" fontId="4" fillId="3" borderId="1" xfId="0" applyFont="1" applyFill="1" applyBorder="1" applyAlignment="1">
      <alignment horizontal="center" vertical="center"/>
    </xf>
    <xf numFmtId="0" fontId="4" fillId="3" borderId="1" xfId="0" applyFont="1" applyFill="1" applyBorder="1" applyAlignment="1">
      <alignment horizontal="left" vertical="center" indent="1"/>
    </xf>
    <xf numFmtId="0" fontId="4" fillId="0" borderId="0" xfId="0" applyFont="1" applyAlignment="1" applyProtection="1">
      <alignment horizontal="center" vertical="center"/>
      <protection locked="0"/>
    </xf>
    <xf numFmtId="0" fontId="4" fillId="3" borderId="8" xfId="0" applyFont="1" applyFill="1" applyBorder="1" applyAlignment="1">
      <alignment horizontal="center" vertical="center"/>
    </xf>
    <xf numFmtId="0" fontId="4" fillId="3" borderId="6" xfId="0" applyFont="1" applyFill="1" applyBorder="1" applyAlignment="1">
      <alignment horizontal="left" vertical="center" wrapText="1" indent="1"/>
    </xf>
    <xf numFmtId="0" fontId="4" fillId="3" borderId="6" xfId="0" applyFont="1" applyFill="1" applyBorder="1" applyAlignment="1">
      <alignment horizontal="center" vertical="center"/>
    </xf>
    <xf numFmtId="0" fontId="4" fillId="3" borderId="0" xfId="0" applyFont="1" applyFill="1" applyAlignment="1">
      <alignment horizontal="center" vertical="center"/>
    </xf>
    <xf numFmtId="0" fontId="4" fillId="3" borderId="12" xfId="0" applyFont="1" applyFill="1" applyBorder="1" applyAlignment="1">
      <alignment horizontal="center" vertical="center"/>
    </xf>
    <xf numFmtId="0" fontId="4" fillId="3" borderId="10" xfId="0" applyFont="1" applyFill="1" applyBorder="1" applyAlignment="1">
      <alignment horizontal="left" vertical="center" indent="1"/>
    </xf>
    <xf numFmtId="0" fontId="4" fillId="3" borderId="10" xfId="0" applyFont="1" applyFill="1" applyBorder="1" applyAlignment="1">
      <alignment horizontal="center" vertical="center"/>
    </xf>
    <xf numFmtId="0" fontId="4" fillId="3" borderId="11" xfId="0" applyFont="1" applyFill="1" applyBorder="1" applyAlignment="1">
      <alignment horizontal="center" vertical="center"/>
    </xf>
    <xf numFmtId="0" fontId="4" fillId="3" borderId="11" xfId="0" applyFont="1" applyFill="1" applyBorder="1" applyAlignment="1">
      <alignment horizontal="left" vertical="center" wrapText="1" indent="1"/>
    </xf>
    <xf numFmtId="0" fontId="4" fillId="4" borderId="11" xfId="0" applyFont="1" applyFill="1" applyBorder="1" applyAlignment="1">
      <alignment horizontal="right" vertical="center"/>
    </xf>
    <xf numFmtId="0" fontId="4" fillId="4" borderId="13" xfId="0" applyFont="1" applyFill="1" applyBorder="1" applyAlignment="1">
      <alignment horizontal="right" vertical="center"/>
    </xf>
    <xf numFmtId="0" fontId="4" fillId="4" borderId="13" xfId="0" applyFont="1" applyFill="1" applyBorder="1" applyAlignment="1">
      <alignment horizontal="left" vertical="center"/>
    </xf>
    <xf numFmtId="0" fontId="4" fillId="4" borderId="13" xfId="0" applyFont="1" applyFill="1" applyBorder="1" applyAlignment="1">
      <alignment horizontal="center" vertical="center"/>
    </xf>
    <xf numFmtId="0" fontId="4" fillId="4" borderId="3" xfId="0" applyFont="1" applyFill="1" applyBorder="1" applyAlignment="1">
      <alignment horizontal="right" vertical="center"/>
    </xf>
    <xf numFmtId="0" fontId="4" fillId="4" borderId="0" xfId="0" applyFont="1" applyFill="1" applyAlignment="1">
      <alignment horizontal="right" vertical="center"/>
    </xf>
    <xf numFmtId="0" fontId="4" fillId="4" borderId="0" xfId="0" applyFont="1" applyFill="1" applyAlignment="1">
      <alignment horizontal="center" vertical="center"/>
    </xf>
    <xf numFmtId="0" fontId="4" fillId="4" borderId="4" xfId="0" applyFont="1" applyFill="1" applyBorder="1" applyAlignment="1">
      <alignment horizontal="right" vertical="center"/>
    </xf>
    <xf numFmtId="0" fontId="4" fillId="4" borderId="2" xfId="0" applyFont="1" applyFill="1" applyBorder="1" applyAlignment="1">
      <alignment horizontal="right" vertical="center"/>
    </xf>
    <xf numFmtId="0" fontId="4" fillId="4" borderId="2" xfId="0" applyFont="1" applyFill="1" applyBorder="1" applyAlignment="1">
      <alignment horizontal="left" vertical="center"/>
    </xf>
    <xf numFmtId="0" fontId="4" fillId="4" borderId="2" xfId="0" applyFont="1" applyFill="1" applyBorder="1" applyAlignment="1">
      <alignment horizontal="center" vertical="center"/>
    </xf>
    <xf numFmtId="0" fontId="12" fillId="5" borderId="6" xfId="0" applyFont="1" applyFill="1" applyBorder="1" applyAlignment="1">
      <alignment horizontal="left" vertical="center"/>
    </xf>
    <xf numFmtId="0" fontId="9" fillId="5" borderId="7" xfId="0" applyFont="1" applyFill="1" applyBorder="1" applyAlignment="1">
      <alignment horizontal="center" vertical="center"/>
    </xf>
    <xf numFmtId="0" fontId="12" fillId="5" borderId="8" xfId="0" applyFont="1" applyFill="1" applyBorder="1" applyAlignment="1">
      <alignment horizontal="right" vertical="center"/>
    </xf>
    <xf numFmtId="0" fontId="8" fillId="5" borderId="5" xfId="0" applyFont="1" applyFill="1" applyBorder="1" applyAlignment="1">
      <alignment horizontal="center" vertical="center"/>
    </xf>
    <xf numFmtId="0" fontId="8" fillId="5" borderId="9" xfId="0" applyFont="1" applyFill="1" applyBorder="1" applyAlignment="1">
      <alignment horizontal="center" vertical="center"/>
    </xf>
    <xf numFmtId="0" fontId="8" fillId="5" borderId="9" xfId="0" applyFont="1" applyFill="1" applyBorder="1" applyAlignment="1">
      <alignment horizontal="center" vertical="center" wrapText="1"/>
    </xf>
    <xf numFmtId="0" fontId="8" fillId="5" borderId="4" xfId="0" applyFont="1" applyFill="1" applyBorder="1" applyAlignment="1">
      <alignment horizontal="center" vertical="center"/>
    </xf>
    <xf numFmtId="0" fontId="7" fillId="2" borderId="1" xfId="0" applyFont="1" applyFill="1" applyBorder="1" applyAlignment="1" applyProtection="1">
      <alignment horizontal="center" vertical="center"/>
      <protection locked="0"/>
    </xf>
    <xf numFmtId="0" fontId="7" fillId="2" borderId="10" xfId="0" applyFont="1" applyFill="1" applyBorder="1" applyAlignment="1" applyProtection="1">
      <alignment horizontal="center" vertical="center"/>
      <protection locked="0"/>
    </xf>
    <xf numFmtId="0" fontId="7" fillId="0" borderId="0" xfId="0" applyFont="1" applyAlignment="1" applyProtection="1">
      <alignment horizontal="center" vertical="center"/>
      <protection locked="0"/>
    </xf>
    <xf numFmtId="0" fontId="4" fillId="3" borderId="8" xfId="0" applyFont="1" applyFill="1" applyBorder="1" applyAlignment="1">
      <alignment horizontal="left" vertical="center" indent="1"/>
    </xf>
    <xf numFmtId="0" fontId="4" fillId="0" borderId="0" xfId="1" applyFont="1">
      <alignment vertical="center"/>
    </xf>
    <xf numFmtId="0" fontId="4" fillId="0" borderId="0" xfId="1" applyFont="1" applyAlignment="1">
      <alignment vertical="center" wrapText="1"/>
    </xf>
    <xf numFmtId="0" fontId="4" fillId="0" borderId="0" xfId="1" applyFont="1" applyAlignment="1">
      <alignment horizontal="center" vertical="center"/>
    </xf>
    <xf numFmtId="0" fontId="14" fillId="5" borderId="0" xfId="1" applyFont="1" applyFill="1" applyAlignment="1">
      <alignment vertical="center" wrapText="1"/>
    </xf>
    <xf numFmtId="0" fontId="14" fillId="5" borderId="0" xfId="1" applyFont="1" applyFill="1" applyAlignment="1">
      <alignment horizontal="center" vertical="center"/>
    </xf>
    <xf numFmtId="0" fontId="14" fillId="5" borderId="0" xfId="1" applyFont="1" applyFill="1">
      <alignment vertical="center"/>
    </xf>
    <xf numFmtId="0" fontId="15" fillId="5" borderId="0" xfId="2" applyFont="1" applyFill="1" applyAlignment="1" applyProtection="1">
      <alignment horizontal="right"/>
    </xf>
    <xf numFmtId="0" fontId="3" fillId="0" borderId="1" xfId="1" applyFont="1" applyBorder="1" applyAlignment="1">
      <alignment horizontal="center" vertical="center"/>
    </xf>
    <xf numFmtId="0" fontId="3" fillId="0" borderId="1" xfId="1" applyFont="1" applyBorder="1" applyAlignment="1">
      <alignment horizontal="left" vertical="center" wrapText="1" indent="1"/>
    </xf>
    <xf numFmtId="14" fontId="3" fillId="0" borderId="1" xfId="1" applyNumberFormat="1" applyFont="1" applyBorder="1" applyAlignment="1">
      <alignment horizontal="center" vertical="center"/>
    </xf>
    <xf numFmtId="0" fontId="3" fillId="0" borderId="1" xfId="1" applyFont="1" applyBorder="1" applyAlignment="1">
      <alignment horizontal="left" vertical="center" indent="1"/>
    </xf>
    <xf numFmtId="0" fontId="4" fillId="4" borderId="0" xfId="0" applyFont="1" applyFill="1" applyAlignment="1">
      <alignment horizontal="left" vertical="center"/>
    </xf>
    <xf numFmtId="0" fontId="6" fillId="3" borderId="1" xfId="1" applyFont="1" applyFill="1" applyBorder="1" applyAlignment="1">
      <alignment horizontal="center" vertical="center" wrapText="1"/>
    </xf>
    <xf numFmtId="0" fontId="4" fillId="3" borderId="7" xfId="0" applyFont="1" applyFill="1" applyBorder="1" applyAlignment="1">
      <alignment horizontal="center" vertical="center"/>
    </xf>
    <xf numFmtId="0" fontId="13" fillId="5" borderId="0" xfId="1" applyFont="1" applyFill="1" applyAlignment="1">
      <alignment horizontal="left" vertical="center"/>
    </xf>
    <xf numFmtId="0" fontId="4" fillId="0" borderId="0" xfId="0" applyFont="1" applyAlignment="1">
      <alignment vertical="center"/>
    </xf>
    <xf numFmtId="0" fontId="4" fillId="3" borderId="3" xfId="0" applyFont="1" applyFill="1" applyBorder="1" applyAlignment="1">
      <alignment vertical="center"/>
    </xf>
    <xf numFmtId="0" fontId="4" fillId="3" borderId="0" xfId="0" applyFont="1" applyFill="1" applyAlignment="1">
      <alignment vertical="center"/>
    </xf>
    <xf numFmtId="0" fontId="7" fillId="3" borderId="0" xfId="0" applyFont="1" applyFill="1" applyAlignment="1">
      <alignment vertical="center"/>
    </xf>
    <xf numFmtId="0" fontId="4" fillId="6" borderId="6" xfId="0" applyFont="1" applyFill="1" applyBorder="1" applyAlignment="1">
      <alignment horizontal="center" vertical="center"/>
    </xf>
    <xf numFmtId="0" fontId="4" fillId="6" borderId="1" xfId="0" applyFont="1" applyFill="1" applyBorder="1" applyAlignment="1">
      <alignment horizontal="center" vertical="center"/>
    </xf>
    <xf numFmtId="0" fontId="5" fillId="0" borderId="2" xfId="1" applyFont="1" applyBorder="1" applyAlignment="1">
      <alignment horizontal="center" vertical="center"/>
    </xf>
    <xf numFmtId="0" fontId="6" fillId="4" borderId="6" xfId="0" applyFont="1" applyFill="1" applyBorder="1" applyAlignment="1">
      <alignment horizontal="center" vertical="center"/>
    </xf>
    <xf numFmtId="0" fontId="6" fillId="4" borderId="7" xfId="0" applyFont="1" applyFill="1" applyBorder="1" applyAlignment="1">
      <alignment horizontal="center" vertical="center"/>
    </xf>
    <xf numFmtId="0" fontId="6" fillId="4" borderId="8" xfId="0" applyFont="1" applyFill="1" applyBorder="1" applyAlignment="1">
      <alignment horizontal="center" vertical="center"/>
    </xf>
    <xf numFmtId="0" fontId="6" fillId="4" borderId="12" xfId="0" applyFont="1" applyFill="1" applyBorder="1" applyAlignment="1">
      <alignment horizontal="center" vertical="center"/>
    </xf>
    <xf numFmtId="0" fontId="6" fillId="4" borderId="14" xfId="0" applyFont="1" applyFill="1" applyBorder="1" applyAlignment="1">
      <alignment horizontal="center" vertical="center"/>
    </xf>
    <xf numFmtId="0" fontId="6" fillId="4" borderId="5" xfId="0" applyFont="1" applyFill="1" applyBorder="1" applyAlignment="1">
      <alignment horizontal="center" vertical="center"/>
    </xf>
    <xf numFmtId="0" fontId="7" fillId="4" borderId="6" xfId="0" applyFont="1" applyFill="1" applyBorder="1" applyAlignment="1">
      <alignment horizontal="left" vertical="center"/>
    </xf>
    <xf numFmtId="0" fontId="7" fillId="4" borderId="7" xfId="0" applyFont="1" applyFill="1" applyBorder="1" applyAlignment="1">
      <alignment horizontal="left" vertical="center"/>
    </xf>
  </cellXfs>
  <cellStyles count="3">
    <cellStyle name="Hyperlink" xfId="2" builtinId="8"/>
    <cellStyle name="Normal" xfId="0" builtinId="0"/>
    <cellStyle name="Normal 3" xfId="1" xr:uid="{8C1A4601-4B09-4BE0-B387-657882E2D017}"/>
  </cellStyles>
  <dxfs count="106"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1" indent="1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indexed="64"/>
        </top>
        <bottom style="thin">
          <color indexed="64"/>
        </bottom>
      </border>
      <protection locked="1" hidden="0"/>
    </dxf>
    <dxf>
      <border outline="0">
        <top style="thin">
          <color rgb="FF000000"/>
        </top>
      </border>
    </dxf>
    <dxf>
      <border outline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protection locked="0" hidden="0"/>
    </dxf>
    <dxf>
      <border outline="0">
        <bottom style="thin">
          <color rgb="FF000000"/>
        </bottom>
      </border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0"/>
        <name val="Consolas"/>
        <family val="3"/>
        <scheme val="none"/>
      </font>
      <fill>
        <patternFill patternType="solid">
          <fgColor indexed="64"/>
          <bgColor theme="1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</border>
      <protection locked="0" hidden="0"/>
    </dxf>
    <dxf>
      <font>
        <color rgb="FFFFFF00"/>
      </font>
      <fill>
        <patternFill>
          <bgColor rgb="FF00B050"/>
        </patternFill>
      </fill>
    </dxf>
    <dxf>
      <font>
        <color theme="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1" indent="1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indexed="64"/>
        </top>
        <bottom style="thin">
          <color indexed="64"/>
        </bottom>
      </border>
      <protection locked="1" hidden="0"/>
    </dxf>
    <dxf>
      <border outline="0">
        <top style="thin">
          <color rgb="FF000000"/>
        </top>
      </border>
    </dxf>
    <dxf>
      <border outline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protection locked="0" hidden="0"/>
    </dxf>
    <dxf>
      <border outline="0">
        <bottom style="thin">
          <color rgb="FF000000"/>
        </bottom>
      </border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0"/>
        <name val="Consolas"/>
        <family val="3"/>
        <scheme val="none"/>
      </font>
      <fill>
        <patternFill patternType="solid">
          <fgColor indexed="64"/>
          <bgColor theme="1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</border>
      <protection locked="0" hidden="0"/>
    </dxf>
    <dxf>
      <font>
        <color rgb="FFFFFF00"/>
      </font>
      <fill>
        <patternFill>
          <bgColor rgb="FF00B050"/>
        </patternFill>
      </fill>
    </dxf>
    <dxf>
      <font>
        <color theme="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1" indent="1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indexed="64"/>
        </top>
        <bottom style="thin">
          <color indexed="64"/>
        </bottom>
      </border>
      <protection locked="1" hidden="0"/>
    </dxf>
    <dxf>
      <border outline="0">
        <top style="thin">
          <color rgb="FF000000"/>
        </top>
      </border>
    </dxf>
    <dxf>
      <border outline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protection locked="0" hidden="0"/>
    </dxf>
    <dxf>
      <border outline="0">
        <bottom style="thin">
          <color rgb="FF000000"/>
        </bottom>
      </border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0"/>
        <name val="Consolas"/>
        <family val="3"/>
        <scheme val="none"/>
      </font>
      <fill>
        <patternFill patternType="solid">
          <fgColor indexed="64"/>
          <bgColor theme="1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</border>
      <protection locked="0" hidden="0"/>
    </dxf>
    <dxf>
      <font>
        <color rgb="FFFFFF00"/>
      </font>
      <fill>
        <patternFill>
          <bgColor rgb="FF00B050"/>
        </patternFill>
      </fill>
    </dxf>
    <dxf>
      <font>
        <color theme="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1" indent="1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indexed="64"/>
        </top>
        <bottom style="thin">
          <color indexed="64"/>
        </bottom>
      </border>
      <protection locked="1" hidden="0"/>
    </dxf>
    <dxf>
      <border outline="0">
        <top style="thin">
          <color rgb="FF000000"/>
        </top>
      </border>
    </dxf>
    <dxf>
      <border outline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protection locked="0" hidden="0"/>
    </dxf>
    <dxf>
      <border outline="0">
        <bottom style="thin">
          <color rgb="FF000000"/>
        </bottom>
      </border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0"/>
        <name val="Consolas"/>
        <family val="3"/>
        <scheme val="none"/>
      </font>
      <fill>
        <patternFill patternType="solid">
          <fgColor indexed="64"/>
          <bgColor theme="1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</border>
      <protection locked="0" hidden="0"/>
    </dxf>
    <dxf>
      <font>
        <color rgb="FFFFFF00"/>
      </font>
      <fill>
        <patternFill>
          <bgColor rgb="FF00B050"/>
        </patternFill>
      </fill>
    </dxf>
    <dxf>
      <font>
        <color theme="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1" indent="1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indexed="64"/>
        </top>
        <bottom style="thin">
          <color indexed="64"/>
        </bottom>
      </border>
      <protection locked="1" hidden="0"/>
    </dxf>
    <dxf>
      <border outline="0">
        <top style="thin">
          <color rgb="FF000000"/>
        </top>
      </border>
    </dxf>
    <dxf>
      <border outline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protection locked="0" hidden="0"/>
    </dxf>
    <dxf>
      <border outline="0">
        <bottom style="thin">
          <color rgb="FF000000"/>
        </bottom>
      </border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0"/>
        <name val="Consolas"/>
        <family val="3"/>
        <scheme val="none"/>
      </font>
      <fill>
        <patternFill patternType="solid">
          <fgColor indexed="64"/>
          <bgColor theme="1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</border>
      <protection locked="0" hidden="0"/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ont>
        <color rgb="FFFFFF00"/>
      </font>
      <fill>
        <patternFill>
          <bgColor rgb="FF00B050"/>
        </patternFill>
      </fill>
    </dxf>
    <dxf>
      <font>
        <color theme="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externalLink" Target="externalLinks/externalLink2.xml"/><Relationship Id="rId18" Type="http://schemas.microsoft.com/office/2017/10/relationships/person" Target="persons/perso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externalLink" Target="externalLinks/externalLink1.xml"/><Relationship Id="rId17" Type="http://schemas.openxmlformats.org/officeDocument/2006/relationships/sheetMetadata" Target="metadata.xml"/><Relationship Id="rId2" Type="http://schemas.openxmlformats.org/officeDocument/2006/relationships/worksheet" Target="worksheets/sheet2.xml"/><Relationship Id="rId16" Type="http://schemas.openxmlformats.org/officeDocument/2006/relationships/sharedStrings" Target="sharedStrings.xml"/><Relationship Id="rId20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tyles" Target="styles.xml"/><Relationship Id="rId10" Type="http://schemas.openxmlformats.org/officeDocument/2006/relationships/worksheet" Target="worksheets/sheet10.xml"/><Relationship Id="rId19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4</xdr:col>
      <xdr:colOff>359226</xdr:colOff>
      <xdr:row>16</xdr:row>
      <xdr:rowOff>170853</xdr:rowOff>
    </xdr:from>
    <xdr:to>
      <xdr:col>9</xdr:col>
      <xdr:colOff>1850570</xdr:colOff>
      <xdr:row>28</xdr:row>
      <xdr:rowOff>130629</xdr:rowOff>
    </xdr:to>
    <xdr:pic>
      <xdr:nvPicPr>
        <xdr:cNvPr id="6" name="Picture 5">
          <a:extLst>
            <a:ext uri="{FF2B5EF4-FFF2-40B4-BE49-F238E27FC236}">
              <a16:creationId xmlns:a16="http://schemas.microsoft.com/office/drawing/2014/main" id="{00000000-0008-0000-0000-00000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251855" y="6070910"/>
          <a:ext cx="8828315" cy="2180462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80678</xdr:colOff>
      <xdr:row>3</xdr:row>
      <xdr:rowOff>0</xdr:rowOff>
    </xdr:from>
    <xdr:to>
      <xdr:col>4</xdr:col>
      <xdr:colOff>490390</xdr:colOff>
      <xdr:row>6</xdr:row>
      <xdr:rowOff>21336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GrpSpPr/>
      </xdr:nvGrpSpPr>
      <xdr:grpSpPr>
        <a:xfrm>
          <a:off x="80678" y="594360"/>
          <a:ext cx="6117092" cy="569976"/>
          <a:chOff x="1407095" y="770965"/>
          <a:chExt cx="6129195" cy="559218"/>
        </a:xfrm>
      </xdr:grpSpPr>
      <xdr:sp macro="" textlink="">
        <xdr:nvSpPr>
          <xdr:cNvPr id="3" name="Rectangle 2">
            <a:extLst>
              <a:ext uri="{FF2B5EF4-FFF2-40B4-BE49-F238E27FC236}">
                <a16:creationId xmlns:a16="http://schemas.microsoft.com/office/drawing/2014/main" id="{00000000-0008-0000-0200-000003000000}"/>
              </a:ext>
            </a:extLst>
          </xdr:cNvPr>
          <xdr:cNvSpPr/>
        </xdr:nvSpPr>
        <xdr:spPr>
          <a:xfrm>
            <a:off x="1407095" y="770965"/>
            <a:ext cx="6129195" cy="559218"/>
          </a:xfrm>
          <a:prstGeom prst="rect">
            <a:avLst/>
          </a:prstGeom>
          <a:solidFill>
            <a:schemeClr val="bg1">
              <a:lumMod val="85000"/>
            </a:schemeClr>
          </a:solidFill>
          <a:ln>
            <a:noFill/>
          </a:ln>
        </xdr:spPr>
        <xdr:style>
          <a:lnRef idx="2">
            <a:schemeClr val="accent6"/>
          </a:lnRef>
          <a:fillRef idx="1">
            <a:schemeClr val="lt1"/>
          </a:fillRef>
          <a:effectRef idx="0">
            <a:schemeClr val="accent6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99329" name="Button 1" hidden="1">
                <a:extLst>
                  <a:ext uri="{63B3BB69-23CF-44E3-9099-C40C66FF867C}">
                    <a14:compatExt spid="_x0000_s99329"/>
                  </a:ext>
                  <a:ext uri="{FF2B5EF4-FFF2-40B4-BE49-F238E27FC236}">
                    <a16:creationId xmlns:a16="http://schemas.microsoft.com/office/drawing/2014/main" id="{00000000-0008-0000-0200-000001840100}"/>
                  </a:ext>
                </a:extLst>
              </xdr:cNvPr>
              <xdr:cNvSpPr/>
            </xdr:nvSpPr>
            <xdr:spPr bwMode="auto">
              <a:xfrm>
                <a:off x="1505272" y="848758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0000"/>
                    </a:solidFill>
                    <a:latin typeface="Calibri"/>
                    <a:cs typeface="Calibri"/>
                  </a:rPr>
                  <a:t>Initialize Sheet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99330" name="Button 2" hidden="1">
                <a:extLst>
                  <a:ext uri="{63B3BB69-23CF-44E3-9099-C40C66FF867C}">
                    <a14:compatExt spid="_x0000_s99330"/>
                  </a:ext>
                  <a:ext uri="{FF2B5EF4-FFF2-40B4-BE49-F238E27FC236}">
                    <a16:creationId xmlns:a16="http://schemas.microsoft.com/office/drawing/2014/main" id="{00000000-0008-0000-0200-000002840100}"/>
                  </a:ext>
                </a:extLst>
              </xdr:cNvPr>
              <xdr:cNvSpPr/>
            </xdr:nvSpPr>
            <xdr:spPr bwMode="auto">
              <a:xfrm>
                <a:off x="3512823" y="847229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339966"/>
                    </a:solidFill>
                    <a:latin typeface="Calibri"/>
                    <a:cs typeface="Calibri"/>
                  </a:rPr>
                  <a:t>Push Data to MATLAB®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99331" name="Button 3" hidden="1">
                <a:extLst>
                  <a:ext uri="{63B3BB69-23CF-44E3-9099-C40C66FF867C}">
                    <a14:compatExt spid="_x0000_s99331"/>
                  </a:ext>
                  <a:ext uri="{FF2B5EF4-FFF2-40B4-BE49-F238E27FC236}">
                    <a16:creationId xmlns:a16="http://schemas.microsoft.com/office/drawing/2014/main" id="{00000000-0008-0000-0200-000003840100}"/>
                  </a:ext>
                </a:extLst>
              </xdr:cNvPr>
              <xdr:cNvSpPr/>
            </xdr:nvSpPr>
            <xdr:spPr bwMode="auto">
              <a:xfrm>
                <a:off x="5524731" y="848758"/>
                <a:ext cx="1914646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9900"/>
                    </a:solidFill>
                    <a:latin typeface="Calibri"/>
                    <a:cs typeface="Calibri"/>
                  </a:rPr>
                  <a:t>Clear Data to MATLAB®</a:t>
                </a:r>
              </a:p>
            </xdr:txBody>
          </xdr:sp>
        </mc:Choice>
        <mc:Fallback/>
      </mc:AlternateContent>
    </xdr:grp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80678</xdr:colOff>
      <xdr:row>3</xdr:row>
      <xdr:rowOff>0</xdr:rowOff>
    </xdr:from>
    <xdr:to>
      <xdr:col>4</xdr:col>
      <xdr:colOff>490390</xdr:colOff>
      <xdr:row>6</xdr:row>
      <xdr:rowOff>21336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GrpSpPr/>
      </xdr:nvGrpSpPr>
      <xdr:grpSpPr>
        <a:xfrm>
          <a:off x="80678" y="594360"/>
          <a:ext cx="6117092" cy="569976"/>
          <a:chOff x="1407095" y="770965"/>
          <a:chExt cx="6129195" cy="559218"/>
        </a:xfrm>
      </xdr:grpSpPr>
      <xdr:sp macro="" textlink="">
        <xdr:nvSpPr>
          <xdr:cNvPr id="3" name="Rectangle 2">
            <a:extLst>
              <a:ext uri="{FF2B5EF4-FFF2-40B4-BE49-F238E27FC236}">
                <a16:creationId xmlns:a16="http://schemas.microsoft.com/office/drawing/2014/main" id="{00000000-0008-0000-0300-000003000000}"/>
              </a:ext>
            </a:extLst>
          </xdr:cNvPr>
          <xdr:cNvSpPr/>
        </xdr:nvSpPr>
        <xdr:spPr>
          <a:xfrm>
            <a:off x="1407095" y="770965"/>
            <a:ext cx="6129195" cy="559218"/>
          </a:xfrm>
          <a:prstGeom prst="rect">
            <a:avLst/>
          </a:prstGeom>
          <a:solidFill>
            <a:schemeClr val="bg1">
              <a:lumMod val="85000"/>
            </a:schemeClr>
          </a:solidFill>
          <a:ln>
            <a:noFill/>
          </a:ln>
        </xdr:spPr>
        <xdr:style>
          <a:lnRef idx="2">
            <a:schemeClr val="accent6"/>
          </a:lnRef>
          <a:fillRef idx="1">
            <a:schemeClr val="lt1"/>
          </a:fillRef>
          <a:effectRef idx="0">
            <a:schemeClr val="accent6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00353" name="Button 1" hidden="1">
                <a:extLst>
                  <a:ext uri="{63B3BB69-23CF-44E3-9099-C40C66FF867C}">
                    <a14:compatExt spid="_x0000_s100353"/>
                  </a:ext>
                  <a:ext uri="{FF2B5EF4-FFF2-40B4-BE49-F238E27FC236}">
                    <a16:creationId xmlns:a16="http://schemas.microsoft.com/office/drawing/2014/main" id="{00000000-0008-0000-0300-000001880100}"/>
                  </a:ext>
                </a:extLst>
              </xdr:cNvPr>
              <xdr:cNvSpPr/>
            </xdr:nvSpPr>
            <xdr:spPr bwMode="auto">
              <a:xfrm>
                <a:off x="1505272" y="848758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0000"/>
                    </a:solidFill>
                    <a:latin typeface="Calibri"/>
                    <a:cs typeface="Calibri"/>
                  </a:rPr>
                  <a:t>Initialize Sheet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00354" name="Button 2" hidden="1">
                <a:extLst>
                  <a:ext uri="{63B3BB69-23CF-44E3-9099-C40C66FF867C}">
                    <a14:compatExt spid="_x0000_s100354"/>
                  </a:ext>
                  <a:ext uri="{FF2B5EF4-FFF2-40B4-BE49-F238E27FC236}">
                    <a16:creationId xmlns:a16="http://schemas.microsoft.com/office/drawing/2014/main" id="{00000000-0008-0000-0300-000002880100}"/>
                  </a:ext>
                </a:extLst>
              </xdr:cNvPr>
              <xdr:cNvSpPr/>
            </xdr:nvSpPr>
            <xdr:spPr bwMode="auto">
              <a:xfrm>
                <a:off x="3512823" y="847229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339966"/>
                    </a:solidFill>
                    <a:latin typeface="Calibri"/>
                    <a:cs typeface="Calibri"/>
                  </a:rPr>
                  <a:t>Push Data to MATLAB®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00355" name="Button 3" hidden="1">
                <a:extLst>
                  <a:ext uri="{63B3BB69-23CF-44E3-9099-C40C66FF867C}">
                    <a14:compatExt spid="_x0000_s100355"/>
                  </a:ext>
                  <a:ext uri="{FF2B5EF4-FFF2-40B4-BE49-F238E27FC236}">
                    <a16:creationId xmlns:a16="http://schemas.microsoft.com/office/drawing/2014/main" id="{00000000-0008-0000-0300-000003880100}"/>
                  </a:ext>
                </a:extLst>
              </xdr:cNvPr>
              <xdr:cNvSpPr/>
            </xdr:nvSpPr>
            <xdr:spPr bwMode="auto">
              <a:xfrm>
                <a:off x="5524731" y="848758"/>
                <a:ext cx="1914646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9900"/>
                    </a:solidFill>
                    <a:latin typeface="Calibri"/>
                    <a:cs typeface="Calibri"/>
                  </a:rPr>
                  <a:t>Clear Data to MATLAB®</a:t>
                </a:r>
              </a:p>
            </xdr:txBody>
          </xdr:sp>
        </mc:Choice>
        <mc:Fallback/>
      </mc:AlternateContent>
    </xdr:grp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80678</xdr:colOff>
      <xdr:row>3</xdr:row>
      <xdr:rowOff>0</xdr:rowOff>
    </xdr:from>
    <xdr:to>
      <xdr:col>4</xdr:col>
      <xdr:colOff>490390</xdr:colOff>
      <xdr:row>6</xdr:row>
      <xdr:rowOff>21336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00000000-0008-0000-0400-000002000000}"/>
            </a:ext>
          </a:extLst>
        </xdr:cNvPr>
        <xdr:cNvGrpSpPr/>
      </xdr:nvGrpSpPr>
      <xdr:grpSpPr>
        <a:xfrm>
          <a:off x="80678" y="594360"/>
          <a:ext cx="6117092" cy="569976"/>
          <a:chOff x="1407095" y="770965"/>
          <a:chExt cx="6129195" cy="559218"/>
        </a:xfrm>
      </xdr:grpSpPr>
      <xdr:sp macro="" textlink="">
        <xdr:nvSpPr>
          <xdr:cNvPr id="3" name="Rectangle 2">
            <a:extLst>
              <a:ext uri="{FF2B5EF4-FFF2-40B4-BE49-F238E27FC236}">
                <a16:creationId xmlns:a16="http://schemas.microsoft.com/office/drawing/2014/main" id="{00000000-0008-0000-0400-000003000000}"/>
              </a:ext>
            </a:extLst>
          </xdr:cNvPr>
          <xdr:cNvSpPr/>
        </xdr:nvSpPr>
        <xdr:spPr>
          <a:xfrm>
            <a:off x="1407095" y="770965"/>
            <a:ext cx="6129195" cy="559218"/>
          </a:xfrm>
          <a:prstGeom prst="rect">
            <a:avLst/>
          </a:prstGeom>
          <a:solidFill>
            <a:schemeClr val="bg1">
              <a:lumMod val="85000"/>
            </a:schemeClr>
          </a:solidFill>
          <a:ln>
            <a:noFill/>
          </a:ln>
        </xdr:spPr>
        <xdr:style>
          <a:lnRef idx="2">
            <a:schemeClr val="accent6"/>
          </a:lnRef>
          <a:fillRef idx="1">
            <a:schemeClr val="lt1"/>
          </a:fillRef>
          <a:effectRef idx="0">
            <a:schemeClr val="accent6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01377" name="Button 1" hidden="1">
                <a:extLst>
                  <a:ext uri="{63B3BB69-23CF-44E3-9099-C40C66FF867C}">
                    <a14:compatExt spid="_x0000_s101377"/>
                  </a:ext>
                  <a:ext uri="{FF2B5EF4-FFF2-40B4-BE49-F238E27FC236}">
                    <a16:creationId xmlns:a16="http://schemas.microsoft.com/office/drawing/2014/main" id="{00000000-0008-0000-0400-0000018C0100}"/>
                  </a:ext>
                </a:extLst>
              </xdr:cNvPr>
              <xdr:cNvSpPr/>
            </xdr:nvSpPr>
            <xdr:spPr bwMode="auto">
              <a:xfrm>
                <a:off x="1505272" y="848758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0000"/>
                    </a:solidFill>
                    <a:latin typeface="Calibri"/>
                    <a:cs typeface="Calibri"/>
                  </a:rPr>
                  <a:t>Initialize Sheet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01378" name="Button 2" hidden="1">
                <a:extLst>
                  <a:ext uri="{63B3BB69-23CF-44E3-9099-C40C66FF867C}">
                    <a14:compatExt spid="_x0000_s101378"/>
                  </a:ext>
                  <a:ext uri="{FF2B5EF4-FFF2-40B4-BE49-F238E27FC236}">
                    <a16:creationId xmlns:a16="http://schemas.microsoft.com/office/drawing/2014/main" id="{00000000-0008-0000-0400-0000028C0100}"/>
                  </a:ext>
                </a:extLst>
              </xdr:cNvPr>
              <xdr:cNvSpPr/>
            </xdr:nvSpPr>
            <xdr:spPr bwMode="auto">
              <a:xfrm>
                <a:off x="3512823" y="847229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339966"/>
                    </a:solidFill>
                    <a:latin typeface="Calibri"/>
                    <a:cs typeface="Calibri"/>
                  </a:rPr>
                  <a:t>Push Data to MATLAB®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01379" name="Button 3" hidden="1">
                <a:extLst>
                  <a:ext uri="{63B3BB69-23CF-44E3-9099-C40C66FF867C}">
                    <a14:compatExt spid="_x0000_s101379"/>
                  </a:ext>
                  <a:ext uri="{FF2B5EF4-FFF2-40B4-BE49-F238E27FC236}">
                    <a16:creationId xmlns:a16="http://schemas.microsoft.com/office/drawing/2014/main" id="{00000000-0008-0000-0400-0000038C0100}"/>
                  </a:ext>
                </a:extLst>
              </xdr:cNvPr>
              <xdr:cNvSpPr/>
            </xdr:nvSpPr>
            <xdr:spPr bwMode="auto">
              <a:xfrm>
                <a:off x="5524731" y="848758"/>
                <a:ext cx="1914646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9900"/>
                    </a:solidFill>
                    <a:latin typeface="Calibri"/>
                    <a:cs typeface="Calibri"/>
                  </a:rPr>
                  <a:t>Clear Data to MATLAB®</a:t>
                </a:r>
              </a:p>
            </xdr:txBody>
          </xdr:sp>
        </mc:Choice>
        <mc:Fallback/>
      </mc:AlternateContent>
    </xdr:grp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80678</xdr:colOff>
      <xdr:row>3</xdr:row>
      <xdr:rowOff>0</xdr:rowOff>
    </xdr:from>
    <xdr:to>
      <xdr:col>4</xdr:col>
      <xdr:colOff>490390</xdr:colOff>
      <xdr:row>6</xdr:row>
      <xdr:rowOff>21336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00000000-0008-0000-0500-000002000000}"/>
            </a:ext>
          </a:extLst>
        </xdr:cNvPr>
        <xdr:cNvGrpSpPr/>
      </xdr:nvGrpSpPr>
      <xdr:grpSpPr>
        <a:xfrm>
          <a:off x="80678" y="594360"/>
          <a:ext cx="6117092" cy="569976"/>
          <a:chOff x="1407095" y="770965"/>
          <a:chExt cx="6129195" cy="559218"/>
        </a:xfrm>
      </xdr:grpSpPr>
      <xdr:sp macro="" textlink="">
        <xdr:nvSpPr>
          <xdr:cNvPr id="3" name="Rectangle 2">
            <a:extLst>
              <a:ext uri="{FF2B5EF4-FFF2-40B4-BE49-F238E27FC236}">
                <a16:creationId xmlns:a16="http://schemas.microsoft.com/office/drawing/2014/main" id="{00000000-0008-0000-0500-000003000000}"/>
              </a:ext>
            </a:extLst>
          </xdr:cNvPr>
          <xdr:cNvSpPr/>
        </xdr:nvSpPr>
        <xdr:spPr>
          <a:xfrm>
            <a:off x="1407095" y="770965"/>
            <a:ext cx="6129195" cy="559218"/>
          </a:xfrm>
          <a:prstGeom prst="rect">
            <a:avLst/>
          </a:prstGeom>
          <a:solidFill>
            <a:schemeClr val="bg1">
              <a:lumMod val="85000"/>
            </a:schemeClr>
          </a:solidFill>
          <a:ln>
            <a:noFill/>
          </a:ln>
        </xdr:spPr>
        <xdr:style>
          <a:lnRef idx="2">
            <a:schemeClr val="accent6"/>
          </a:lnRef>
          <a:fillRef idx="1">
            <a:schemeClr val="lt1"/>
          </a:fillRef>
          <a:effectRef idx="0">
            <a:schemeClr val="accent6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92161" name="Button 1" hidden="1">
                <a:extLst>
                  <a:ext uri="{63B3BB69-23CF-44E3-9099-C40C66FF867C}">
                    <a14:compatExt spid="_x0000_s92161"/>
                  </a:ext>
                  <a:ext uri="{FF2B5EF4-FFF2-40B4-BE49-F238E27FC236}">
                    <a16:creationId xmlns:a16="http://schemas.microsoft.com/office/drawing/2014/main" id="{00000000-0008-0000-0500-000001680100}"/>
                  </a:ext>
                </a:extLst>
              </xdr:cNvPr>
              <xdr:cNvSpPr/>
            </xdr:nvSpPr>
            <xdr:spPr bwMode="auto">
              <a:xfrm>
                <a:off x="1505272" y="848758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0000"/>
                    </a:solidFill>
                    <a:latin typeface="Calibri"/>
                    <a:cs typeface="Calibri"/>
                  </a:rPr>
                  <a:t>Initialize Sheet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92162" name="Button 2" hidden="1">
                <a:extLst>
                  <a:ext uri="{63B3BB69-23CF-44E3-9099-C40C66FF867C}">
                    <a14:compatExt spid="_x0000_s92162"/>
                  </a:ext>
                  <a:ext uri="{FF2B5EF4-FFF2-40B4-BE49-F238E27FC236}">
                    <a16:creationId xmlns:a16="http://schemas.microsoft.com/office/drawing/2014/main" id="{00000000-0008-0000-0500-000002680100}"/>
                  </a:ext>
                </a:extLst>
              </xdr:cNvPr>
              <xdr:cNvSpPr/>
            </xdr:nvSpPr>
            <xdr:spPr bwMode="auto">
              <a:xfrm>
                <a:off x="3512823" y="847229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339966"/>
                    </a:solidFill>
                    <a:latin typeface="Calibri"/>
                    <a:cs typeface="Calibri"/>
                  </a:rPr>
                  <a:t>Push Data to MATLAB®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92163" name="Button 3" hidden="1">
                <a:extLst>
                  <a:ext uri="{63B3BB69-23CF-44E3-9099-C40C66FF867C}">
                    <a14:compatExt spid="_x0000_s92163"/>
                  </a:ext>
                  <a:ext uri="{FF2B5EF4-FFF2-40B4-BE49-F238E27FC236}">
                    <a16:creationId xmlns:a16="http://schemas.microsoft.com/office/drawing/2014/main" id="{00000000-0008-0000-0500-000003680100}"/>
                  </a:ext>
                </a:extLst>
              </xdr:cNvPr>
              <xdr:cNvSpPr/>
            </xdr:nvSpPr>
            <xdr:spPr bwMode="auto">
              <a:xfrm>
                <a:off x="5524731" y="848758"/>
                <a:ext cx="1914646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9900"/>
                    </a:solidFill>
                    <a:latin typeface="Calibri"/>
                    <a:cs typeface="Calibri"/>
                  </a:rPr>
                  <a:t>Clear Data to MATLAB®</a:t>
                </a:r>
              </a:p>
            </xdr:txBody>
          </xdr:sp>
        </mc:Choice>
        <mc:Fallback/>
      </mc:AlternateContent>
    </xdr:grp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80678</xdr:colOff>
      <xdr:row>3</xdr:row>
      <xdr:rowOff>0</xdr:rowOff>
    </xdr:from>
    <xdr:to>
      <xdr:col>4</xdr:col>
      <xdr:colOff>490390</xdr:colOff>
      <xdr:row>6</xdr:row>
      <xdr:rowOff>21336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00000000-0008-0000-0600-000002000000}"/>
            </a:ext>
          </a:extLst>
        </xdr:cNvPr>
        <xdr:cNvGrpSpPr/>
      </xdr:nvGrpSpPr>
      <xdr:grpSpPr>
        <a:xfrm>
          <a:off x="80678" y="594360"/>
          <a:ext cx="6117092" cy="569976"/>
          <a:chOff x="1407095" y="770965"/>
          <a:chExt cx="6129195" cy="559218"/>
        </a:xfrm>
      </xdr:grpSpPr>
      <xdr:sp macro="" textlink="">
        <xdr:nvSpPr>
          <xdr:cNvPr id="3" name="Rectangle 2">
            <a:extLst>
              <a:ext uri="{FF2B5EF4-FFF2-40B4-BE49-F238E27FC236}">
                <a16:creationId xmlns:a16="http://schemas.microsoft.com/office/drawing/2014/main" id="{00000000-0008-0000-0600-000003000000}"/>
              </a:ext>
            </a:extLst>
          </xdr:cNvPr>
          <xdr:cNvSpPr/>
        </xdr:nvSpPr>
        <xdr:spPr>
          <a:xfrm>
            <a:off x="1407095" y="770965"/>
            <a:ext cx="6129195" cy="559218"/>
          </a:xfrm>
          <a:prstGeom prst="rect">
            <a:avLst/>
          </a:prstGeom>
          <a:solidFill>
            <a:schemeClr val="bg1">
              <a:lumMod val="85000"/>
            </a:schemeClr>
          </a:solidFill>
          <a:ln>
            <a:noFill/>
          </a:ln>
        </xdr:spPr>
        <xdr:style>
          <a:lnRef idx="2">
            <a:schemeClr val="accent6"/>
          </a:lnRef>
          <a:fillRef idx="1">
            <a:schemeClr val="lt1"/>
          </a:fillRef>
          <a:effectRef idx="0">
            <a:schemeClr val="accent6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91137" name="Button 1" hidden="1">
                <a:extLst>
                  <a:ext uri="{63B3BB69-23CF-44E3-9099-C40C66FF867C}">
                    <a14:compatExt spid="_x0000_s91137"/>
                  </a:ext>
                  <a:ext uri="{FF2B5EF4-FFF2-40B4-BE49-F238E27FC236}">
                    <a16:creationId xmlns:a16="http://schemas.microsoft.com/office/drawing/2014/main" id="{00000000-0008-0000-0600-000001640100}"/>
                  </a:ext>
                </a:extLst>
              </xdr:cNvPr>
              <xdr:cNvSpPr/>
            </xdr:nvSpPr>
            <xdr:spPr bwMode="auto">
              <a:xfrm>
                <a:off x="1505272" y="848758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0000"/>
                    </a:solidFill>
                    <a:latin typeface="Calibri"/>
                    <a:cs typeface="Calibri"/>
                  </a:rPr>
                  <a:t>Initialize Sheet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91138" name="Button 2" hidden="1">
                <a:extLst>
                  <a:ext uri="{63B3BB69-23CF-44E3-9099-C40C66FF867C}">
                    <a14:compatExt spid="_x0000_s91138"/>
                  </a:ext>
                  <a:ext uri="{FF2B5EF4-FFF2-40B4-BE49-F238E27FC236}">
                    <a16:creationId xmlns:a16="http://schemas.microsoft.com/office/drawing/2014/main" id="{00000000-0008-0000-0600-000002640100}"/>
                  </a:ext>
                </a:extLst>
              </xdr:cNvPr>
              <xdr:cNvSpPr/>
            </xdr:nvSpPr>
            <xdr:spPr bwMode="auto">
              <a:xfrm>
                <a:off x="3512823" y="847229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339966"/>
                    </a:solidFill>
                    <a:latin typeface="Calibri"/>
                    <a:cs typeface="Calibri"/>
                  </a:rPr>
                  <a:t>Push Data to MATLAB®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91139" name="Button 3" hidden="1">
                <a:extLst>
                  <a:ext uri="{63B3BB69-23CF-44E3-9099-C40C66FF867C}">
                    <a14:compatExt spid="_x0000_s91139"/>
                  </a:ext>
                  <a:ext uri="{FF2B5EF4-FFF2-40B4-BE49-F238E27FC236}">
                    <a16:creationId xmlns:a16="http://schemas.microsoft.com/office/drawing/2014/main" id="{00000000-0008-0000-0600-000003640100}"/>
                  </a:ext>
                </a:extLst>
              </xdr:cNvPr>
              <xdr:cNvSpPr/>
            </xdr:nvSpPr>
            <xdr:spPr bwMode="auto">
              <a:xfrm>
                <a:off x="5524731" y="848758"/>
                <a:ext cx="1914646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9900"/>
                    </a:solidFill>
                    <a:latin typeface="Calibri"/>
                    <a:cs typeface="Calibri"/>
                  </a:rPr>
                  <a:t>Clear Data to MATLAB®</a:t>
                </a:r>
              </a:p>
            </xdr:txBody>
          </xdr:sp>
        </mc:Choice>
        <mc:Fallback/>
      </mc:AlternateContent>
    </xdr:grpSp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4.1_cycle_organization.xlsm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0.1_simulation_configurations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Revision History"/>
      <sheetName val="Initialization"/>
      <sheetName val="Cycle Information"/>
      <sheetName val="Cycle Organizer"/>
      <sheetName val="Cycle Organizer Save"/>
      <sheetName val="Cycle Organizer Test"/>
      <sheetName val="Reference"/>
      <sheetName val="Cycle Organizer Kayser"/>
      <sheetName val="PFD"/>
      <sheetName val="Cv"/>
      <sheetName val="Cv Estimator"/>
      <sheetName val="Events"/>
      <sheetName val="maintenance check list"/>
      <sheetName val="Data(Transposed)"/>
      <sheetName val="Data(Test)"/>
    </sheetNames>
    <sheetDataSet>
      <sheetData sheetId="0"/>
      <sheetData sheetId="1">
        <row r="10">
          <cell r="B10">
            <v>2</v>
          </cell>
        </row>
      </sheetData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Revision History"/>
      <sheetName val="Initialization"/>
      <sheetName val="Model Selection"/>
      <sheetName val="Help"/>
      <sheetName val="Reference"/>
      <sheetName val="maintenance check list"/>
      <sheetName val="Data(Transposed)"/>
      <sheetName val="Data(Test)"/>
    </sheetNames>
    <sheetDataSet>
      <sheetData sheetId="0"/>
      <sheetData sheetId="1">
        <row r="12">
          <cell r="B12">
            <v>1</v>
          </cell>
        </row>
        <row r="14">
          <cell r="B14">
            <v>0</v>
          </cell>
        </row>
      </sheetData>
      <sheetData sheetId="2"/>
      <sheetData sheetId="3"/>
      <sheetData sheetId="4"/>
      <sheetData sheetId="5"/>
      <sheetData sheetId="6"/>
      <sheetData sheetId="7"/>
    </sheetDataSet>
  </externalBook>
</externalLink>
</file>

<file path=xl/persons/person.xml><?xml version="1.0" encoding="utf-8"?>
<personList xmlns="http://schemas.microsoft.com/office/spreadsheetml/2018/threadedcomments" xmlns:x="http://schemas.openxmlformats.org/spreadsheetml/2006/main">
  <person displayName="Kim, Taehun" id="{7F98AE94-13FB-49E1-9262-339C11E0EDB4}" userId="S::tkim333@gatech.edu::502a0426-0762-42ba-82fd-8518d13dce1d" providerId="AD"/>
</personList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6368CC79-772E-9B4B-8FA4-75F79F61FAB4}" name="Table11023672" displayName="Table11023672" ref="A8:J11" totalsRowShown="0" headerRowDxfId="97" dataDxfId="95" headerRowBorderDxfId="96" tableBorderDxfId="94" totalsRowBorderDxfId="93">
  <autoFilter ref="A8:J11" xr:uid="{B089C5C3-2CCE-4800-96CA-2131BB6E3E4F}"/>
  <tableColumns count="10">
    <tableColumn id="1" xr3:uid="{01DA0223-22CE-CB4E-9C47-1047FC8A078F}" name="Variable" dataDxfId="92"/>
    <tableColumn id="4" xr3:uid="{110051F6-3772-A341-9694-7D507809966D}" name="Value" dataDxfId="91"/>
    <tableColumn id="5" xr3:uid="{28A9A765-BB6C-1F4D-B83A-3F0DF09B60A5}" name="Unit" dataDxfId="90"/>
    <tableColumn id="6" xr3:uid="{D749D5D3-E113-0E44-ADF2-A62ECDA49D26}" name="Comparisons" dataDxfId="89"/>
    <tableColumn id="7" xr3:uid="{5E3ABE4C-42C0-D042-94C1-90F16FB3EE78}" name="Variable Type" dataDxfId="88"/>
    <tableColumn id="8" xr3:uid="{7A3DFEE5-7571-1D4F-82D9-2EA2D749032E}" name="Dependency" dataDxfId="87"/>
    <tableColumn id="12" xr3:uid="{2812E4DB-5B84-3049-9318-1F1305A00F4E}" name="Test 1" dataDxfId="86"/>
    <tableColumn id="10" xr3:uid="{76346A87-EAD5-A449-81A6-627159FF804B}" name="Test 2" dataDxfId="85"/>
    <tableColumn id="2" xr3:uid="{FCB7C8A7-1F69-8D4F-9A22-DEFF7CE28A77}" name="Test 3" dataDxfId="84"/>
    <tableColumn id="9" xr3:uid="{5FBD1044-5112-184F-873E-D3AF026E12E8}" name="Description" dataDxfId="83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14A550B7-AAAB-7940-9EB4-B6B92BD58945}" name="Table110236723" displayName="Table110236723" ref="A8:J12" totalsRowShown="0" headerRowDxfId="77" dataDxfId="75" headerRowBorderDxfId="76" tableBorderDxfId="74" totalsRowBorderDxfId="73">
  <autoFilter ref="A8:J12" xr:uid="{B089C5C3-2CCE-4800-96CA-2131BB6E3E4F}"/>
  <tableColumns count="10">
    <tableColumn id="1" xr3:uid="{EB070D1A-267D-FC4E-86FA-AB6400FB112F}" name="Variable" dataDxfId="72"/>
    <tableColumn id="4" xr3:uid="{6BA1C583-FB05-7A40-9383-4EE3D7EBB5A6}" name="Value" dataDxfId="71"/>
    <tableColumn id="5" xr3:uid="{8E37F76F-9A12-F34E-9CC2-95A754375792}" name="Unit" dataDxfId="70"/>
    <tableColumn id="6" xr3:uid="{7D44E20B-F716-7A42-A266-3EC48E78C0BB}" name="Comparisons" dataDxfId="69"/>
    <tableColumn id="7" xr3:uid="{ED87C482-6AF6-F24B-ADC4-B7D1E2FA62B5}" name="Variable Type" dataDxfId="68"/>
    <tableColumn id="8" xr3:uid="{AF4C12D0-D409-4C40-A0CB-670FFF5D7D14}" name="Dependency" dataDxfId="67"/>
    <tableColumn id="12" xr3:uid="{E4463107-7A12-8843-AA11-7F3315B04820}" name="Test 1" dataDxfId="66"/>
    <tableColumn id="10" xr3:uid="{952C86A5-160A-6B44-92F4-DA9050108B20}" name="Test 2" dataDxfId="65"/>
    <tableColumn id="2" xr3:uid="{94373CB7-B657-BC41-A812-5EE2BC744030}" name="Test 3" dataDxfId="64"/>
    <tableColumn id="9" xr3:uid="{CCDF193B-8D61-CC44-8377-03024848C399}" name="Description" dataDxfId="63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C3ABCB16-E997-2348-AC98-9388583A8142}" name="Table1102367234" displayName="Table1102367234" ref="A8:J11" totalsRowShown="0" headerRowDxfId="54" dataDxfId="52" headerRowBorderDxfId="53" tableBorderDxfId="51" totalsRowBorderDxfId="50">
  <autoFilter ref="A8:J11" xr:uid="{B089C5C3-2CCE-4800-96CA-2131BB6E3E4F}"/>
  <tableColumns count="10">
    <tableColumn id="1" xr3:uid="{732501C0-E026-284D-B155-9A33B2B17600}" name="Variable" dataDxfId="49"/>
    <tableColumn id="4" xr3:uid="{CB111A13-20F0-9247-A014-A93122AA9E1C}" name="Value" dataDxfId="48"/>
    <tableColumn id="5" xr3:uid="{ED2D8929-C2F5-374F-B8C9-4B3472CD90F4}" name="Unit" dataDxfId="47"/>
    <tableColumn id="6" xr3:uid="{198489CA-F45F-7646-81E3-E760607C7908}" name="Comparisons" dataDxfId="46"/>
    <tableColumn id="7" xr3:uid="{DD70562F-3B71-254A-8B18-3EE4CB0322EF}" name="Variable Type" dataDxfId="45"/>
    <tableColumn id="8" xr3:uid="{E9A76945-4B8A-2D47-866C-77B1639DE62B}" name="Dependency" dataDxfId="44"/>
    <tableColumn id="12" xr3:uid="{F70FC7F1-1958-E74C-846F-D01FE0A82638}" name="Test 1" dataDxfId="43"/>
    <tableColumn id="10" xr3:uid="{62D2D5D5-C9D1-BE42-8772-B460D2095377}" name="Test 2" dataDxfId="42"/>
    <tableColumn id="2" xr3:uid="{B86B77BE-9293-DC45-96B3-E49A6C6240F0}" name="Test 3" dataDxfId="41"/>
    <tableColumn id="9" xr3:uid="{1526814F-49FB-AA4E-B917-7CCB80188409}" name="Description" dataDxfId="40"/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7894ECB6-9F45-4D66-AD52-F927EECFDE0D}" name="Table1102367" displayName="Table1102367" ref="A8:J16" totalsRowShown="0" headerRowDxfId="34" dataDxfId="32" headerRowBorderDxfId="33" tableBorderDxfId="31" totalsRowBorderDxfId="30">
  <autoFilter ref="A8:J16" xr:uid="{B089C5C3-2CCE-4800-96CA-2131BB6E3E4F}"/>
  <tableColumns count="10">
    <tableColumn id="1" xr3:uid="{649A7866-80DF-41E6-B30C-D79515D3A794}" name="Variable" dataDxfId="29"/>
    <tableColumn id="4" xr3:uid="{1B7C9099-8547-4DD7-A9E2-B725774B3278}" name="Value" dataDxfId="28"/>
    <tableColumn id="5" xr3:uid="{DE8E51CF-F39A-49BE-8ADB-006A27BF49D1}" name="Unit" dataDxfId="27"/>
    <tableColumn id="6" xr3:uid="{1E18E5A8-84AE-4BCE-A03C-6EB014B6C0A8}" name="Comparisons" dataDxfId="26"/>
    <tableColumn id="7" xr3:uid="{27BDE7AA-390E-4E0E-B228-55927BB9787E}" name="Variable Type" dataDxfId="25"/>
    <tableColumn id="8" xr3:uid="{01F08440-7AF0-4C09-89BF-A8CA2A509379}" name="Dependency" dataDxfId="24"/>
    <tableColumn id="12" xr3:uid="{A8F75C8D-4415-418C-8B4C-053532C2C537}" name="Test 1" dataDxfId="23"/>
    <tableColumn id="10" xr3:uid="{C8785F39-41F6-4DF0-A4EE-89820B845800}" name="Test 2" dataDxfId="22"/>
    <tableColumn id="2" xr3:uid="{FEF9A6BC-BB9A-4929-BA3A-474EB9BB7CF1}" name="Test 3" dataDxfId="21"/>
    <tableColumn id="9" xr3:uid="{99B9FDBF-9DA8-4356-865C-410432D0F6B7}" name="Description" dataDxfId="20"/>
  </tableColumns>
  <tableStyleInfo name="TableStyleMedium2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6AEC16BC-838A-4C23-9F2F-D1F820C1C119}" name="Table110236" displayName="Table110236" ref="A8:J13" totalsRowShown="0" headerRowDxfId="14" dataDxfId="12" headerRowBorderDxfId="13" tableBorderDxfId="11" totalsRowBorderDxfId="10">
  <autoFilter ref="A8:J13" xr:uid="{B089C5C3-2CCE-4800-96CA-2131BB6E3E4F}"/>
  <tableColumns count="10">
    <tableColumn id="1" xr3:uid="{3E862B60-96F3-4457-8596-3DCA37BD39D6}" name="Variable" dataDxfId="9"/>
    <tableColumn id="4" xr3:uid="{664B7B39-0A9C-4666-8675-DB2C0B5C05DC}" name="Value" dataDxfId="8"/>
    <tableColumn id="5" xr3:uid="{0D5B0BC8-30B6-4778-A5F9-DAE48CF1B50B}" name="Unit" dataDxfId="7"/>
    <tableColumn id="6" xr3:uid="{EB5AFC2B-0570-478F-900A-245CE1E2ACC4}" name="Comparisons" dataDxfId="6"/>
    <tableColumn id="7" xr3:uid="{DD0B2A4A-5D8A-4AC0-8DD1-DDC1EE553BCC}" name="Variable Type" dataDxfId="5"/>
    <tableColumn id="8" xr3:uid="{4715F5BD-270D-4CA4-A95C-8CF1A5273635}" name="Dependency" dataDxfId="4"/>
    <tableColumn id="12" xr3:uid="{5B091011-3849-4251-9869-40293301771A}" name="Test 1" dataDxfId="3"/>
    <tableColumn id="10" xr3:uid="{794FDB6F-AB9D-42B3-A19B-E1E54E1B62D6}" name="Test 2" dataDxfId="2"/>
    <tableColumn id="2" xr3:uid="{1750D95A-F5C8-483F-95EC-EDCC8913D886}" name="Test 3" dataDxfId="1"/>
    <tableColumn id="9" xr3:uid="{443478B3-66F2-447E-9CA5-5D827478F1B2}" name="Description" dataDxfId="0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threadedComments/threadedComment1.xml><?xml version="1.0" encoding="utf-8"?>
<ThreadedComments xmlns="http://schemas.microsoft.com/office/spreadsheetml/2018/threadedcomments" xmlns:x="http://schemas.openxmlformats.org/spreadsheetml/2006/main">
  <threadedComment ref="G8" dT="2020-11-26T20:01:15.60" personId="{7F98AE94-13FB-49E1-9262-339C11E0EDB4}" id="{855A74DB-6D76-B440-8179-8298933D5524}">
    <text>place 1 if we want to keep the row when re-initializing. Otherwise, leave it as a blank.</text>
  </threadedComment>
  <threadedComment ref="H8" dT="2020-11-26T18:35:03.27" personId="{7F98AE94-13FB-49E1-9262-339C11E0EDB4}" id="{F43C97A6-F7D1-7146-882D-AAA8215A72F1}">
    <text>supply a value greater than 1 if you want to duplicate the row</text>
  </threadedComment>
  <threadedComment ref="I8" dT="2020-11-28T01:53:47.29" personId="{7F98AE94-13FB-49E1-9262-339C11E0EDB4}" id="{33C7DDB6-B0F7-6E4B-9ACB-6463A54CF433}">
    <text>1 means we need to have the variable specified; 0 means we need not have the variable specified</text>
  </threadedComment>
  <threadedComment ref="I8" dT="2020-11-28T01:56:42.32" personId="{7F98AE94-13FB-49E1-9262-339C11E0EDB4}" id="{18C37C84-B0BD-6D47-9E7E-3DF63F148171}" parentId="{33C7DDB6-B0F7-6E4B-9ACB-6463A54CF433}">
    <text>Orange highlighted cells contain if then statement to allow the MATLAB® to check for the right inputs</text>
  </threadedComment>
</ThreadedComments>
</file>

<file path=xl/threadedComments/threadedComment2.xml><?xml version="1.0" encoding="utf-8"?>
<ThreadedComments xmlns="http://schemas.microsoft.com/office/spreadsheetml/2018/threadedcomments" xmlns:x="http://schemas.openxmlformats.org/spreadsheetml/2006/main">
  <threadedComment ref="G8" dT="2020-11-26T20:01:15.60" personId="{7F98AE94-13FB-49E1-9262-339C11E0EDB4}" id="{9A8B1F84-B3DF-164B-A3BA-167595E4E39E}">
    <text>place 1 if we want to keep the row when re-initializing. Otherwise, leave it as a blank.</text>
  </threadedComment>
  <threadedComment ref="H8" dT="2020-11-26T18:35:03.27" personId="{7F98AE94-13FB-49E1-9262-339C11E0EDB4}" id="{DD2DB5E7-0BE2-2741-82E0-81328A4E121F}">
    <text>supply a value greater than 1 if you want to duplicate the row</text>
  </threadedComment>
  <threadedComment ref="I8" dT="2020-11-28T01:53:47.29" personId="{7F98AE94-13FB-49E1-9262-339C11E0EDB4}" id="{45AD0834-D243-D54F-B65B-68EFB1FB2F4E}">
    <text>1 means we need to have the variable specified; 0 means we need not have the variable specified</text>
  </threadedComment>
  <threadedComment ref="I8" dT="2020-11-28T01:56:42.32" personId="{7F98AE94-13FB-49E1-9262-339C11E0EDB4}" id="{0F001209-FFCD-E54B-8623-ACF2BF029126}" parentId="{45AD0834-D243-D54F-B65B-68EFB1FB2F4E}">
    <text>Orange highlighted cells contain if then statement to allow the MATLAB® to check for the right inputs</text>
  </threadedComment>
</ThreadedComments>
</file>

<file path=xl/threadedComments/threadedComment3.xml><?xml version="1.0" encoding="utf-8"?>
<ThreadedComments xmlns="http://schemas.microsoft.com/office/spreadsheetml/2018/threadedcomments" xmlns:x="http://schemas.openxmlformats.org/spreadsheetml/2006/main">
  <threadedComment ref="G8" dT="2020-11-26T20:01:15.60" personId="{7F98AE94-13FB-49E1-9262-339C11E0EDB4}" id="{9F70F694-8BFD-5F45-BAAF-8C96E17EAE71}">
    <text>place 1 if we want to keep the row when re-initializing. Otherwise, leave it as a blank.</text>
  </threadedComment>
  <threadedComment ref="H8" dT="2020-11-26T18:35:03.27" personId="{7F98AE94-13FB-49E1-9262-339C11E0EDB4}" id="{2AB62911-0592-7148-807F-2395912B8CFB}">
    <text>supply a value greater than 1 if you want to duplicate the row</text>
  </threadedComment>
  <threadedComment ref="I8" dT="2020-11-28T01:53:47.29" personId="{7F98AE94-13FB-49E1-9262-339C11E0EDB4}" id="{B9284979-1F53-6C42-B1BB-35E9AA2B6E07}">
    <text>1 means we need to have the variable specified; 0 means we need not have the variable specified</text>
  </threadedComment>
  <threadedComment ref="I8" dT="2020-11-28T01:56:42.32" personId="{7F98AE94-13FB-49E1-9262-339C11E0EDB4}" id="{FBCAE0E2-9D1B-C34A-8A76-F07DA4E921B9}" parentId="{B9284979-1F53-6C42-B1BB-35E9AA2B6E07}">
    <text>Orange highlighted cells contain if then statement to allow the MATLAB® to check for the right inputs</text>
  </threadedComment>
</ThreadedComments>
</file>

<file path=xl/threadedComments/threadedComment4.xml><?xml version="1.0" encoding="utf-8"?>
<ThreadedComments xmlns="http://schemas.microsoft.com/office/spreadsheetml/2018/threadedcomments" xmlns:x="http://schemas.openxmlformats.org/spreadsheetml/2006/main">
  <threadedComment ref="G8" dT="2020-11-26T20:01:15.60" personId="{7F98AE94-13FB-49E1-9262-339C11E0EDB4}" id="{9C094753-09F5-4AE4-818D-B8A8B3AE571B}">
    <text>place 1 if we want to keep the row when re-initializing. Otherwise, leave it as a blank.</text>
  </threadedComment>
  <threadedComment ref="H8" dT="2020-11-26T18:35:03.27" personId="{7F98AE94-13FB-49E1-9262-339C11E0EDB4}" id="{6C278506-3489-4911-8C75-B1A34FB6DB6D}">
    <text>supply a value greater than 1 if you want to duplicate the row</text>
  </threadedComment>
  <threadedComment ref="I8" dT="2020-11-28T01:53:47.29" personId="{7F98AE94-13FB-49E1-9262-339C11E0EDB4}" id="{19828CF7-A8D5-4881-A13F-5FF203151D6A}">
    <text>1 means we need to have the variable specified; 0 means we need not have the variable specified</text>
  </threadedComment>
  <threadedComment ref="I8" dT="2020-11-28T01:56:42.32" personId="{7F98AE94-13FB-49E1-9262-339C11E0EDB4}" id="{EFC9F1AD-92B0-49EA-B59E-BE99BFE71BEC}" parentId="{19828CF7-A8D5-4881-A13F-5FF203151D6A}">
    <text>Orange highlighted cells contain if then statement to allow the MATLAB® to check for the right inputs</text>
  </threadedComment>
</ThreadedComments>
</file>

<file path=xl/threadedComments/threadedComment5.xml><?xml version="1.0" encoding="utf-8"?>
<ThreadedComments xmlns="http://schemas.microsoft.com/office/spreadsheetml/2018/threadedcomments" xmlns:x="http://schemas.openxmlformats.org/spreadsheetml/2006/main">
  <threadedComment ref="G8" dT="2020-11-26T20:01:15.60" personId="{7F98AE94-13FB-49E1-9262-339C11E0EDB4}" id="{B33F54E8-F5DD-4FD7-827E-56A8D3D93CF9}">
    <text>place 1 if we want to keep the row when re-initializing. Otherwise, leave it as a blank.</text>
  </threadedComment>
  <threadedComment ref="H8" dT="2020-11-26T18:35:03.27" personId="{7F98AE94-13FB-49E1-9262-339C11E0EDB4}" id="{C37A90FE-2888-4963-8404-F359F50F80AE}">
    <text>supply a value greater than 1 if you want to duplicate the row</text>
  </threadedComment>
  <threadedComment ref="I8" dT="2020-11-28T01:53:47.29" personId="{7F98AE94-13FB-49E1-9262-339C11E0EDB4}" id="{192400E2-DB21-460A-8FDB-3E57AAFC5B4A}">
    <text>1 means we need to have the variable specified; 0 means we need not have the variable specified</text>
  </threadedComment>
  <threadedComment ref="I8" dT="2020-11-28T01:56:42.32" personId="{7F98AE94-13FB-49E1-9262-339C11E0EDB4}" id="{24BC0D1B-76CE-4A36-AF2F-7025E67AC071}" parentId="{192400E2-DB21-460A-8FDB-3E57AAFC5B4A}">
    <text>Orange highlighted cells contain if then statement to allow the MATLAB® to check for the right inputs</text>
  </threadedComment>
</ThreadedComments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printerSettings" Target="../printerSettings/printerSettings1.bin"/><Relationship Id="rId1" Type="http://schemas.openxmlformats.org/officeDocument/2006/relationships/hyperlink" Target="https://www.jkscottresearchgroup.com/" TargetMode="Externa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omments" Target="../comments1.xml"/><Relationship Id="rId3" Type="http://schemas.openxmlformats.org/officeDocument/2006/relationships/vmlDrawing" Target="../drawings/vmlDrawing1.vml"/><Relationship Id="rId7" Type="http://schemas.openxmlformats.org/officeDocument/2006/relationships/table" Target="../tables/table1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Relationship Id="rId9" Type="http://schemas.microsoft.com/office/2017/10/relationships/threadedComment" Target="../threadedComments/threadedComment1.xml"/></Relationships>
</file>

<file path=xl/worksheets/_rels/sheet4.xml.rels><?xml version="1.0" encoding="UTF-8" standalone="yes"?>
<Relationships xmlns="http://schemas.openxmlformats.org/package/2006/relationships"><Relationship Id="rId8" Type="http://schemas.openxmlformats.org/officeDocument/2006/relationships/comments" Target="../comments2.xml"/><Relationship Id="rId3" Type="http://schemas.openxmlformats.org/officeDocument/2006/relationships/vmlDrawing" Target="../drawings/vmlDrawing2.vml"/><Relationship Id="rId7" Type="http://schemas.openxmlformats.org/officeDocument/2006/relationships/table" Target="../tables/table2.x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6" Type="http://schemas.openxmlformats.org/officeDocument/2006/relationships/ctrlProp" Target="../ctrlProps/ctrlProp6.xml"/><Relationship Id="rId5" Type="http://schemas.openxmlformats.org/officeDocument/2006/relationships/ctrlProp" Target="../ctrlProps/ctrlProp5.xml"/><Relationship Id="rId4" Type="http://schemas.openxmlformats.org/officeDocument/2006/relationships/ctrlProp" Target="../ctrlProps/ctrlProp4.xml"/><Relationship Id="rId9" Type="http://schemas.microsoft.com/office/2017/10/relationships/threadedComment" Target="../threadedComments/threadedComment2.xml"/></Relationships>
</file>

<file path=xl/worksheets/_rels/sheet5.xml.rels><?xml version="1.0" encoding="UTF-8" standalone="yes"?>
<Relationships xmlns="http://schemas.openxmlformats.org/package/2006/relationships"><Relationship Id="rId8" Type="http://schemas.openxmlformats.org/officeDocument/2006/relationships/comments" Target="../comments3.xml"/><Relationship Id="rId3" Type="http://schemas.openxmlformats.org/officeDocument/2006/relationships/vmlDrawing" Target="../drawings/vmlDrawing3.vml"/><Relationship Id="rId7" Type="http://schemas.openxmlformats.org/officeDocument/2006/relationships/table" Target="../tables/table3.x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6" Type="http://schemas.openxmlformats.org/officeDocument/2006/relationships/ctrlProp" Target="../ctrlProps/ctrlProp9.xml"/><Relationship Id="rId5" Type="http://schemas.openxmlformats.org/officeDocument/2006/relationships/ctrlProp" Target="../ctrlProps/ctrlProp8.xml"/><Relationship Id="rId4" Type="http://schemas.openxmlformats.org/officeDocument/2006/relationships/ctrlProp" Target="../ctrlProps/ctrlProp7.xml"/><Relationship Id="rId9" Type="http://schemas.microsoft.com/office/2017/10/relationships/threadedComment" Target="../threadedComments/threadedComment3.xml"/></Relationships>
</file>

<file path=xl/worksheets/_rels/sheet6.xml.rels><?xml version="1.0" encoding="UTF-8" standalone="yes"?>
<Relationships xmlns="http://schemas.openxmlformats.org/package/2006/relationships"><Relationship Id="rId8" Type="http://schemas.openxmlformats.org/officeDocument/2006/relationships/comments" Target="../comments4.xml"/><Relationship Id="rId3" Type="http://schemas.openxmlformats.org/officeDocument/2006/relationships/vmlDrawing" Target="../drawings/vmlDrawing4.vml"/><Relationship Id="rId7" Type="http://schemas.openxmlformats.org/officeDocument/2006/relationships/table" Target="../tables/table4.x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Relationship Id="rId6" Type="http://schemas.openxmlformats.org/officeDocument/2006/relationships/ctrlProp" Target="../ctrlProps/ctrlProp12.xml"/><Relationship Id="rId5" Type="http://schemas.openxmlformats.org/officeDocument/2006/relationships/ctrlProp" Target="../ctrlProps/ctrlProp11.xml"/><Relationship Id="rId4" Type="http://schemas.openxmlformats.org/officeDocument/2006/relationships/ctrlProp" Target="../ctrlProps/ctrlProp10.xml"/><Relationship Id="rId9" Type="http://schemas.microsoft.com/office/2017/10/relationships/threadedComment" Target="../threadedComments/threadedComment4.xml"/></Relationships>
</file>

<file path=xl/worksheets/_rels/sheet7.xml.rels><?xml version="1.0" encoding="UTF-8" standalone="yes"?>
<Relationships xmlns="http://schemas.openxmlformats.org/package/2006/relationships"><Relationship Id="rId8" Type="http://schemas.openxmlformats.org/officeDocument/2006/relationships/comments" Target="../comments5.xml"/><Relationship Id="rId3" Type="http://schemas.openxmlformats.org/officeDocument/2006/relationships/vmlDrawing" Target="../drawings/vmlDrawing5.vml"/><Relationship Id="rId7" Type="http://schemas.openxmlformats.org/officeDocument/2006/relationships/table" Target="../tables/table5.xml"/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6.bin"/><Relationship Id="rId6" Type="http://schemas.openxmlformats.org/officeDocument/2006/relationships/ctrlProp" Target="../ctrlProps/ctrlProp15.xml"/><Relationship Id="rId5" Type="http://schemas.openxmlformats.org/officeDocument/2006/relationships/ctrlProp" Target="../ctrlProps/ctrlProp14.xml"/><Relationship Id="rId4" Type="http://schemas.openxmlformats.org/officeDocument/2006/relationships/ctrlProp" Target="../ctrlProps/ctrlProp13.xml"/><Relationship Id="rId9" Type="http://schemas.microsoft.com/office/2017/10/relationships/threadedComment" Target="../threadedComments/threadedComment5.x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F1FD3E9-A526-492E-A298-EF04E20D1925}">
  <sheetPr codeName="Sheet1">
    <tabColor theme="1"/>
  </sheetPr>
  <dimension ref="A3:L29"/>
  <sheetViews>
    <sheetView showGridLines="0" view="pageBreakPreview" topLeftCell="C3" zoomScaleNormal="85" zoomScaleSheetLayoutView="100" workbookViewId="0">
      <selection activeCell="E7" sqref="E7"/>
    </sheetView>
  </sheetViews>
  <sheetFormatPr defaultColWidth="0" defaultRowHeight="14.4" zeroHeight="1"/>
  <cols>
    <col min="1" max="2" width="3.33203125" style="35" hidden="1" customWidth="1"/>
    <col min="3" max="3" width="2.44140625" style="35" customWidth="1"/>
    <col min="4" max="4" width="13.77734375" style="35" customWidth="1"/>
    <col min="5" max="5" width="51.33203125" style="36" bestFit="1" customWidth="1"/>
    <col min="6" max="6" width="15.77734375" style="37" bestFit="1" customWidth="1"/>
    <col min="7" max="9" width="13.33203125" style="35" customWidth="1"/>
    <col min="10" max="10" width="48.77734375" style="35" customWidth="1"/>
    <col min="11" max="11" width="2.44140625" style="35" customWidth="1"/>
    <col min="12" max="12" width="0" style="35" hidden="1" customWidth="1"/>
    <col min="13" max="16384" width="9" style="35" hidden="1"/>
  </cols>
  <sheetData>
    <row r="3" spans="4:10"/>
    <row r="4" spans="4:10" ht="18">
      <c r="D4" s="49" t="s">
        <v>150</v>
      </c>
      <c r="E4" s="38"/>
      <c r="F4" s="39"/>
      <c r="G4" s="40"/>
      <c r="H4" s="40"/>
      <c r="I4" s="40"/>
      <c r="J4" s="41" t="s">
        <v>94</v>
      </c>
    </row>
    <row r="5" spans="4:10" ht="36">
      <c r="D5" s="56" t="s">
        <v>41</v>
      </c>
      <c r="E5" s="56"/>
      <c r="F5" s="56"/>
      <c r="G5" s="56"/>
      <c r="H5" s="56"/>
      <c r="I5" s="56"/>
      <c r="J5" s="56"/>
    </row>
    <row r="6" spans="4:10" ht="18">
      <c r="D6" s="47" t="s">
        <v>35</v>
      </c>
      <c r="E6" s="47" t="s">
        <v>129</v>
      </c>
      <c r="F6" s="47" t="s">
        <v>36</v>
      </c>
      <c r="G6" s="47" t="s">
        <v>37</v>
      </c>
      <c r="H6" s="47" t="s">
        <v>38</v>
      </c>
      <c r="I6" s="47" t="s">
        <v>39</v>
      </c>
      <c r="J6" s="47" t="s">
        <v>40</v>
      </c>
    </row>
    <row r="7" spans="4:10" ht="54">
      <c r="D7" s="42">
        <v>1</v>
      </c>
      <c r="E7" s="43" t="s">
        <v>149</v>
      </c>
      <c r="F7" s="44">
        <v>44720</v>
      </c>
      <c r="G7" s="42" t="s">
        <v>42</v>
      </c>
      <c r="H7" s="42"/>
      <c r="I7" s="42"/>
      <c r="J7" s="43"/>
    </row>
    <row r="8" spans="4:10" ht="36">
      <c r="D8" s="42">
        <v>2</v>
      </c>
      <c r="E8" s="43" t="s">
        <v>148</v>
      </c>
      <c r="F8" s="44">
        <v>44818</v>
      </c>
      <c r="G8" s="42" t="s">
        <v>42</v>
      </c>
      <c r="H8" s="42"/>
      <c r="I8" s="42"/>
      <c r="J8" s="43"/>
    </row>
    <row r="9" spans="4:10" ht="18">
      <c r="D9" s="42">
        <v>3</v>
      </c>
      <c r="E9" s="43"/>
      <c r="F9" s="44"/>
      <c r="G9" s="42"/>
      <c r="H9" s="42"/>
      <c r="I9" s="42"/>
      <c r="J9" s="43"/>
    </row>
    <row r="10" spans="4:10" ht="18">
      <c r="D10" s="42">
        <v>4</v>
      </c>
      <c r="E10" s="43"/>
      <c r="F10" s="44"/>
      <c r="G10" s="42"/>
      <c r="H10" s="42"/>
      <c r="I10" s="42"/>
      <c r="J10" s="43"/>
    </row>
    <row r="11" spans="4:10" ht="18">
      <c r="D11" s="42">
        <v>5</v>
      </c>
      <c r="E11" s="43"/>
      <c r="F11" s="44"/>
      <c r="G11" s="42"/>
      <c r="H11" s="42"/>
      <c r="I11" s="42"/>
      <c r="J11" s="43"/>
    </row>
    <row r="12" spans="4:10" ht="18">
      <c r="D12" s="42">
        <v>6</v>
      </c>
      <c r="E12" s="43"/>
      <c r="F12" s="44"/>
      <c r="G12" s="42"/>
      <c r="H12" s="42"/>
      <c r="I12" s="42"/>
      <c r="J12" s="43"/>
    </row>
    <row r="13" spans="4:10" ht="18">
      <c r="D13" s="42">
        <v>7</v>
      </c>
      <c r="E13" s="43"/>
      <c r="F13" s="44"/>
      <c r="G13" s="42"/>
      <c r="H13" s="42"/>
      <c r="I13" s="42"/>
      <c r="J13" s="43"/>
    </row>
    <row r="14" spans="4:10" ht="18">
      <c r="D14" s="42">
        <v>8</v>
      </c>
      <c r="E14" s="43"/>
      <c r="F14" s="44"/>
      <c r="G14" s="42"/>
      <c r="H14" s="42"/>
      <c r="I14" s="42"/>
      <c r="J14" s="43"/>
    </row>
    <row r="15" spans="4:10" ht="18">
      <c r="D15" s="42">
        <v>9</v>
      </c>
      <c r="E15" s="43"/>
      <c r="F15" s="44"/>
      <c r="G15" s="42"/>
      <c r="H15" s="42"/>
      <c r="I15" s="42"/>
      <c r="J15" s="43"/>
    </row>
    <row r="16" spans="4:10" ht="18">
      <c r="D16" s="42">
        <v>10</v>
      </c>
      <c r="E16" s="43"/>
      <c r="F16" s="44"/>
      <c r="G16" s="42"/>
      <c r="H16" s="42"/>
      <c r="I16" s="42"/>
      <c r="J16" s="45"/>
    </row>
    <row r="17"/>
    <row r="18"/>
    <row r="19"/>
    <row r="20"/>
    <row r="21"/>
    <row r="22"/>
    <row r="23"/>
    <row r="24"/>
    <row r="25"/>
    <row r="26"/>
    <row r="27"/>
    <row r="28"/>
    <row r="29"/>
  </sheetData>
  <sheetProtection selectLockedCells="1" selectUnlockedCells="1"/>
  <mergeCells count="1">
    <mergeCell ref="D5:J5"/>
  </mergeCells>
  <hyperlinks>
    <hyperlink ref="J4" r:id="rId1" display="https://www.jkscottresearchgroup.com/" xr:uid="{0AE1F244-6E04-421A-8B14-CCBD0BECF90F}"/>
  </hyperlinks>
  <pageMargins left="0.7" right="0.7" top="0.75" bottom="0.75" header="0.3" footer="0.3"/>
  <pageSetup paperSize="9" scale="43" orientation="portrait" r:id="rId2"/>
  <drawing r:id="rId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16817C8-856B-451D-A903-79E949B849B7}">
  <sheetPr codeName="Sheet4"/>
  <dimension ref="A1:U27"/>
  <sheetViews>
    <sheetView topLeftCell="E1" workbookViewId="0">
      <selection activeCell="K15" sqref="K15"/>
    </sheetView>
  </sheetViews>
  <sheetFormatPr defaultColWidth="8.77734375" defaultRowHeight="14.4"/>
  <cols>
    <col min="1" max="1" width="12.6640625" customWidth="1"/>
    <col min="2" max="2" width="20.6640625" customWidth="1"/>
    <col min="3" max="3" width="17.33203125" customWidth="1"/>
    <col min="5" max="5" width="12" bestFit="1" customWidth="1"/>
    <col min="10" max="10" width="12.33203125" customWidth="1"/>
    <col min="15" max="15" width="12.77734375" bestFit="1" customWidth="1"/>
    <col min="17" max="17" width="20.77734375" bestFit="1" customWidth="1"/>
    <col min="21" max="21" width="10.44140625" customWidth="1"/>
  </cols>
  <sheetData>
    <row r="1" spans="1:21">
      <c r="A1" t="s">
        <v>13</v>
      </c>
      <c r="B1" t="s">
        <v>14</v>
      </c>
      <c r="C1" t="s">
        <v>43</v>
      </c>
      <c r="D1" t="s">
        <v>74</v>
      </c>
      <c r="E1" t="s">
        <v>77</v>
      </c>
      <c r="F1" t="s">
        <v>78</v>
      </c>
      <c r="G1" s="1" t="s">
        <v>79</v>
      </c>
      <c r="H1" s="1" t="s">
        <v>80</v>
      </c>
      <c r="I1" s="1" t="s">
        <v>81</v>
      </c>
      <c r="J1" s="7" t="s">
        <v>83</v>
      </c>
      <c r="K1" s="7" t="s">
        <v>6</v>
      </c>
      <c r="L1" t="s">
        <v>92</v>
      </c>
      <c r="M1" t="s">
        <v>89</v>
      </c>
      <c r="N1" t="s">
        <v>90</v>
      </c>
      <c r="O1" t="s">
        <v>93</v>
      </c>
      <c r="P1" t="s">
        <v>98</v>
      </c>
      <c r="Q1" t="s">
        <v>107</v>
      </c>
      <c r="R1" t="s">
        <v>109</v>
      </c>
      <c r="S1" t="s">
        <v>110</v>
      </c>
      <c r="T1" t="s">
        <v>119</v>
      </c>
      <c r="U1" t="s">
        <v>120</v>
      </c>
    </row>
    <row r="2" spans="1:21">
      <c r="A2" t="s">
        <v>8</v>
      </c>
      <c r="B2" t="s">
        <v>8</v>
      </c>
      <c r="C2" t="s">
        <v>8</v>
      </c>
      <c r="E2" t="s">
        <v>8</v>
      </c>
      <c r="F2" t="s">
        <v>8</v>
      </c>
      <c r="G2" t="s">
        <v>8</v>
      </c>
      <c r="H2" t="s">
        <v>8</v>
      </c>
      <c r="I2" t="s">
        <v>8</v>
      </c>
      <c r="J2" t="s">
        <v>8</v>
      </c>
      <c r="K2" t="s">
        <v>8</v>
      </c>
      <c r="L2" t="s">
        <v>8</v>
      </c>
      <c r="M2" t="s">
        <v>8</v>
      </c>
      <c r="N2" t="s">
        <v>8</v>
      </c>
      <c r="O2" t="s">
        <v>8</v>
      </c>
      <c r="P2" t="s">
        <v>8</v>
      </c>
      <c r="Q2" t="s">
        <v>8</v>
      </c>
      <c r="R2" t="s">
        <v>8</v>
      </c>
      <c r="S2" t="s">
        <v>8</v>
      </c>
      <c r="U2" t="s">
        <v>8</v>
      </c>
    </row>
    <row r="3" spans="1:21">
      <c r="A3" t="s">
        <v>7</v>
      </c>
      <c r="B3" t="s">
        <v>28</v>
      </c>
      <c r="C3" t="s">
        <v>44</v>
      </c>
      <c r="D3" t="s">
        <v>84</v>
      </c>
      <c r="E3">
        <v>1</v>
      </c>
      <c r="F3">
        <v>1</v>
      </c>
      <c r="G3">
        <v>0</v>
      </c>
      <c r="H3">
        <v>0</v>
      </c>
      <c r="I3">
        <v>0</v>
      </c>
      <c r="J3">
        <v>1</v>
      </c>
      <c r="K3">
        <v>0</v>
      </c>
      <c r="L3">
        <v>1</v>
      </c>
      <c r="M3">
        <v>1</v>
      </c>
      <c r="N3">
        <v>0</v>
      </c>
      <c r="O3">
        <v>0</v>
      </c>
      <c r="P3">
        <v>1</v>
      </c>
      <c r="Q3">
        <v>0</v>
      </c>
      <c r="R3">
        <v>0</v>
      </c>
      <c r="S3">
        <v>1</v>
      </c>
      <c r="T3">
        <v>1</v>
      </c>
      <c r="U3" t="s">
        <v>121</v>
      </c>
    </row>
    <row r="4" spans="1:21">
      <c r="A4" t="s">
        <v>91</v>
      </c>
      <c r="B4" t="s">
        <v>25</v>
      </c>
      <c r="C4" t="s">
        <v>48</v>
      </c>
      <c r="D4" t="s">
        <v>85</v>
      </c>
      <c r="E4">
        <v>2</v>
      </c>
      <c r="F4">
        <v>2</v>
      </c>
      <c r="G4">
        <v>1</v>
      </c>
      <c r="H4">
        <v>1</v>
      </c>
      <c r="I4">
        <v>1</v>
      </c>
      <c r="J4">
        <v>2</v>
      </c>
      <c r="K4">
        <v>1</v>
      </c>
      <c r="L4">
        <v>2</v>
      </c>
      <c r="M4">
        <v>2</v>
      </c>
      <c r="N4">
        <v>1</v>
      </c>
      <c r="O4">
        <v>1</v>
      </c>
      <c r="P4">
        <v>-1</v>
      </c>
      <c r="Q4">
        <v>1</v>
      </c>
      <c r="R4">
        <v>1</v>
      </c>
      <c r="T4">
        <v>2</v>
      </c>
      <c r="U4" t="s">
        <v>122</v>
      </c>
    </row>
    <row r="5" spans="1:21">
      <c r="A5" t="s">
        <v>10</v>
      </c>
      <c r="B5" t="s">
        <v>26</v>
      </c>
      <c r="C5" t="s">
        <v>47</v>
      </c>
      <c r="D5" t="s">
        <v>66</v>
      </c>
      <c r="E5">
        <v>3</v>
      </c>
      <c r="F5">
        <v>3</v>
      </c>
      <c r="G5">
        <v>2</v>
      </c>
      <c r="H5">
        <v>2</v>
      </c>
      <c r="I5">
        <v>2</v>
      </c>
      <c r="J5">
        <v>3</v>
      </c>
      <c r="M5">
        <v>3</v>
      </c>
      <c r="N5">
        <v>2</v>
      </c>
      <c r="O5">
        <v>2</v>
      </c>
      <c r="Q5">
        <v>2</v>
      </c>
      <c r="U5" t="s">
        <v>123</v>
      </c>
    </row>
    <row r="6" spans="1:21">
      <c r="A6" t="s">
        <v>6</v>
      </c>
      <c r="B6" t="s">
        <v>27</v>
      </c>
      <c r="C6" t="s">
        <v>49</v>
      </c>
      <c r="D6" t="s">
        <v>63</v>
      </c>
      <c r="E6">
        <v>4</v>
      </c>
      <c r="F6">
        <v>4</v>
      </c>
      <c r="G6">
        <v>3</v>
      </c>
      <c r="H6">
        <v>3</v>
      </c>
      <c r="I6">
        <v>3</v>
      </c>
      <c r="J6">
        <v>4</v>
      </c>
      <c r="N6">
        <v>3</v>
      </c>
      <c r="Q6">
        <v>3</v>
      </c>
      <c r="U6" t="s">
        <v>124</v>
      </c>
    </row>
    <row r="7" spans="1:21">
      <c r="A7" t="s">
        <v>9</v>
      </c>
      <c r="B7" t="s">
        <v>29</v>
      </c>
      <c r="C7" t="s">
        <v>50</v>
      </c>
      <c r="D7" t="s">
        <v>64</v>
      </c>
      <c r="E7">
        <v>5</v>
      </c>
      <c r="F7">
        <v>5</v>
      </c>
      <c r="G7">
        <v>4</v>
      </c>
      <c r="H7">
        <v>4</v>
      </c>
      <c r="I7">
        <v>4</v>
      </c>
      <c r="J7">
        <v>5</v>
      </c>
      <c r="U7" t="s">
        <v>125</v>
      </c>
    </row>
    <row r="8" spans="1:21">
      <c r="A8" t="s">
        <v>11</v>
      </c>
      <c r="B8" t="s">
        <v>30</v>
      </c>
      <c r="C8" t="s">
        <v>51</v>
      </c>
      <c r="D8" t="s">
        <v>65</v>
      </c>
      <c r="E8">
        <v>6</v>
      </c>
      <c r="F8">
        <v>6</v>
      </c>
      <c r="G8">
        <v>5</v>
      </c>
      <c r="H8">
        <v>5</v>
      </c>
      <c r="I8">
        <v>5</v>
      </c>
      <c r="J8">
        <v>6</v>
      </c>
      <c r="U8" t="s">
        <v>126</v>
      </c>
    </row>
    <row r="9" spans="1:21">
      <c r="B9" t="s">
        <v>99</v>
      </c>
      <c r="C9" t="s">
        <v>52</v>
      </c>
      <c r="E9">
        <v>7</v>
      </c>
      <c r="F9">
        <v>7</v>
      </c>
      <c r="G9">
        <v>6</v>
      </c>
      <c r="H9">
        <v>6</v>
      </c>
      <c r="I9">
        <v>6</v>
      </c>
      <c r="J9">
        <v>7</v>
      </c>
      <c r="U9" t="s">
        <v>127</v>
      </c>
    </row>
    <row r="10" spans="1:21">
      <c r="B10" t="s">
        <v>31</v>
      </c>
      <c r="C10" t="s">
        <v>53</v>
      </c>
      <c r="E10">
        <v>8</v>
      </c>
      <c r="F10">
        <v>8</v>
      </c>
      <c r="G10">
        <v>7</v>
      </c>
      <c r="H10">
        <v>7</v>
      </c>
      <c r="I10">
        <v>7</v>
      </c>
      <c r="J10">
        <v>8</v>
      </c>
    </row>
    <row r="11" spans="1:21">
      <c r="B11" t="s">
        <v>16</v>
      </c>
      <c r="C11" t="s">
        <v>54</v>
      </c>
      <c r="E11">
        <v>9</v>
      </c>
      <c r="F11">
        <v>9</v>
      </c>
      <c r="G11">
        <v>8</v>
      </c>
      <c r="H11">
        <v>8</v>
      </c>
      <c r="I11">
        <v>8</v>
      </c>
      <c r="J11">
        <v>9</v>
      </c>
    </row>
    <row r="12" spans="1:21">
      <c r="B12" t="s">
        <v>100</v>
      </c>
      <c r="C12" t="s">
        <v>55</v>
      </c>
      <c r="G12">
        <v>9</v>
      </c>
      <c r="H12">
        <v>9</v>
      </c>
      <c r="I12">
        <v>9</v>
      </c>
    </row>
    <row r="13" spans="1:21">
      <c r="B13" t="s">
        <v>17</v>
      </c>
      <c r="C13" t="s">
        <v>56</v>
      </c>
    </row>
    <row r="14" spans="1:21">
      <c r="B14" t="s">
        <v>24</v>
      </c>
      <c r="C14" t="s">
        <v>57</v>
      </c>
    </row>
    <row r="15" spans="1:21">
      <c r="B15" t="s">
        <v>15</v>
      </c>
      <c r="C15" t="s">
        <v>58</v>
      </c>
    </row>
    <row r="16" spans="1:21">
      <c r="B16" t="s">
        <v>62</v>
      </c>
      <c r="C16" t="s">
        <v>59</v>
      </c>
    </row>
    <row r="17" spans="2:10">
      <c r="B17" t="s">
        <v>18</v>
      </c>
      <c r="C17" t="s">
        <v>60</v>
      </c>
      <c r="J17" t="s">
        <v>114</v>
      </c>
    </row>
    <row r="18" spans="2:10">
      <c r="B18" t="s">
        <v>19</v>
      </c>
      <c r="C18" t="s">
        <v>61</v>
      </c>
      <c r="J18" t="s">
        <v>8</v>
      </c>
    </row>
    <row r="19" spans="2:10">
      <c r="C19" t="s">
        <v>32</v>
      </c>
      <c r="J19">
        <v>1</v>
      </c>
    </row>
    <row r="20" spans="2:10">
      <c r="C20" t="s">
        <v>4</v>
      </c>
      <c r="J20">
        <v>2</v>
      </c>
    </row>
    <row r="21" spans="2:10">
      <c r="C21" t="s">
        <v>46</v>
      </c>
    </row>
    <row r="22" spans="2:10">
      <c r="C22" t="s">
        <v>45</v>
      </c>
      <c r="J22" t="s">
        <v>115</v>
      </c>
    </row>
    <row r="23" spans="2:10">
      <c r="C23" t="s">
        <v>5</v>
      </c>
      <c r="J23" t="s">
        <v>8</v>
      </c>
    </row>
    <row r="24" spans="2:10">
      <c r="J24">
        <v>1</v>
      </c>
    </row>
    <row r="25" spans="2:10">
      <c r="J25">
        <v>2</v>
      </c>
    </row>
    <row r="26" spans="2:10">
      <c r="J26">
        <v>3</v>
      </c>
    </row>
    <row r="27" spans="2:10">
      <c r="J27">
        <v>4</v>
      </c>
    </row>
  </sheetData>
  <phoneticPr fontId="1" type="noConversion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35C1D69-2773-A844-98AF-1C04113DC4F1}">
  <sheetPr codeName="Sheet21">
    <tabColor rgb="FF00B050"/>
  </sheetPr>
  <dimension ref="A1:XEY11"/>
  <sheetViews>
    <sheetView showGridLines="0" zoomScaleNormal="85" zoomScaleSheetLayoutView="85" workbookViewId="0">
      <pane ySplit="8" topLeftCell="A10" activePane="bottomLeft" state="frozen"/>
      <selection activeCell="C24" sqref="C24"/>
      <selection pane="bottomLeft" activeCell="B10" sqref="B10"/>
    </sheetView>
  </sheetViews>
  <sheetFormatPr defaultColWidth="0" defaultRowHeight="14.55" customHeight="1" zeroHeight="1"/>
  <cols>
    <col min="1" max="1" width="17" style="3" bestFit="1" customWidth="1"/>
    <col min="2" max="2" width="22.109375" style="33" customWidth="1"/>
    <col min="3" max="3" width="20" style="3" customWidth="1"/>
    <col min="4" max="4" width="24.109375" style="3" customWidth="1"/>
    <col min="5" max="5" width="17.33203125" style="3" customWidth="1"/>
    <col min="6" max="6" width="13.109375" style="3" hidden="1" customWidth="1"/>
    <col min="7" max="9" width="15" style="3" hidden="1" customWidth="1"/>
    <col min="10" max="10" width="57.44140625" style="3" customWidth="1"/>
    <col min="11" max="16370" width="8.77734375" style="3" hidden="1"/>
    <col min="16371" max="16379" width="0" style="3" hidden="1"/>
    <col min="16380" max="16384" width="8.77734375" style="3" hidden="1"/>
  </cols>
  <sheetData>
    <row r="1" spans="1:10" ht="14.4">
      <c r="A1" s="24" t="str">
        <f>'Revision History'!$D$4</f>
        <v>REV. NO.2 (9/14/2022)</v>
      </c>
      <c r="B1" s="25"/>
      <c r="C1" s="25"/>
      <c r="D1" s="25"/>
      <c r="E1" s="25"/>
      <c r="F1" s="25"/>
      <c r="G1" s="25"/>
      <c r="H1" s="25"/>
      <c r="I1" s="25"/>
      <c r="J1" s="26" t="str">
        <f>'Revision History'!$J$4</f>
        <v>Scott Research Group (jkscottresearchgroup.com)</v>
      </c>
    </row>
    <row r="2" spans="1:10" ht="18">
      <c r="A2" s="57" t="s">
        <v>34</v>
      </c>
      <c r="B2" s="58"/>
      <c r="C2" s="58"/>
      <c r="D2" s="58"/>
      <c r="E2" s="58"/>
      <c r="F2" s="58"/>
      <c r="G2" s="58"/>
      <c r="H2" s="58"/>
      <c r="I2" s="58"/>
      <c r="J2" s="59"/>
    </row>
    <row r="3" spans="1:10" ht="14.55" customHeight="1">
      <c r="A3" s="13"/>
      <c r="B3" s="14"/>
      <c r="C3" s="15"/>
      <c r="D3" s="16"/>
      <c r="E3" s="16"/>
      <c r="F3" s="16"/>
      <c r="G3" s="16"/>
      <c r="H3" s="16"/>
      <c r="I3" s="16"/>
      <c r="J3" s="60" t="str">
        <f>IF(COUNTIF(Table11023672[Test 3],1)=COUNTA(Table11023672[Value]),"Ready","Not Ready")</f>
        <v>Ready</v>
      </c>
    </row>
    <row r="4" spans="1:10" ht="14.55" customHeight="1">
      <c r="A4" s="17"/>
      <c r="B4" s="18"/>
      <c r="C4" s="46"/>
      <c r="D4" s="46"/>
      <c r="E4" s="46"/>
      <c r="F4" s="46"/>
      <c r="G4" s="19"/>
      <c r="H4" s="46"/>
      <c r="I4" s="46"/>
      <c r="J4" s="61"/>
    </row>
    <row r="5" spans="1:10" ht="14.55" customHeight="1">
      <c r="A5" s="17"/>
      <c r="B5" s="18"/>
      <c r="C5" s="46"/>
      <c r="D5" s="46"/>
      <c r="E5" s="46"/>
      <c r="F5" s="46"/>
      <c r="G5" s="19"/>
      <c r="H5" s="46"/>
      <c r="I5" s="46"/>
      <c r="J5" s="61"/>
    </row>
    <row r="6" spans="1:10" ht="14.55" customHeight="1">
      <c r="A6" s="17"/>
      <c r="B6" s="18"/>
      <c r="C6" s="46"/>
      <c r="D6" s="46"/>
      <c r="E6" s="46"/>
      <c r="F6" s="46"/>
      <c r="G6" s="19"/>
      <c r="H6" s="46"/>
      <c r="I6" s="46"/>
      <c r="J6" s="61"/>
    </row>
    <row r="7" spans="1:10" ht="14.55" customHeight="1">
      <c r="A7" s="20"/>
      <c r="B7" s="21"/>
      <c r="C7" s="22"/>
      <c r="D7" s="22"/>
      <c r="E7" s="22"/>
      <c r="F7" s="22"/>
      <c r="G7" s="23"/>
      <c r="H7" s="22"/>
      <c r="I7" s="22"/>
      <c r="J7" s="62"/>
    </row>
    <row r="8" spans="1:10" ht="14.4">
      <c r="A8" s="27" t="s">
        <v>0</v>
      </c>
      <c r="B8" s="28" t="s">
        <v>1</v>
      </c>
      <c r="C8" s="28" t="s">
        <v>2</v>
      </c>
      <c r="D8" s="28" t="s">
        <v>14</v>
      </c>
      <c r="E8" s="28" t="s">
        <v>67</v>
      </c>
      <c r="F8" s="29" t="s">
        <v>43</v>
      </c>
      <c r="G8" s="29" t="s">
        <v>72</v>
      </c>
      <c r="H8" s="28" t="s">
        <v>73</v>
      </c>
      <c r="I8" s="30" t="s">
        <v>82</v>
      </c>
      <c r="J8" s="30" t="s">
        <v>12</v>
      </c>
    </row>
    <row r="9" spans="1:10" ht="259.2">
      <c r="A9" s="48" t="s">
        <v>106</v>
      </c>
      <c r="B9" s="31">
        <v>5</v>
      </c>
      <c r="C9" s="2" t="s">
        <v>3</v>
      </c>
      <c r="D9" s="1" t="s">
        <v>31</v>
      </c>
      <c r="E9" s="1" t="s">
        <v>91</v>
      </c>
      <c r="F9" s="2" t="s">
        <v>45</v>
      </c>
      <c r="G9" s="1">
        <v>1</v>
      </c>
      <c r="H9" s="55">
        <f>[1]Initialization!$B$10</f>
        <v>2</v>
      </c>
      <c r="I9" s="6">
        <v>1</v>
      </c>
      <c r="J9" s="5" t="s">
        <v>151</v>
      </c>
    </row>
    <row r="10" spans="1:10" ht="259.2">
      <c r="A10" s="48" t="s">
        <v>134</v>
      </c>
      <c r="B10" s="31">
        <v>1</v>
      </c>
      <c r="C10" s="2" t="s">
        <v>3</v>
      </c>
      <c r="D10" s="1" t="s">
        <v>31</v>
      </c>
      <c r="E10" s="1" t="s">
        <v>91</v>
      </c>
      <c r="F10" s="2" t="s">
        <v>45</v>
      </c>
      <c r="G10" s="1"/>
      <c r="H10" s="55">
        <f>[1]Initialization!$B$10</f>
        <v>2</v>
      </c>
      <c r="I10" s="6">
        <v>1</v>
      </c>
      <c r="J10" s="5" t="s">
        <v>151</v>
      </c>
    </row>
    <row r="11" spans="1:10" ht="14.4">
      <c r="A11" s="8" t="s">
        <v>86</v>
      </c>
      <c r="B11" s="32"/>
      <c r="C11" s="9"/>
      <c r="D11" s="10"/>
      <c r="E11" s="10"/>
      <c r="F11" s="9"/>
      <c r="G11" s="10">
        <v>1</v>
      </c>
      <c r="H11" s="10">
        <v>1</v>
      </c>
      <c r="I11" s="11">
        <v>0</v>
      </c>
      <c r="J11" s="12" t="s">
        <v>87</v>
      </c>
    </row>
  </sheetData>
  <sheetProtection algorithmName="SHA-512" hashValue="FdheLfcfyvUINVzfnbB+IBg8Pa9pfdBP5i15i1iSWeY1FwbmTuXu8XsTSc5VX6i6rcyUTh0+maQJkQIFuPShDQ==" saltValue="grxWbLSDhwJmK0R2d1fM1g==" spinCount="100000" sheet="1" objects="1" scenarios="1" selectLockedCells="1"/>
  <mergeCells count="2">
    <mergeCell ref="A2:J2"/>
    <mergeCell ref="J3:J7"/>
  </mergeCells>
  <conditionalFormatting sqref="B9 B11">
    <cfRule type="expression" dxfId="105" priority="4">
      <formula>IF(AND($B9&lt;&gt;"",$I9=0),1,0)</formula>
    </cfRule>
    <cfRule type="expression" dxfId="104" priority="5">
      <formula>IF($B9&lt;&gt;"",1,0)</formula>
    </cfRule>
    <cfRule type="expression" dxfId="103" priority="6">
      <formula>$I9=0</formula>
    </cfRule>
  </conditionalFormatting>
  <conditionalFormatting sqref="J3">
    <cfRule type="expression" dxfId="102" priority="2451">
      <formula>IF(COUNTA($B$9:$B$11)&lt;&gt;COUNTIF($I$9:$I$11,1),1,0)</formula>
    </cfRule>
    <cfRule type="expression" dxfId="101" priority="2452">
      <formula>IF(COUNTA($B$9:$B$11)=COUNTIF($I$9:$I$11,1),1,0)</formula>
    </cfRule>
  </conditionalFormatting>
  <conditionalFormatting sqref="B10">
    <cfRule type="expression" dxfId="100" priority="1">
      <formula>IF(AND($B10&lt;&gt;"",$I10=0),1,0)</formula>
    </cfRule>
    <cfRule type="expression" dxfId="99" priority="2">
      <formula>IF($B10&lt;&gt;"",1,0)</formula>
    </cfRule>
    <cfRule type="expression" dxfId="98" priority="3">
      <formula>$I10=0</formula>
    </cfRule>
  </conditionalFormatting>
  <pageMargins left="0.7" right="0.7" top="0.75" bottom="0.75" header="0.3" footer="0.3"/>
  <pageSetup scale="3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99329" r:id="rId4" name="Button 1">
              <controlPr defaultSize="0" autoFill="0" autoPict="0" macro="[0]!initComs">
                <anchor moveWithCells="1" sizeWithCells="1">
                  <from>
                    <xdr:col>0</xdr:col>
                    <xdr:colOff>175260</xdr:colOff>
                    <xdr:row>3</xdr:row>
                    <xdr:rowOff>76200</xdr:rowOff>
                  </from>
                  <to>
                    <xdr:col>1</xdr:col>
                    <xdr:colOff>922020</xdr:colOff>
                    <xdr:row>5</xdr:row>
                    <xdr:rowOff>144780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9330" r:id="rId5" name="Button 2">
              <controlPr defaultSize="0" autoFill="0" autoPict="0" macro="[0]!pushData">
                <anchor moveWithCells="1" sizeWithCells="1">
                  <from>
                    <xdr:col>1</xdr:col>
                    <xdr:colOff>1013460</xdr:colOff>
                    <xdr:row>3</xdr:row>
                    <xdr:rowOff>76200</xdr:rowOff>
                  </from>
                  <to>
                    <xdr:col>3</xdr:col>
                    <xdr:colOff>38100</xdr:colOff>
                    <xdr:row>5</xdr:row>
                    <xdr:rowOff>137160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9331" r:id="rId6" name="Button 3">
              <controlPr defaultSize="0" autoFill="0" autoPict="0" macro="[0]!clearData">
                <anchor moveWithCells="1" sizeWithCells="1">
                  <from>
                    <xdr:col>3</xdr:col>
                    <xdr:colOff>137160</xdr:colOff>
                    <xdr:row>3</xdr:row>
                    <xdr:rowOff>76200</xdr:rowOff>
                  </from>
                  <to>
                    <xdr:col>4</xdr:col>
                    <xdr:colOff>396240</xdr:colOff>
                    <xdr:row>5</xdr:row>
                    <xdr:rowOff>144780</xdr:rowOff>
                  </to>
                </anchor>
              </controlPr>
            </control>
          </mc:Choice>
        </mc:AlternateContent>
      </controls>
    </mc:Choice>
  </mc:AlternateContent>
  <tableParts count="1">
    <tablePart r:id="rId7"/>
  </tableParts>
  <extLst>
    <ext xmlns:x14="http://schemas.microsoft.com/office/spreadsheetml/2009/9/main" uri="{CCE6A557-97BC-4b89-ADB6-D9C93CAAB3DF}">
      <x14:dataValidations xmlns:xm="http://schemas.microsoft.com/office/excel/2006/main" count="4">
        <x14:dataValidation type="list" allowBlank="1" showInputMessage="1" showErrorMessage="1" xr:uid="{313CFFBF-30BA-DA4D-B8D6-78737161F645}">
          <x14:formula1>
            <xm:f>Reference!$J$2:$J$11</xm:f>
          </x14:formula1>
          <xm:sqref>B9:B10</xm:sqref>
        </x14:dataValidation>
        <x14:dataValidation type="list" allowBlank="1" showInputMessage="1" showErrorMessage="1" xr:uid="{7E1E429C-3115-1646-8F42-2753DDEB9857}">
          <x14:formula1>
            <xm:f>Reference!$A$2:$A$8</xm:f>
          </x14:formula1>
          <xm:sqref>E9:E11</xm:sqref>
        </x14:dataValidation>
        <x14:dataValidation type="list" allowBlank="1" showInputMessage="1" showErrorMessage="1" xr:uid="{A90B9534-6A35-524A-81D9-BAEA9A7CD47F}">
          <x14:formula1>
            <xm:f>Reference!$C$2:$C$23</xm:f>
          </x14:formula1>
          <xm:sqref>F9:F11</xm:sqref>
        </x14:dataValidation>
        <x14:dataValidation type="list" allowBlank="1" showInputMessage="1" showErrorMessage="1" xr:uid="{8DE68080-8F57-DF46-8B29-C891293F8419}">
          <x14:formula1>
            <xm:f>Reference!$B$2:$B$18</xm:f>
          </x14:formula1>
          <xm:sqref>D9:D11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695C59A-A4CD-E747-94C6-BBBE33418EAC}">
  <sheetPr codeName="Sheet22">
    <tabColor rgb="FF00B050"/>
  </sheetPr>
  <dimension ref="A1:XEY12"/>
  <sheetViews>
    <sheetView showGridLines="0" zoomScaleNormal="85" zoomScaleSheetLayoutView="85" workbookViewId="0">
      <pane ySplit="8" topLeftCell="A9" activePane="bottomLeft" state="frozen"/>
      <selection activeCell="C24" sqref="C24"/>
      <selection pane="bottomLeft" activeCell="A13" sqref="A13:XFD13"/>
    </sheetView>
  </sheetViews>
  <sheetFormatPr defaultColWidth="0" defaultRowHeight="14.55" customHeight="1" zeroHeight="1"/>
  <cols>
    <col min="1" max="1" width="17" style="3" bestFit="1" customWidth="1"/>
    <col min="2" max="2" width="22.109375" style="33" customWidth="1"/>
    <col min="3" max="3" width="20" style="3" customWidth="1"/>
    <col min="4" max="4" width="24.109375" style="3" customWidth="1"/>
    <col min="5" max="5" width="17.33203125" style="3" customWidth="1"/>
    <col min="6" max="6" width="13.109375" style="3" hidden="1" customWidth="1"/>
    <col min="7" max="9" width="15" style="3" hidden="1" customWidth="1"/>
    <col min="10" max="10" width="57.44140625" style="3" customWidth="1"/>
    <col min="11" max="16370" width="8.77734375" style="3" hidden="1"/>
    <col min="16371" max="16379" width="0" style="3" hidden="1"/>
    <col min="16380" max="16384" width="8.77734375" style="3" hidden="1"/>
  </cols>
  <sheetData>
    <row r="1" spans="1:10" ht="14.4">
      <c r="A1" s="24" t="str">
        <f>'Revision History'!$D$4</f>
        <v>REV. NO.2 (9/14/2022)</v>
      </c>
      <c r="B1" s="25"/>
      <c r="C1" s="25"/>
      <c r="D1" s="25"/>
      <c r="E1" s="25"/>
      <c r="F1" s="25"/>
      <c r="G1" s="25"/>
      <c r="H1" s="25"/>
      <c r="I1" s="25"/>
      <c r="J1" s="26" t="str">
        <f>'Revision History'!$J$4</f>
        <v>Scott Research Group (jkscottresearchgroup.com)</v>
      </c>
    </row>
    <row r="2" spans="1:10" ht="18">
      <c r="A2" s="57" t="s">
        <v>34</v>
      </c>
      <c r="B2" s="58"/>
      <c r="C2" s="58"/>
      <c r="D2" s="58"/>
      <c r="E2" s="58"/>
      <c r="F2" s="58"/>
      <c r="G2" s="58"/>
      <c r="H2" s="58"/>
      <c r="I2" s="58"/>
      <c r="J2" s="59"/>
    </row>
    <row r="3" spans="1:10" ht="14.55" customHeight="1">
      <c r="A3" s="13"/>
      <c r="B3" s="14"/>
      <c r="C3" s="15"/>
      <c r="D3" s="16"/>
      <c r="E3" s="16"/>
      <c r="F3" s="16"/>
      <c r="G3" s="16"/>
      <c r="H3" s="16"/>
      <c r="I3" s="16"/>
      <c r="J3" s="60" t="str">
        <f>IF(COUNTIF(Table110236723[Test 3],1)=COUNTA(Table110236723[Value]),"Ready","Not Ready")</f>
        <v>Ready</v>
      </c>
    </row>
    <row r="4" spans="1:10" ht="14.55" customHeight="1">
      <c r="A4" s="17"/>
      <c r="B4" s="18"/>
      <c r="C4" s="46"/>
      <c r="D4" s="46"/>
      <c r="E4" s="46"/>
      <c r="F4" s="46"/>
      <c r="G4" s="19"/>
      <c r="H4" s="46"/>
      <c r="I4" s="46"/>
      <c r="J4" s="61"/>
    </row>
    <row r="5" spans="1:10" ht="14.55" customHeight="1">
      <c r="A5" s="17"/>
      <c r="B5" s="18"/>
      <c r="C5" s="46"/>
      <c r="D5" s="46"/>
      <c r="E5" s="46"/>
      <c r="F5" s="46"/>
      <c r="G5" s="19"/>
      <c r="H5" s="46"/>
      <c r="I5" s="46"/>
      <c r="J5" s="61"/>
    </row>
    <row r="6" spans="1:10" ht="14.55" customHeight="1">
      <c r="A6" s="17"/>
      <c r="B6" s="18"/>
      <c r="C6" s="46"/>
      <c r="D6" s="46"/>
      <c r="E6" s="46"/>
      <c r="F6" s="46"/>
      <c r="G6" s="19"/>
      <c r="H6" s="46"/>
      <c r="I6" s="46"/>
      <c r="J6" s="61"/>
    </row>
    <row r="7" spans="1:10" ht="14.55" customHeight="1">
      <c r="A7" s="20"/>
      <c r="B7" s="21"/>
      <c r="C7" s="22"/>
      <c r="D7" s="22"/>
      <c r="E7" s="22"/>
      <c r="F7" s="22"/>
      <c r="G7" s="23"/>
      <c r="H7" s="22"/>
      <c r="I7" s="22"/>
      <c r="J7" s="62"/>
    </row>
    <row r="8" spans="1:10" ht="14.4">
      <c r="A8" s="27" t="s">
        <v>0</v>
      </c>
      <c r="B8" s="28" t="s">
        <v>1</v>
      </c>
      <c r="C8" s="28" t="s">
        <v>2</v>
      </c>
      <c r="D8" s="28" t="s">
        <v>14</v>
      </c>
      <c r="E8" s="28" t="s">
        <v>67</v>
      </c>
      <c r="F8" s="29" t="s">
        <v>43</v>
      </c>
      <c r="G8" s="29" t="s">
        <v>72</v>
      </c>
      <c r="H8" s="28" t="s">
        <v>73</v>
      </c>
      <c r="I8" s="30" t="s">
        <v>82</v>
      </c>
      <c r="J8" s="30" t="s">
        <v>12</v>
      </c>
    </row>
    <row r="9" spans="1:10" ht="14.4">
      <c r="A9" s="48" t="s">
        <v>128</v>
      </c>
      <c r="B9" s="31">
        <v>76.2</v>
      </c>
      <c r="C9" s="2" t="s">
        <v>75</v>
      </c>
      <c r="D9" s="1" t="s">
        <v>16</v>
      </c>
      <c r="E9" s="1" t="s">
        <v>7</v>
      </c>
      <c r="F9" s="2" t="s">
        <v>44</v>
      </c>
      <c r="G9" s="1">
        <v>1</v>
      </c>
      <c r="H9" s="1">
        <v>1</v>
      </c>
      <c r="I9" s="6">
        <v>1</v>
      </c>
      <c r="J9" s="5" t="s">
        <v>88</v>
      </c>
    </row>
    <row r="10" spans="1:10" ht="43.2">
      <c r="A10" s="48" t="s">
        <v>102</v>
      </c>
      <c r="B10" s="31">
        <v>1.143</v>
      </c>
      <c r="C10" s="2" t="s">
        <v>75</v>
      </c>
      <c r="D10" s="1" t="s">
        <v>16</v>
      </c>
      <c r="E10" s="1" t="s">
        <v>7</v>
      </c>
      <c r="F10" s="2" t="s">
        <v>51</v>
      </c>
      <c r="G10" s="1">
        <v>1</v>
      </c>
      <c r="H10" s="1">
        <v>1</v>
      </c>
      <c r="I10" s="1">
        <v>1</v>
      </c>
      <c r="J10" s="5" t="s">
        <v>68</v>
      </c>
    </row>
    <row r="11" spans="1:10" ht="28.8">
      <c r="A11" s="4" t="s">
        <v>103</v>
      </c>
      <c r="B11" s="31">
        <v>1.643</v>
      </c>
      <c r="C11" s="2" t="s">
        <v>75</v>
      </c>
      <c r="D11" s="1" t="s">
        <v>16</v>
      </c>
      <c r="E11" s="1" t="s">
        <v>7</v>
      </c>
      <c r="F11" s="2" t="s">
        <v>51</v>
      </c>
      <c r="G11" s="1">
        <v>1</v>
      </c>
      <c r="H11" s="1">
        <v>1</v>
      </c>
      <c r="I11" s="1">
        <v>1</v>
      </c>
      <c r="J11" s="5" t="s">
        <v>69</v>
      </c>
    </row>
    <row r="12" spans="1:10" ht="14.4">
      <c r="A12" s="8" t="s">
        <v>86</v>
      </c>
      <c r="B12" s="32"/>
      <c r="C12" s="9"/>
      <c r="D12" s="10"/>
      <c r="E12" s="10"/>
      <c r="F12" s="9"/>
      <c r="G12" s="10">
        <v>1</v>
      </c>
      <c r="H12" s="10">
        <v>1</v>
      </c>
      <c r="I12" s="11">
        <v>0</v>
      </c>
      <c r="J12" s="12" t="s">
        <v>87</v>
      </c>
    </row>
  </sheetData>
  <sheetProtection algorithmName="SHA-512" hashValue="iYD4D6ySipXZxjZ/MWZaTnySv0wtUx3aBl5UG+x9vSf6z6oNVWjYOUgpTWJ3XgIXG5xPxZDTma1Cq1NQKH9ODA==" saltValue="ntHAT0Kyk42S2B+149/bXA==" spinCount="100000" sheet="1" objects="1" scenarios="1" selectLockedCells="1"/>
  <mergeCells count="2">
    <mergeCell ref="A2:J2"/>
    <mergeCell ref="J3:J7"/>
  </mergeCells>
  <conditionalFormatting sqref="B9:B12">
    <cfRule type="expression" dxfId="82" priority="1">
      <formula>IF(AND($B9&lt;&gt;"",$I9=0),1,0)</formula>
    </cfRule>
    <cfRule type="expression" dxfId="81" priority="2">
      <formula>IF($B9&lt;&gt;"",1,0)</formula>
    </cfRule>
    <cfRule type="expression" dxfId="80" priority="3">
      <formula>$I9=0</formula>
    </cfRule>
  </conditionalFormatting>
  <conditionalFormatting sqref="J3">
    <cfRule type="expression" dxfId="79" priority="2440">
      <formula>IF(COUNTA($B$9:$B$12)&lt;&gt;COUNTIF($I$9:$I$12,1),1,0)</formula>
    </cfRule>
    <cfRule type="expression" dxfId="78" priority="2441">
      <formula>IF(COUNTA($B$9:$B$12)=COUNTIF($I$9:$I$12,1),1,0)</formula>
    </cfRule>
  </conditionalFormatting>
  <pageMargins left="0.7" right="0.7" top="0.75" bottom="0.75" header="0.3" footer="0.3"/>
  <pageSetup scale="3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0353" r:id="rId4" name="Button 1">
              <controlPr defaultSize="0" autoFill="0" autoPict="0" macro="[0]!initComs">
                <anchor moveWithCells="1" sizeWithCells="1">
                  <from>
                    <xdr:col>0</xdr:col>
                    <xdr:colOff>175260</xdr:colOff>
                    <xdr:row>3</xdr:row>
                    <xdr:rowOff>76200</xdr:rowOff>
                  </from>
                  <to>
                    <xdr:col>1</xdr:col>
                    <xdr:colOff>922020</xdr:colOff>
                    <xdr:row>5</xdr:row>
                    <xdr:rowOff>144780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0354" r:id="rId5" name="Button 2">
              <controlPr defaultSize="0" autoFill="0" autoPict="0" macro="[0]!pushData">
                <anchor moveWithCells="1" sizeWithCells="1">
                  <from>
                    <xdr:col>1</xdr:col>
                    <xdr:colOff>1013460</xdr:colOff>
                    <xdr:row>3</xdr:row>
                    <xdr:rowOff>76200</xdr:rowOff>
                  </from>
                  <to>
                    <xdr:col>3</xdr:col>
                    <xdr:colOff>38100</xdr:colOff>
                    <xdr:row>5</xdr:row>
                    <xdr:rowOff>137160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0355" r:id="rId6" name="Button 3">
              <controlPr defaultSize="0" autoFill="0" autoPict="0" macro="[0]!clearData">
                <anchor moveWithCells="1" sizeWithCells="1">
                  <from>
                    <xdr:col>3</xdr:col>
                    <xdr:colOff>137160</xdr:colOff>
                    <xdr:row>3</xdr:row>
                    <xdr:rowOff>76200</xdr:rowOff>
                  </from>
                  <to>
                    <xdr:col>4</xdr:col>
                    <xdr:colOff>396240</xdr:colOff>
                    <xdr:row>5</xdr:row>
                    <xdr:rowOff>144780</xdr:rowOff>
                  </to>
                </anchor>
              </controlPr>
            </control>
          </mc:Choice>
        </mc:AlternateContent>
      </controls>
    </mc:Choice>
  </mc:AlternateContent>
  <tableParts count="1">
    <tablePart r:id="rId7"/>
  </tableParts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xr:uid="{71A6C17B-862F-D148-8D1E-FAA3A933544C}">
          <x14:formula1>
            <xm:f>Reference!$B$2:$B$18</xm:f>
          </x14:formula1>
          <xm:sqref>D9:D12</xm:sqref>
        </x14:dataValidation>
        <x14:dataValidation type="list" allowBlank="1" showInputMessage="1" showErrorMessage="1" xr:uid="{CF680774-9AC9-7D4B-BCBB-A121DDFA5AD4}">
          <x14:formula1>
            <xm:f>Reference!$C$2:$C$23</xm:f>
          </x14:formula1>
          <xm:sqref>F9:F12</xm:sqref>
        </x14:dataValidation>
        <x14:dataValidation type="list" allowBlank="1" showInputMessage="1" showErrorMessage="1" xr:uid="{1492E864-F741-BF45-A41E-B8760E7B2148}">
          <x14:formula1>
            <xm:f>Reference!$A$2:$A$8</xm:f>
          </x14:formula1>
          <xm:sqref>E9:E12</xm:sqref>
        </x14:dataValidation>
      </x14:dataValidation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F55AE9D-07B4-0C4A-9006-AD18BB015DE7}">
  <sheetPr codeName="Sheet23">
    <tabColor rgb="FF00B050"/>
  </sheetPr>
  <dimension ref="A1:XEY11"/>
  <sheetViews>
    <sheetView showGridLines="0" zoomScaleNormal="85" zoomScaleSheetLayoutView="85" workbookViewId="0">
      <pane ySplit="8" topLeftCell="A9" activePane="bottomLeft" state="frozen"/>
      <selection activeCell="C24" sqref="C24"/>
      <selection pane="bottomLeft" activeCell="A12" sqref="A12:XFD16"/>
    </sheetView>
  </sheetViews>
  <sheetFormatPr defaultColWidth="0" defaultRowHeight="14.55" customHeight="1" zeroHeight="1"/>
  <cols>
    <col min="1" max="1" width="17" style="3" bestFit="1" customWidth="1"/>
    <col min="2" max="2" width="22.109375" style="33" customWidth="1"/>
    <col min="3" max="3" width="20" style="3" customWidth="1"/>
    <col min="4" max="4" width="24.109375" style="3" customWidth="1"/>
    <col min="5" max="5" width="17.33203125" style="3" customWidth="1"/>
    <col min="6" max="6" width="13.109375" style="3" hidden="1" customWidth="1"/>
    <col min="7" max="9" width="15" style="3" hidden="1" customWidth="1"/>
    <col min="10" max="10" width="57.44140625" style="3" customWidth="1"/>
    <col min="11" max="16370" width="8.77734375" style="3" hidden="1"/>
    <col min="16371" max="16379" width="0" style="3" hidden="1"/>
    <col min="16380" max="16384" width="8.77734375" style="3" hidden="1"/>
  </cols>
  <sheetData>
    <row r="1" spans="1:10" ht="14.4">
      <c r="A1" s="24" t="str">
        <f>'Revision History'!$D$4</f>
        <v>REV. NO.2 (9/14/2022)</v>
      </c>
      <c r="B1" s="25"/>
      <c r="C1" s="25"/>
      <c r="D1" s="25"/>
      <c r="E1" s="25"/>
      <c r="F1" s="25"/>
      <c r="G1" s="25"/>
      <c r="H1" s="25"/>
      <c r="I1" s="25"/>
      <c r="J1" s="26" t="str">
        <f>'Revision History'!$J$4</f>
        <v>Scott Research Group (jkscottresearchgroup.com)</v>
      </c>
    </row>
    <row r="2" spans="1:10" ht="18">
      <c r="A2" s="57" t="s">
        <v>34</v>
      </c>
      <c r="B2" s="58"/>
      <c r="C2" s="58"/>
      <c r="D2" s="58"/>
      <c r="E2" s="58"/>
      <c r="F2" s="58"/>
      <c r="G2" s="58"/>
      <c r="H2" s="58"/>
      <c r="I2" s="58"/>
      <c r="J2" s="59"/>
    </row>
    <row r="3" spans="1:10" ht="14.55" customHeight="1">
      <c r="A3" s="13"/>
      <c r="B3" s="14"/>
      <c r="C3" s="15"/>
      <c r="D3" s="16"/>
      <c r="E3" s="16"/>
      <c r="F3" s="16"/>
      <c r="G3" s="16"/>
      <c r="H3" s="16"/>
      <c r="I3" s="16"/>
      <c r="J3" s="60" t="str">
        <f>IF(COUNTIF(Table1102367234[Test 3],1)=COUNTA(Table1102367234[Value]),"Ready","Not Ready")</f>
        <v>Ready</v>
      </c>
    </row>
    <row r="4" spans="1:10" ht="14.55" customHeight="1">
      <c r="A4" s="17"/>
      <c r="B4" s="18"/>
      <c r="C4" s="46"/>
      <c r="D4" s="46"/>
      <c r="E4" s="46"/>
      <c r="F4" s="46"/>
      <c r="G4" s="19"/>
      <c r="H4" s="46"/>
      <c r="I4" s="46"/>
      <c r="J4" s="61"/>
    </row>
    <row r="5" spans="1:10" ht="14.55" customHeight="1">
      <c r="A5" s="17"/>
      <c r="B5" s="18"/>
      <c r="C5" s="46"/>
      <c r="D5" s="46"/>
      <c r="E5" s="46"/>
      <c r="F5" s="46"/>
      <c r="G5" s="19"/>
      <c r="H5" s="46"/>
      <c r="I5" s="46"/>
      <c r="J5" s="61"/>
    </row>
    <row r="6" spans="1:10" ht="14.55" customHeight="1">
      <c r="A6" s="17"/>
      <c r="B6" s="18"/>
      <c r="C6" s="46"/>
      <c r="D6" s="46"/>
      <c r="E6" s="46"/>
      <c r="F6" s="46"/>
      <c r="G6" s="19"/>
      <c r="H6" s="46"/>
      <c r="I6" s="46"/>
      <c r="J6" s="61"/>
    </row>
    <row r="7" spans="1:10" ht="14.55" customHeight="1">
      <c r="A7" s="20"/>
      <c r="B7" s="21"/>
      <c r="C7" s="22"/>
      <c r="D7" s="22"/>
      <c r="E7" s="22"/>
      <c r="F7" s="22"/>
      <c r="G7" s="23"/>
      <c r="H7" s="22"/>
      <c r="I7" s="22"/>
      <c r="J7" s="62"/>
    </row>
    <row r="8" spans="1:10" ht="14.4">
      <c r="A8" s="27" t="s">
        <v>0</v>
      </c>
      <c r="B8" s="28" t="s">
        <v>1</v>
      </c>
      <c r="C8" s="28" t="s">
        <v>2</v>
      </c>
      <c r="D8" s="28" t="s">
        <v>14</v>
      </c>
      <c r="E8" s="28" t="s">
        <v>67</v>
      </c>
      <c r="F8" s="29" t="s">
        <v>43</v>
      </c>
      <c r="G8" s="29" t="s">
        <v>72</v>
      </c>
      <c r="H8" s="28" t="s">
        <v>73</v>
      </c>
      <c r="I8" s="30" t="s">
        <v>82</v>
      </c>
      <c r="J8" s="30" t="s">
        <v>12</v>
      </c>
    </row>
    <row r="9" spans="1:10" ht="14.4">
      <c r="A9" s="4" t="s">
        <v>70</v>
      </c>
      <c r="B9" s="31">
        <v>0.48</v>
      </c>
      <c r="C9" s="2" t="s">
        <v>3</v>
      </c>
      <c r="D9" s="1" t="s">
        <v>16</v>
      </c>
      <c r="E9" s="1" t="s">
        <v>7</v>
      </c>
      <c r="F9" s="2" t="s">
        <v>32</v>
      </c>
      <c r="G9" s="1">
        <v>1</v>
      </c>
      <c r="H9" s="1">
        <v>1</v>
      </c>
      <c r="I9" s="6">
        <v>1</v>
      </c>
      <c r="J9" s="5" t="s">
        <v>71</v>
      </c>
    </row>
    <row r="10" spans="1:10" ht="28.8">
      <c r="A10" s="4" t="s">
        <v>33</v>
      </c>
      <c r="B10" s="31">
        <v>0.25240000000000001</v>
      </c>
      <c r="C10" s="2" t="s">
        <v>23</v>
      </c>
      <c r="D10" s="1" t="s">
        <v>16</v>
      </c>
      <c r="E10" s="1" t="s">
        <v>7</v>
      </c>
      <c r="F10" s="2" t="s">
        <v>44</v>
      </c>
      <c r="G10" s="1">
        <v>1</v>
      </c>
      <c r="H10" s="1">
        <v>1</v>
      </c>
      <c r="I10" s="6">
        <v>1</v>
      </c>
      <c r="J10" s="5" t="s">
        <v>76</v>
      </c>
    </row>
    <row r="11" spans="1:10" ht="14.4">
      <c r="A11" s="8" t="s">
        <v>86</v>
      </c>
      <c r="B11" s="32"/>
      <c r="C11" s="9"/>
      <c r="D11" s="10"/>
      <c r="E11" s="10"/>
      <c r="F11" s="9"/>
      <c r="G11" s="10">
        <v>1</v>
      </c>
      <c r="H11" s="10">
        <v>1</v>
      </c>
      <c r="I11" s="11">
        <v>0</v>
      </c>
      <c r="J11" s="12" t="s">
        <v>87</v>
      </c>
    </row>
  </sheetData>
  <sheetProtection algorithmName="SHA-512" hashValue="ep4lA/0JiHR72l8ys+6vfEByicf22XyagOTIsxgYRAggr4QiDrJ+Rh8SawR98IHO15b5N+tkx/Hw9SwPItnjyw==" saltValue="pyVUOxF+dShF7rHPnfUM7A==" spinCount="100000" sheet="1" objects="1" scenarios="1" selectLockedCells="1"/>
  <mergeCells count="2">
    <mergeCell ref="A2:J2"/>
    <mergeCell ref="J3:J7"/>
  </mergeCells>
  <conditionalFormatting sqref="B11">
    <cfRule type="expression" dxfId="62" priority="4">
      <formula>IF(AND($B11&lt;&gt;"",$I11=0),1,0)</formula>
    </cfRule>
    <cfRule type="expression" dxfId="61" priority="5">
      <formula>IF($B11&lt;&gt;"",1,0)</formula>
    </cfRule>
    <cfRule type="expression" dxfId="60" priority="6">
      <formula>$I11=0</formula>
    </cfRule>
  </conditionalFormatting>
  <conditionalFormatting sqref="B9:B10">
    <cfRule type="expression" dxfId="59" priority="1">
      <formula>IF(AND($B9&lt;&gt;"",$I9=0),1,0)</formula>
    </cfRule>
    <cfRule type="expression" dxfId="58" priority="2">
      <formula>IF($B9&lt;&gt;"",1,0)</formula>
    </cfRule>
    <cfRule type="expression" dxfId="57" priority="3">
      <formula>$I9=0</formula>
    </cfRule>
  </conditionalFormatting>
  <conditionalFormatting sqref="J3">
    <cfRule type="expression" dxfId="56" priority="2432">
      <formula>IF(COUNTA($B$9:$B$11)&lt;&gt;COUNTIF($I$9:$I$11,1),1,0)</formula>
    </cfRule>
    <cfRule type="expression" dxfId="55" priority="2433">
      <formula>IF(COUNTA($B$9:$B$11)=COUNTIF($I$9:$I$11,1),1,0)</formula>
    </cfRule>
  </conditionalFormatting>
  <pageMargins left="0.7" right="0.7" top="0.75" bottom="0.75" header="0.3" footer="0.3"/>
  <pageSetup scale="3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1377" r:id="rId4" name="Button 1">
              <controlPr defaultSize="0" autoFill="0" autoPict="0" macro="[0]!initComs">
                <anchor moveWithCells="1" sizeWithCells="1">
                  <from>
                    <xdr:col>0</xdr:col>
                    <xdr:colOff>175260</xdr:colOff>
                    <xdr:row>3</xdr:row>
                    <xdr:rowOff>76200</xdr:rowOff>
                  </from>
                  <to>
                    <xdr:col>1</xdr:col>
                    <xdr:colOff>922020</xdr:colOff>
                    <xdr:row>5</xdr:row>
                    <xdr:rowOff>144780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1378" r:id="rId5" name="Button 2">
              <controlPr defaultSize="0" autoFill="0" autoPict="0" macro="[0]!pushData">
                <anchor moveWithCells="1" sizeWithCells="1">
                  <from>
                    <xdr:col>1</xdr:col>
                    <xdr:colOff>1013460</xdr:colOff>
                    <xdr:row>3</xdr:row>
                    <xdr:rowOff>76200</xdr:rowOff>
                  </from>
                  <to>
                    <xdr:col>3</xdr:col>
                    <xdr:colOff>38100</xdr:colOff>
                    <xdr:row>5</xdr:row>
                    <xdr:rowOff>137160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1379" r:id="rId6" name="Button 3">
              <controlPr defaultSize="0" autoFill="0" autoPict="0" macro="[0]!clearData">
                <anchor moveWithCells="1" sizeWithCells="1">
                  <from>
                    <xdr:col>3</xdr:col>
                    <xdr:colOff>137160</xdr:colOff>
                    <xdr:row>3</xdr:row>
                    <xdr:rowOff>76200</xdr:rowOff>
                  </from>
                  <to>
                    <xdr:col>4</xdr:col>
                    <xdr:colOff>396240</xdr:colOff>
                    <xdr:row>5</xdr:row>
                    <xdr:rowOff>144780</xdr:rowOff>
                  </to>
                </anchor>
              </controlPr>
            </control>
          </mc:Choice>
        </mc:AlternateContent>
      </controls>
    </mc:Choice>
  </mc:AlternateContent>
  <tableParts count="1">
    <tablePart r:id="rId7"/>
  </tableParts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xr:uid="{3D47F621-F5E3-D945-9F8F-B18C1BB8F4CE}">
          <x14:formula1>
            <xm:f>Reference!$A$2:$A$8</xm:f>
          </x14:formula1>
          <xm:sqref>E11</xm:sqref>
        </x14:dataValidation>
        <x14:dataValidation type="list" allowBlank="1" showInputMessage="1" showErrorMessage="1" xr:uid="{7C5F40A3-1DE8-9047-96AF-1247DE3A9917}">
          <x14:formula1>
            <xm:f>Reference!$C$2:$C$23</xm:f>
          </x14:formula1>
          <xm:sqref>F11</xm:sqref>
        </x14:dataValidation>
        <x14:dataValidation type="list" allowBlank="1" showInputMessage="1" showErrorMessage="1" xr:uid="{67703469-7906-BA48-8A70-309D175F2DDE}">
          <x14:formula1>
            <xm:f>Reference!$B$2:$B$18</xm:f>
          </x14:formula1>
          <xm:sqref>D11</xm:sqref>
        </x14:dataValidation>
      </x14:dataValidations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365E82F-55B1-473B-852B-E7EA22256CCF}">
  <sheetPr codeName="Sheet19">
    <tabColor rgb="FF00B050"/>
  </sheetPr>
  <dimension ref="A1:XEY16"/>
  <sheetViews>
    <sheetView showGridLines="0" tabSelected="1" zoomScaleNormal="85" zoomScaleSheetLayoutView="85" workbookViewId="0">
      <pane ySplit="8" topLeftCell="A9" activePane="bottomLeft" state="frozen"/>
      <selection activeCell="C24" sqref="C24"/>
      <selection pane="bottomLeft" activeCell="B10" sqref="B10"/>
    </sheetView>
  </sheetViews>
  <sheetFormatPr defaultColWidth="0" defaultRowHeight="14.55" customHeight="1" zeroHeight="1"/>
  <cols>
    <col min="1" max="1" width="17" style="3" bestFit="1" customWidth="1"/>
    <col min="2" max="2" width="22.109375" style="33" customWidth="1"/>
    <col min="3" max="3" width="20" style="3" customWidth="1"/>
    <col min="4" max="4" width="24.109375" style="3" customWidth="1"/>
    <col min="5" max="5" width="17.33203125" style="3" customWidth="1"/>
    <col min="6" max="6" width="13.109375" style="3" hidden="1" customWidth="1"/>
    <col min="7" max="9" width="15" style="3" hidden="1" customWidth="1"/>
    <col min="10" max="10" width="57.44140625" style="3" customWidth="1"/>
    <col min="11" max="16370" width="8.77734375" style="3" hidden="1"/>
    <col min="16371" max="16379" width="0" style="3" hidden="1"/>
    <col min="16380" max="16384" width="8.77734375" style="3" hidden="1"/>
  </cols>
  <sheetData>
    <row r="1" spans="1:10" ht="14.4">
      <c r="A1" s="24" t="str">
        <f>'Revision History'!$D$4</f>
        <v>REV. NO.2 (9/14/2022)</v>
      </c>
      <c r="B1" s="25"/>
      <c r="C1" s="25"/>
      <c r="D1" s="25"/>
      <c r="E1" s="25"/>
      <c r="F1" s="25"/>
      <c r="G1" s="25"/>
      <c r="H1" s="25"/>
      <c r="I1" s="25"/>
      <c r="J1" s="26" t="str">
        <f>'Revision History'!$J$4</f>
        <v>Scott Research Group (jkscottresearchgroup.com)</v>
      </c>
    </row>
    <row r="2" spans="1:10" ht="18">
      <c r="A2" s="57" t="s">
        <v>34</v>
      </c>
      <c r="B2" s="58"/>
      <c r="C2" s="58"/>
      <c r="D2" s="58"/>
      <c r="E2" s="58"/>
      <c r="F2" s="58"/>
      <c r="G2" s="58"/>
      <c r="H2" s="58"/>
      <c r="I2" s="58"/>
      <c r="J2" s="59"/>
    </row>
    <row r="3" spans="1:10" ht="14.55" customHeight="1">
      <c r="A3" s="13"/>
      <c r="B3" s="14"/>
      <c r="C3" s="15"/>
      <c r="D3" s="16"/>
      <c r="E3" s="16"/>
      <c r="F3" s="16"/>
      <c r="G3" s="16"/>
      <c r="H3" s="16"/>
      <c r="I3" s="16"/>
      <c r="J3" s="60" t="str">
        <f>IF(COUNTIF(Table1102367[Test 3],1)=COUNTA(Table1102367[Value]),"Ready","Not Ready")</f>
        <v>Ready</v>
      </c>
    </row>
    <row r="4" spans="1:10" ht="14.55" customHeight="1">
      <c r="A4" s="17"/>
      <c r="B4" s="18"/>
      <c r="C4" s="46"/>
      <c r="D4" s="46"/>
      <c r="E4" s="46"/>
      <c r="F4" s="46"/>
      <c r="G4" s="19"/>
      <c r="H4" s="46"/>
      <c r="I4" s="46"/>
      <c r="J4" s="61"/>
    </row>
    <row r="5" spans="1:10" ht="14.55" customHeight="1">
      <c r="A5" s="17"/>
      <c r="B5" s="18"/>
      <c r="C5" s="46"/>
      <c r="D5" s="46"/>
      <c r="E5" s="46"/>
      <c r="F5" s="46"/>
      <c r="G5" s="19"/>
      <c r="H5" s="46"/>
      <c r="I5" s="46"/>
      <c r="J5" s="61"/>
    </row>
    <row r="6" spans="1:10" ht="14.55" customHeight="1">
      <c r="A6" s="17"/>
      <c r="B6" s="18"/>
      <c r="C6" s="46"/>
      <c r="D6" s="46"/>
      <c r="E6" s="46"/>
      <c r="F6" s="46"/>
      <c r="G6" s="19"/>
      <c r="H6" s="46"/>
      <c r="I6" s="46"/>
      <c r="J6" s="61"/>
    </row>
    <row r="7" spans="1:10" ht="14.55" customHeight="1">
      <c r="A7" s="20"/>
      <c r="B7" s="21"/>
      <c r="C7" s="22"/>
      <c r="D7" s="22"/>
      <c r="E7" s="22"/>
      <c r="F7" s="22"/>
      <c r="G7" s="23"/>
      <c r="H7" s="22"/>
      <c r="I7" s="22"/>
      <c r="J7" s="62"/>
    </row>
    <row r="8" spans="1:10" ht="14.4">
      <c r="A8" s="27" t="s">
        <v>0</v>
      </c>
      <c r="B8" s="28" t="s">
        <v>1</v>
      </c>
      <c r="C8" s="28" t="s">
        <v>2</v>
      </c>
      <c r="D8" s="28" t="s">
        <v>14</v>
      </c>
      <c r="E8" s="28" t="s">
        <v>67</v>
      </c>
      <c r="F8" s="29" t="s">
        <v>43</v>
      </c>
      <c r="G8" s="29" t="s">
        <v>72</v>
      </c>
      <c r="H8" s="28" t="s">
        <v>73</v>
      </c>
      <c r="I8" s="30" t="s">
        <v>82</v>
      </c>
      <c r="J8" s="30" t="s">
        <v>12</v>
      </c>
    </row>
    <row r="9" spans="1:10" ht="43.2">
      <c r="A9" s="48" t="s">
        <v>142</v>
      </c>
      <c r="B9" s="31">
        <v>3.0856051519999999</v>
      </c>
      <c r="C9" s="2" t="s">
        <v>20</v>
      </c>
      <c r="D9" s="1" t="s">
        <v>16</v>
      </c>
      <c r="E9" s="1" t="s">
        <v>7</v>
      </c>
      <c r="F9" s="2" t="s">
        <v>44</v>
      </c>
      <c r="G9" s="1">
        <v>1</v>
      </c>
      <c r="H9" s="1">
        <v>1</v>
      </c>
      <c r="I9" s="6">
        <v>1</v>
      </c>
      <c r="J9" s="5" t="s">
        <v>136</v>
      </c>
    </row>
    <row r="10" spans="1:10" ht="43.2">
      <c r="A10" s="48" t="s">
        <v>144</v>
      </c>
      <c r="B10" s="31">
        <f>0.95*B9</f>
        <v>2.9313248943999999</v>
      </c>
      <c r="C10" s="2" t="s">
        <v>20</v>
      </c>
      <c r="D10" s="1" t="s">
        <v>16</v>
      </c>
      <c r="E10" s="1" t="s">
        <v>7</v>
      </c>
      <c r="F10" s="2" t="s">
        <v>44</v>
      </c>
      <c r="G10" s="1">
        <v>1</v>
      </c>
      <c r="H10" s="1">
        <v>1</v>
      </c>
      <c r="I10" s="54" cm="1">
        <f t="array" ref="I10">IF([2]Initialization!$B$12=0,0,IF([2]Initialization!$B$12=1,1,Table1102367[]))</f>
        <v>1</v>
      </c>
      <c r="J10" s="5" t="s">
        <v>141</v>
      </c>
    </row>
    <row r="11" spans="1:10" ht="43.2">
      <c r="A11" s="4" t="s">
        <v>147</v>
      </c>
      <c r="B11" s="31">
        <f>1.06*B9</f>
        <v>3.2707414611200001</v>
      </c>
      <c r="C11" s="2" t="s">
        <v>20</v>
      </c>
      <c r="D11" s="1" t="s">
        <v>16</v>
      </c>
      <c r="E11" s="1" t="s">
        <v>7</v>
      </c>
      <c r="F11" s="2" t="s">
        <v>44</v>
      </c>
      <c r="G11" s="1">
        <v>1</v>
      </c>
      <c r="H11" s="1">
        <v>1</v>
      </c>
      <c r="I11" s="54" cm="1">
        <f t="array" ref="I11">IF([2]Initialization!$B$12=0,0,IF([2]Initialization!$B$12=1,1,Table1102367[]))</f>
        <v>1</v>
      </c>
      <c r="J11" s="5" t="s">
        <v>138</v>
      </c>
    </row>
    <row r="12" spans="1:10" ht="72">
      <c r="A12" s="48" t="s">
        <v>143</v>
      </c>
      <c r="B12" s="31">
        <v>0.47649581499999999</v>
      </c>
      <c r="C12" s="2" t="s">
        <v>20</v>
      </c>
      <c r="D12" s="1" t="s">
        <v>16</v>
      </c>
      <c r="E12" s="1" t="s">
        <v>7</v>
      </c>
      <c r="F12" s="2" t="s">
        <v>44</v>
      </c>
      <c r="G12" s="1">
        <v>1</v>
      </c>
      <c r="H12" s="1">
        <v>1</v>
      </c>
      <c r="I12" s="6">
        <v>1</v>
      </c>
      <c r="J12" s="5" t="s">
        <v>137</v>
      </c>
    </row>
    <row r="13" spans="1:10" ht="43.2">
      <c r="A13" s="48" t="s">
        <v>145</v>
      </c>
      <c r="B13" s="31">
        <f>B12*0.95</f>
        <v>0.45267102424999994</v>
      </c>
      <c r="C13" s="2" t="s">
        <v>20</v>
      </c>
      <c r="D13" s="1" t="s">
        <v>16</v>
      </c>
      <c r="E13" s="1" t="s">
        <v>7</v>
      </c>
      <c r="F13" s="2" t="s">
        <v>44</v>
      </c>
      <c r="G13" s="1">
        <v>1</v>
      </c>
      <c r="H13" s="1">
        <v>1</v>
      </c>
      <c r="I13" s="54" cm="1">
        <f t="array" ref="I13">IF([2]Initialization!$B$12=0,0,IF([2]Initialization!$B$12=1,1,Table1102367[]))</f>
        <v>1</v>
      </c>
      <c r="J13" s="5" t="s">
        <v>140</v>
      </c>
    </row>
    <row r="14" spans="1:10" ht="43.2">
      <c r="A14" s="4" t="s">
        <v>146</v>
      </c>
      <c r="B14" s="31">
        <f>1.05*B12</f>
        <v>0.50032060575000004</v>
      </c>
      <c r="C14" s="2" t="s">
        <v>20</v>
      </c>
      <c r="D14" s="1" t="s">
        <v>16</v>
      </c>
      <c r="E14" s="1" t="s">
        <v>7</v>
      </c>
      <c r="F14" s="2" t="s">
        <v>44</v>
      </c>
      <c r="G14" s="1">
        <v>1</v>
      </c>
      <c r="H14" s="1">
        <v>1</v>
      </c>
      <c r="I14" s="54" cm="1">
        <f t="array" ref="I14">IF([2]Initialization!$B$12=0,0,IF([2]Initialization!$B$12=1,1,Table1102367[]))</f>
        <v>1</v>
      </c>
      <c r="J14" s="5" t="s">
        <v>139</v>
      </c>
    </row>
    <row r="15" spans="1:10" ht="57.6">
      <c r="A15" s="4" t="s">
        <v>116</v>
      </c>
      <c r="B15" s="31">
        <v>318.14999999999998</v>
      </c>
      <c r="C15" s="2" t="s">
        <v>21</v>
      </c>
      <c r="D15" s="1" t="s">
        <v>16</v>
      </c>
      <c r="E15" s="1" t="s">
        <v>7</v>
      </c>
      <c r="F15" s="2" t="s">
        <v>51</v>
      </c>
      <c r="G15" s="1">
        <v>1</v>
      </c>
      <c r="H15" s="1">
        <v>1</v>
      </c>
      <c r="I15" s="6">
        <v>1</v>
      </c>
      <c r="J15" s="5" t="s">
        <v>135</v>
      </c>
    </row>
    <row r="16" spans="1:10" ht="14.4">
      <c r="A16" s="8" t="s">
        <v>86</v>
      </c>
      <c r="B16" s="32"/>
      <c r="C16" s="9"/>
      <c r="D16" s="10"/>
      <c r="E16" s="10"/>
      <c r="F16" s="9"/>
      <c r="G16" s="10">
        <v>1</v>
      </c>
      <c r="H16" s="10">
        <v>1</v>
      </c>
      <c r="I16" s="11">
        <v>0</v>
      </c>
      <c r="J16" s="12" t="s">
        <v>87</v>
      </c>
    </row>
  </sheetData>
  <sheetProtection algorithmName="SHA-512" hashValue="cLldDHz+4ejmv7SVZZNm+bAkh8t+OjeNsw5Qo3Mgu9tpu2Xan6sxSuIx3c0XgU4xIyGt+erb7Q1LK6quByK7Tw==" saltValue="CqMCW/6TgJrNyN6QagbV9A==" spinCount="100000" sheet="1" objects="1" scenarios="1" selectLockedCells="1"/>
  <mergeCells count="2">
    <mergeCell ref="A2:J2"/>
    <mergeCell ref="J3:J7"/>
  </mergeCells>
  <conditionalFormatting sqref="B9:B16">
    <cfRule type="expression" dxfId="39" priority="7">
      <formula>IF(AND($B9&lt;&gt;"",$I9=0),1,0)</formula>
    </cfRule>
    <cfRule type="expression" dxfId="38" priority="8">
      <formula>IF($B9&lt;&gt;"",1,0)</formula>
    </cfRule>
    <cfRule type="expression" dxfId="37" priority="9">
      <formula>$I9=0</formula>
    </cfRule>
  </conditionalFormatting>
  <conditionalFormatting sqref="J3">
    <cfRule type="expression" dxfId="36" priority="2411">
      <formula>IF(COUNTA($B$9:$B$16)&lt;&gt;COUNTIF($I$9:$I$16,1),1,0)</formula>
    </cfRule>
    <cfRule type="expression" dxfId="35" priority="2412">
      <formula>IF(COUNTA($B$9:$B$16)=COUNTIF($I$9:$I$16,1),1,0)</formula>
    </cfRule>
  </conditionalFormatting>
  <pageMargins left="0.7" right="0.7" top="0.75" bottom="0.75" header="0.3" footer="0.3"/>
  <pageSetup scale="3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92161" r:id="rId4" name="Button 1">
              <controlPr defaultSize="0" autoFill="0" autoPict="0" macro="[0]!initComs">
                <anchor moveWithCells="1" sizeWithCells="1">
                  <from>
                    <xdr:col>0</xdr:col>
                    <xdr:colOff>175260</xdr:colOff>
                    <xdr:row>3</xdr:row>
                    <xdr:rowOff>76200</xdr:rowOff>
                  </from>
                  <to>
                    <xdr:col>1</xdr:col>
                    <xdr:colOff>922020</xdr:colOff>
                    <xdr:row>5</xdr:row>
                    <xdr:rowOff>144780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162" r:id="rId5" name="Button 2">
              <controlPr defaultSize="0" autoFill="0" autoPict="0" macro="[0]!pushData">
                <anchor moveWithCells="1" sizeWithCells="1">
                  <from>
                    <xdr:col>1</xdr:col>
                    <xdr:colOff>1013460</xdr:colOff>
                    <xdr:row>3</xdr:row>
                    <xdr:rowOff>76200</xdr:rowOff>
                  </from>
                  <to>
                    <xdr:col>3</xdr:col>
                    <xdr:colOff>38100</xdr:colOff>
                    <xdr:row>5</xdr:row>
                    <xdr:rowOff>137160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163" r:id="rId6" name="Button 3">
              <controlPr defaultSize="0" autoFill="0" autoPict="0" macro="[0]!clearData">
                <anchor moveWithCells="1" sizeWithCells="1">
                  <from>
                    <xdr:col>3</xdr:col>
                    <xdr:colOff>137160</xdr:colOff>
                    <xdr:row>3</xdr:row>
                    <xdr:rowOff>76200</xdr:rowOff>
                  </from>
                  <to>
                    <xdr:col>4</xdr:col>
                    <xdr:colOff>396240</xdr:colOff>
                    <xdr:row>5</xdr:row>
                    <xdr:rowOff>144780</xdr:rowOff>
                  </to>
                </anchor>
              </controlPr>
            </control>
          </mc:Choice>
        </mc:AlternateContent>
      </controls>
    </mc:Choice>
  </mc:AlternateContent>
  <tableParts count="1">
    <tablePart r:id="rId7"/>
  </tableParts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xr:uid="{5F201F10-1F9A-49F8-97B0-F4E860275DC5}">
          <x14:formula1>
            <xm:f>Reference!$B$2:$B$18</xm:f>
          </x14:formula1>
          <xm:sqref>D9:D16</xm:sqref>
        </x14:dataValidation>
        <x14:dataValidation type="list" allowBlank="1" showInputMessage="1" showErrorMessage="1" xr:uid="{E02C78AB-7012-46FC-A78B-572E63C075DA}">
          <x14:formula1>
            <xm:f>Reference!$C$2:$C$23</xm:f>
          </x14:formula1>
          <xm:sqref>F9:F16</xm:sqref>
        </x14:dataValidation>
        <x14:dataValidation type="list" allowBlank="1" showInputMessage="1" showErrorMessage="1" xr:uid="{29CD539A-4F39-46BD-A407-AEC90C156920}">
          <x14:formula1>
            <xm:f>Reference!$A$2:$A$8</xm:f>
          </x14:formula1>
          <xm:sqref>E9:E16</xm:sqref>
        </x14:dataValidation>
      </x14:dataValidations>
    </ext>
  </extLst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6F708CF-1BBD-445F-8000-06A8EB7E5D27}">
  <sheetPr codeName="Sheet18">
    <tabColor rgb="FF00B050"/>
  </sheetPr>
  <dimension ref="A1:XEY13"/>
  <sheetViews>
    <sheetView showGridLines="0" zoomScaleNormal="100" zoomScaleSheetLayoutView="85" workbookViewId="0">
      <pane ySplit="8" topLeftCell="A9" activePane="bottomLeft" state="frozen"/>
      <selection activeCell="C24" sqref="C24"/>
      <selection pane="bottomLeft" activeCell="B9" sqref="B9"/>
    </sheetView>
  </sheetViews>
  <sheetFormatPr defaultColWidth="0" defaultRowHeight="14.55" customHeight="1" zeroHeight="1"/>
  <cols>
    <col min="1" max="1" width="17" style="3" bestFit="1" customWidth="1"/>
    <col min="2" max="2" width="22.109375" style="33" customWidth="1"/>
    <col min="3" max="3" width="20" style="3" customWidth="1"/>
    <col min="4" max="4" width="24.109375" style="3" customWidth="1"/>
    <col min="5" max="5" width="17.33203125" style="3" customWidth="1"/>
    <col min="6" max="6" width="13.109375" style="3" hidden="1" customWidth="1"/>
    <col min="7" max="9" width="15" style="3" hidden="1" customWidth="1"/>
    <col min="10" max="10" width="57.44140625" style="3" customWidth="1"/>
    <col min="11" max="16370" width="8.77734375" style="3" hidden="1"/>
    <col min="16371" max="16379" width="0" style="3" hidden="1"/>
    <col min="16380" max="16384" width="8.77734375" style="3" hidden="1"/>
  </cols>
  <sheetData>
    <row r="1" spans="1:10" ht="14.4">
      <c r="A1" s="24" t="str">
        <f>'Revision History'!$D$4</f>
        <v>REV. NO.2 (9/14/2022)</v>
      </c>
      <c r="B1" s="25"/>
      <c r="C1" s="25"/>
      <c r="D1" s="25"/>
      <c r="E1" s="25"/>
      <c r="F1" s="25"/>
      <c r="G1" s="25"/>
      <c r="H1" s="25"/>
      <c r="I1" s="25"/>
      <c r="J1" s="26" t="str">
        <f>'Revision History'!$J$4</f>
        <v>Scott Research Group (jkscottresearchgroup.com)</v>
      </c>
    </row>
    <row r="2" spans="1:10" ht="18">
      <c r="A2" s="57" t="s">
        <v>34</v>
      </c>
      <c r="B2" s="58"/>
      <c r="C2" s="58"/>
      <c r="D2" s="58"/>
      <c r="E2" s="58"/>
      <c r="F2" s="58"/>
      <c r="G2" s="58"/>
      <c r="H2" s="58"/>
      <c r="I2" s="58"/>
      <c r="J2" s="59"/>
    </row>
    <row r="3" spans="1:10" ht="14.55" customHeight="1">
      <c r="A3" s="13"/>
      <c r="B3" s="14"/>
      <c r="C3" s="15"/>
      <c r="D3" s="16"/>
      <c r="E3" s="16"/>
      <c r="F3" s="16"/>
      <c r="G3" s="16"/>
      <c r="H3" s="16"/>
      <c r="I3" s="16"/>
      <c r="J3" s="60" t="str">
        <f>IF(COUNTIF(Table110236[Test 3],1)=COUNTA(Table110236[Value]),"Ready","Not Ready")</f>
        <v>Ready</v>
      </c>
    </row>
    <row r="4" spans="1:10" ht="14.55" customHeight="1">
      <c r="A4" s="17"/>
      <c r="B4" s="18"/>
      <c r="C4" s="46"/>
      <c r="D4" s="46"/>
      <c r="E4" s="46"/>
      <c r="F4" s="46"/>
      <c r="G4" s="19"/>
      <c r="H4" s="46"/>
      <c r="I4" s="46"/>
      <c r="J4" s="61"/>
    </row>
    <row r="5" spans="1:10" ht="14.55" customHeight="1">
      <c r="A5" s="17"/>
      <c r="B5" s="18"/>
      <c r="C5" s="46"/>
      <c r="D5" s="46"/>
      <c r="E5" s="46"/>
      <c r="F5" s="46"/>
      <c r="G5" s="19"/>
      <c r="H5" s="46"/>
      <c r="I5" s="46"/>
      <c r="J5" s="61"/>
    </row>
    <row r="6" spans="1:10" ht="14.55" customHeight="1">
      <c r="A6" s="17"/>
      <c r="B6" s="18"/>
      <c r="C6" s="46"/>
      <c r="D6" s="46"/>
      <c r="E6" s="46"/>
      <c r="F6" s="46"/>
      <c r="G6" s="19"/>
      <c r="H6" s="46"/>
      <c r="I6" s="46"/>
      <c r="J6" s="61"/>
    </row>
    <row r="7" spans="1:10" ht="14.55" customHeight="1">
      <c r="A7" s="20"/>
      <c r="B7" s="21"/>
      <c r="C7" s="22"/>
      <c r="D7" s="22"/>
      <c r="E7" s="22"/>
      <c r="F7" s="22"/>
      <c r="G7" s="23"/>
      <c r="H7" s="22"/>
      <c r="I7" s="22"/>
      <c r="J7" s="62"/>
    </row>
    <row r="8" spans="1:10" ht="14.4">
      <c r="A8" s="27" t="s">
        <v>0</v>
      </c>
      <c r="B8" s="28" t="s">
        <v>1</v>
      </c>
      <c r="C8" s="28" t="s">
        <v>2</v>
      </c>
      <c r="D8" s="28" t="s">
        <v>14</v>
      </c>
      <c r="E8" s="28" t="s">
        <v>67</v>
      </c>
      <c r="F8" s="29" t="s">
        <v>43</v>
      </c>
      <c r="G8" s="29" t="s">
        <v>72</v>
      </c>
      <c r="H8" s="28" t="s">
        <v>73</v>
      </c>
      <c r="I8" s="30" t="s">
        <v>82</v>
      </c>
      <c r="J8" s="30" t="s">
        <v>12</v>
      </c>
    </row>
    <row r="9" spans="1:10" ht="28.8">
      <c r="A9" s="48" t="s">
        <v>112</v>
      </c>
      <c r="B9" s="31"/>
      <c r="C9" s="34" t="s">
        <v>101</v>
      </c>
      <c r="D9" s="1" t="s">
        <v>24</v>
      </c>
      <c r="E9" s="1" t="s">
        <v>7</v>
      </c>
      <c r="F9" s="2" t="s">
        <v>51</v>
      </c>
      <c r="G9" s="1">
        <v>1</v>
      </c>
      <c r="H9" s="1">
        <v>1</v>
      </c>
      <c r="I9" s="54">
        <f>[2]Initialization!$B$14</f>
        <v>0</v>
      </c>
      <c r="J9" s="5" t="s">
        <v>104</v>
      </c>
    </row>
    <row r="10" spans="1:10" ht="28.8">
      <c r="A10" s="48" t="s">
        <v>113</v>
      </c>
      <c r="B10" s="31"/>
      <c r="C10" s="34" t="s">
        <v>101</v>
      </c>
      <c r="D10" s="1" t="s">
        <v>24</v>
      </c>
      <c r="E10" s="1" t="s">
        <v>7</v>
      </c>
      <c r="F10" s="2" t="s">
        <v>51</v>
      </c>
      <c r="G10" s="1">
        <v>1</v>
      </c>
      <c r="H10" s="1">
        <v>1</v>
      </c>
      <c r="I10" s="54">
        <f>[2]Initialization!$B$14</f>
        <v>0</v>
      </c>
      <c r="J10" s="5" t="s">
        <v>105</v>
      </c>
    </row>
    <row r="11" spans="1:10" ht="14.4">
      <c r="A11" s="48" t="s">
        <v>117</v>
      </c>
      <c r="B11" s="31">
        <v>7.8300000000000002E-3</v>
      </c>
      <c r="C11" s="34" t="s">
        <v>22</v>
      </c>
      <c r="D11" s="1" t="s">
        <v>24</v>
      </c>
      <c r="E11" s="1" t="s">
        <v>7</v>
      </c>
      <c r="F11" s="2" t="s">
        <v>51</v>
      </c>
      <c r="G11" s="1">
        <v>1</v>
      </c>
      <c r="H11" s="1">
        <v>1</v>
      </c>
      <c r="I11" s="6">
        <v>1</v>
      </c>
      <c r="J11" s="5" t="s">
        <v>108</v>
      </c>
    </row>
    <row r="12" spans="1:10" ht="14.4">
      <c r="A12" s="48" t="s">
        <v>118</v>
      </c>
      <c r="B12" s="31"/>
      <c r="C12" s="34" t="s">
        <v>111</v>
      </c>
      <c r="D12" s="1" t="s">
        <v>24</v>
      </c>
      <c r="E12" s="1" t="s">
        <v>7</v>
      </c>
      <c r="F12" s="2" t="s">
        <v>51</v>
      </c>
      <c r="G12" s="1">
        <v>1</v>
      </c>
      <c r="H12" s="1">
        <v>1</v>
      </c>
      <c r="I12" s="54">
        <f>[2]Initialization!$B$14</f>
        <v>0</v>
      </c>
      <c r="J12" s="5" t="s">
        <v>152</v>
      </c>
    </row>
    <row r="13" spans="1:10" ht="14.4">
      <c r="A13" s="8" t="s">
        <v>86</v>
      </c>
      <c r="B13" s="32"/>
      <c r="C13" s="9"/>
      <c r="D13" s="10"/>
      <c r="E13" s="10"/>
      <c r="F13" s="9"/>
      <c r="G13" s="10">
        <v>1</v>
      </c>
      <c r="H13" s="10">
        <v>1</v>
      </c>
      <c r="I13" s="11">
        <v>0</v>
      </c>
      <c r="J13" s="12" t="s">
        <v>87</v>
      </c>
    </row>
  </sheetData>
  <sheetProtection algorithmName="SHA-512" hashValue="5xasZ0BRrsT0ed6gzSDVYDEx15XECb7dr9o/B62uem3Puwv56Fm2Gjvu0h8fK/xaKUig7vZuw5gbstPQamTSqQ==" saltValue="BqQ4dmY2GmWLEOyNaQOyNw==" spinCount="100000" sheet="1" objects="1" scenarios="1" selectLockedCells="1"/>
  <mergeCells count="2">
    <mergeCell ref="A2:J2"/>
    <mergeCell ref="J3:J7"/>
  </mergeCells>
  <conditionalFormatting sqref="B9:B13">
    <cfRule type="expression" dxfId="19" priority="1">
      <formula>IF(AND($B9&lt;&gt;"",$I9=0),1,0)</formula>
    </cfRule>
    <cfRule type="expression" dxfId="18" priority="2">
      <formula>IF($B9&lt;&gt;"",1,0)</formula>
    </cfRule>
    <cfRule type="expression" dxfId="17" priority="3">
      <formula>$I9=0</formula>
    </cfRule>
  </conditionalFormatting>
  <conditionalFormatting sqref="J3">
    <cfRule type="expression" dxfId="16" priority="2291">
      <formula>IF(COUNTA($B$9:$B$13)&lt;&gt;COUNTIF($I$9:$I$13,1),1,0)</formula>
    </cfRule>
    <cfRule type="expression" dxfId="15" priority="2292">
      <formula>IF(COUNTA($B$9:$B$13)=COUNTIF($I$9:$I$13,1),1,0)</formula>
    </cfRule>
  </conditionalFormatting>
  <pageMargins left="0.7" right="0.7" top="0.75" bottom="0.75" header="0.3" footer="0.3"/>
  <pageSetup scale="3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91137" r:id="rId4" name="Button 1">
              <controlPr defaultSize="0" autoFill="0" autoPict="0" macro="[0]!initComs">
                <anchor moveWithCells="1" sizeWithCells="1">
                  <from>
                    <xdr:col>0</xdr:col>
                    <xdr:colOff>175260</xdr:colOff>
                    <xdr:row>3</xdr:row>
                    <xdr:rowOff>76200</xdr:rowOff>
                  </from>
                  <to>
                    <xdr:col>1</xdr:col>
                    <xdr:colOff>922020</xdr:colOff>
                    <xdr:row>5</xdr:row>
                    <xdr:rowOff>144780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1138" r:id="rId5" name="Button 2">
              <controlPr defaultSize="0" autoFill="0" autoPict="0" macro="[0]!pushData">
                <anchor moveWithCells="1" sizeWithCells="1">
                  <from>
                    <xdr:col>1</xdr:col>
                    <xdr:colOff>1013460</xdr:colOff>
                    <xdr:row>3</xdr:row>
                    <xdr:rowOff>76200</xdr:rowOff>
                  </from>
                  <to>
                    <xdr:col>3</xdr:col>
                    <xdr:colOff>38100</xdr:colOff>
                    <xdr:row>5</xdr:row>
                    <xdr:rowOff>137160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1139" r:id="rId6" name="Button 3">
              <controlPr defaultSize="0" autoFill="0" autoPict="0" macro="[0]!clearData">
                <anchor moveWithCells="1" sizeWithCells="1">
                  <from>
                    <xdr:col>3</xdr:col>
                    <xdr:colOff>137160</xdr:colOff>
                    <xdr:row>3</xdr:row>
                    <xdr:rowOff>76200</xdr:rowOff>
                  </from>
                  <to>
                    <xdr:col>4</xdr:col>
                    <xdr:colOff>396240</xdr:colOff>
                    <xdr:row>5</xdr:row>
                    <xdr:rowOff>144780</xdr:rowOff>
                  </to>
                </anchor>
              </controlPr>
            </control>
          </mc:Choice>
        </mc:AlternateContent>
      </controls>
    </mc:Choice>
  </mc:AlternateContent>
  <tableParts count="1">
    <tablePart r:id="rId7"/>
  </tableParts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xr:uid="{C94D027D-4BF8-44AF-AC0C-6CF95E50D38C}">
          <x14:formula1>
            <xm:f>Reference!$A$2:$A$8</xm:f>
          </x14:formula1>
          <xm:sqref>E9:E13</xm:sqref>
        </x14:dataValidation>
        <x14:dataValidation type="list" allowBlank="1" showInputMessage="1" showErrorMessage="1" xr:uid="{8CBAE37C-F906-4391-9577-563CEA9BEAE1}">
          <x14:formula1>
            <xm:f>Reference!$C$2:$C$23</xm:f>
          </x14:formula1>
          <xm:sqref>F9:F13</xm:sqref>
        </x14:dataValidation>
        <x14:dataValidation type="list" allowBlank="1" showInputMessage="1" showErrorMessage="1" xr:uid="{33609731-CEE8-42C2-9677-EA76B36D534B}">
          <x14:formula1>
            <xm:f>Reference!$B$2:$B$18</xm:f>
          </x14:formula1>
          <xm:sqref>D9:D13</xm:sqref>
        </x14:dataValidation>
      </x14:dataValidations>
    </ext>
  </extLst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BC8B8BC-5E04-4CCB-B43E-2F0C3B333C07}">
  <sheetPr codeName="Sheet20">
    <tabColor rgb="FF00B050"/>
  </sheetPr>
  <dimension ref="A1:Q7"/>
  <sheetViews>
    <sheetView showGridLines="0" zoomScaleNormal="100" zoomScaleSheetLayoutView="55" workbookViewId="0">
      <pane ySplit="1" topLeftCell="A2" activePane="bottomLeft" state="frozen"/>
      <selection activeCell="C7" sqref="C7"/>
      <selection pane="bottomLeft" activeCell="A2" sqref="A2:Q2"/>
    </sheetView>
  </sheetViews>
  <sheetFormatPr defaultColWidth="0" defaultRowHeight="0" customHeight="1" zeroHeight="1"/>
  <cols>
    <col min="1" max="2" width="8.77734375" style="50" customWidth="1"/>
    <col min="3" max="3" width="13.109375" style="50" customWidth="1"/>
    <col min="4" max="4" width="13.44140625" style="50" customWidth="1"/>
    <col min="5" max="6" width="8.77734375" style="50" customWidth="1"/>
    <col min="7" max="7" width="14.77734375" style="50" customWidth="1"/>
    <col min="8" max="8" width="11.6640625" style="50" customWidth="1"/>
    <col min="9" max="9" width="10.33203125" style="50" customWidth="1"/>
    <col min="10" max="10" width="5.6640625" style="50" customWidth="1"/>
    <col min="11" max="11" width="10.44140625" style="50" customWidth="1"/>
    <col min="12" max="17" width="8.77734375" style="50" customWidth="1"/>
    <col min="18" max="16384" width="8.77734375" style="50" hidden="1"/>
  </cols>
  <sheetData>
    <row r="1" spans="1:17" ht="14.4">
      <c r="A1" s="24" t="str">
        <f>'Revision History'!D4</f>
        <v>REV. NO.2 (9/14/2022)</v>
      </c>
      <c r="B1" s="25"/>
      <c r="C1" s="25"/>
      <c r="D1" s="25"/>
      <c r="E1" s="25"/>
      <c r="F1" s="25"/>
      <c r="G1" s="25"/>
      <c r="H1" s="25"/>
      <c r="I1" s="26"/>
      <c r="J1" s="26"/>
      <c r="K1" s="26"/>
      <c r="L1" s="26"/>
      <c r="M1" s="26"/>
      <c r="N1" s="26"/>
      <c r="O1" s="26"/>
      <c r="P1" s="26"/>
      <c r="Q1" s="26" t="str">
        <f>'Revision History'!$J$4</f>
        <v>Scott Research Group (jkscottresearchgroup.com)</v>
      </c>
    </row>
    <row r="2" spans="1:17" ht="14.4">
      <c r="A2" s="63" t="s">
        <v>130</v>
      </c>
      <c r="B2" s="64"/>
      <c r="C2" s="64"/>
      <c r="D2" s="64"/>
      <c r="E2" s="64"/>
      <c r="F2" s="64"/>
      <c r="G2" s="64"/>
      <c r="H2" s="64"/>
      <c r="I2" s="64"/>
      <c r="J2" s="64"/>
      <c r="K2" s="64"/>
      <c r="L2" s="64"/>
      <c r="M2" s="64"/>
      <c r="N2" s="64"/>
      <c r="O2" s="64"/>
      <c r="P2" s="64"/>
      <c r="Q2" s="64"/>
    </row>
    <row r="3" spans="1:17" ht="14.4">
      <c r="A3" s="51"/>
      <c r="B3" s="52"/>
      <c r="C3" s="52"/>
      <c r="D3" s="52"/>
      <c r="E3" s="52"/>
      <c r="F3" s="52"/>
      <c r="G3" s="52"/>
      <c r="H3" s="52"/>
      <c r="I3" s="52"/>
      <c r="J3" s="52"/>
      <c r="K3" s="52"/>
      <c r="L3" s="52"/>
      <c r="M3" s="52"/>
      <c r="N3" s="52"/>
      <c r="O3" s="52"/>
      <c r="P3" s="52"/>
      <c r="Q3" s="52"/>
    </row>
    <row r="4" spans="1:17" ht="14.4">
      <c r="A4" s="51"/>
      <c r="B4" s="52" t="s">
        <v>131</v>
      </c>
      <c r="C4" s="52"/>
      <c r="D4" s="52"/>
      <c r="E4" s="52"/>
      <c r="F4" s="52"/>
      <c r="G4" s="52"/>
      <c r="H4" s="52"/>
      <c r="I4" s="52"/>
      <c r="J4" s="52"/>
      <c r="K4" s="52"/>
      <c r="L4" s="52"/>
      <c r="M4" s="52"/>
      <c r="N4" s="52"/>
      <c r="O4" s="52"/>
      <c r="P4" s="52"/>
      <c r="Q4" s="52"/>
    </row>
    <row r="5" spans="1:17" ht="14.4">
      <c r="A5" s="51"/>
      <c r="B5" s="53"/>
      <c r="C5" s="52" t="s">
        <v>132</v>
      </c>
      <c r="D5" s="52"/>
      <c r="E5" s="52"/>
      <c r="F5" s="52"/>
      <c r="G5" s="52"/>
      <c r="H5" s="52"/>
      <c r="I5" s="52"/>
      <c r="J5" s="52"/>
      <c r="K5" s="52"/>
      <c r="L5" s="52"/>
      <c r="M5" s="52"/>
      <c r="N5" s="52"/>
      <c r="O5" s="52"/>
      <c r="P5" s="52"/>
      <c r="Q5" s="52"/>
    </row>
    <row r="6" spans="1:17" ht="14.4">
      <c r="A6" s="51"/>
      <c r="B6" s="52"/>
      <c r="C6" s="52" t="s">
        <v>133</v>
      </c>
      <c r="D6" s="52"/>
      <c r="E6" s="52"/>
      <c r="F6" s="52"/>
      <c r="G6" s="52"/>
      <c r="H6" s="52"/>
      <c r="I6" s="52"/>
      <c r="J6" s="52"/>
      <c r="K6" s="52"/>
      <c r="L6" s="52"/>
      <c r="M6" s="52"/>
      <c r="N6" s="52"/>
      <c r="O6" s="52"/>
      <c r="P6" s="52"/>
      <c r="Q6" s="52"/>
    </row>
    <row r="7" spans="1:17" ht="14.4">
      <c r="A7" s="51"/>
      <c r="B7" s="52"/>
      <c r="C7" s="52"/>
      <c r="D7" s="52"/>
      <c r="E7" s="52"/>
      <c r="F7" s="52"/>
      <c r="G7" s="52"/>
      <c r="H7" s="52"/>
      <c r="I7" s="52"/>
      <c r="J7" s="52"/>
      <c r="K7" s="52"/>
      <c r="L7" s="52"/>
      <c r="M7" s="52"/>
      <c r="N7" s="52"/>
      <c r="O7" s="52"/>
      <c r="P7" s="52"/>
      <c r="Q7" s="52"/>
    </row>
  </sheetData>
  <sheetProtection selectLockedCells="1" selectUnlockedCells="1"/>
  <mergeCells count="1">
    <mergeCell ref="A2:Q2"/>
  </mergeCells>
  <pageMargins left="0.7" right="0.7" top="0.75" bottom="0.75" header="0.3" footer="0.3"/>
  <pageSetup scale="20" orientation="portrait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98319B7-1967-46D0-8D87-4BC407B474B1}">
  <sheetPr codeName="Sheet16"/>
  <dimension ref="A1:A3"/>
  <sheetViews>
    <sheetView workbookViewId="0">
      <selection activeCell="A2" sqref="A2"/>
    </sheetView>
  </sheetViews>
  <sheetFormatPr defaultColWidth="8.77734375" defaultRowHeight="14.4"/>
  <sheetData>
    <row r="1" spans="1:1">
      <c r="A1" t="s">
        <v>97</v>
      </c>
    </row>
    <row r="2" spans="1:1">
      <c r="A2" t="s">
        <v>95</v>
      </c>
    </row>
    <row r="3" spans="1:1">
      <c r="A3" t="s">
        <v>96</v>
      </c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3FE79A7-74DB-4D85-8B2D-0532AFDE8723}">
  <sheetPr codeName="Sheet3">
    <tabColor rgb="FFFFC000"/>
  </sheetPr>
  <dimension ref="A1:W2"/>
  <sheetViews>
    <sheetView workbookViewId="0">
      <selection activeCell="P2" sqref="P2"/>
    </sheetView>
  </sheetViews>
  <sheetFormatPr defaultColWidth="8.77734375" defaultRowHeight="14.4"/>
  <cols>
    <col min="7" max="7" width="12" bestFit="1" customWidth="1"/>
    <col min="15" max="15" width="12" bestFit="1" customWidth="1"/>
    <col min="16" max="16" width="13.109375" bestFit="1" customWidth="1"/>
  </cols>
  <sheetData>
    <row r="1" spans="1:23">
      <c r="A1" t="s">
        <v>106</v>
      </c>
      <c r="B1" t="s">
        <v>134</v>
      </c>
      <c r="C1" t="s">
        <v>86</v>
      </c>
      <c r="D1" t="s">
        <v>128</v>
      </c>
      <c r="E1" t="s">
        <v>102</v>
      </c>
      <c r="F1" t="s">
        <v>103</v>
      </c>
      <c r="G1" t="s">
        <v>86</v>
      </c>
      <c r="H1" t="s">
        <v>70</v>
      </c>
      <c r="I1" t="s">
        <v>33</v>
      </c>
      <c r="J1" t="s">
        <v>86</v>
      </c>
      <c r="K1" t="s">
        <v>142</v>
      </c>
      <c r="L1" t="s">
        <v>144</v>
      </c>
      <c r="M1" t="s">
        <v>147</v>
      </c>
      <c r="N1" t="s">
        <v>143</v>
      </c>
      <c r="O1" t="s">
        <v>145</v>
      </c>
      <c r="P1" t="s">
        <v>146</v>
      </c>
      <c r="Q1" t="s">
        <v>116</v>
      </c>
      <c r="R1" t="s">
        <v>86</v>
      </c>
      <c r="S1" t="s">
        <v>112</v>
      </c>
      <c r="T1" t="s">
        <v>113</v>
      </c>
      <c r="U1" t="s">
        <v>117</v>
      </c>
      <c r="V1" t="s">
        <v>118</v>
      </c>
      <c r="W1" t="s">
        <v>86</v>
      </c>
    </row>
    <row r="2" spans="1:23">
      <c r="A2">
        <v>5</v>
      </c>
      <c r="B2">
        <v>1</v>
      </c>
      <c r="D2">
        <v>76.2</v>
      </c>
      <c r="E2">
        <v>1.143</v>
      </c>
      <c r="F2">
        <v>1.643</v>
      </c>
      <c r="H2">
        <v>0.48</v>
      </c>
      <c r="I2">
        <v>0.25240000000000001</v>
      </c>
      <c r="K2">
        <v>3.0856051519999999</v>
      </c>
      <c r="L2">
        <v>2.9313248943999999</v>
      </c>
      <c r="M2">
        <v>3.2707414611200001</v>
      </c>
      <c r="N2">
        <v>0.47649581499999999</v>
      </c>
      <c r="O2">
        <v>0.45267102424999994</v>
      </c>
      <c r="P2">
        <v>0.50032060575000004</v>
      </c>
      <c r="Q2">
        <v>318.14999999999998</v>
      </c>
      <c r="U2">
        <v>7.8300000000000002E-3</v>
      </c>
    </row>
  </sheetData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C238338-8DBA-460B-B2BA-61B74F5844E1}">
  <sheetPr codeName="Sheet9">
    <tabColor rgb="FFFFC000"/>
  </sheetPr>
  <dimension ref="A1:W2"/>
  <sheetViews>
    <sheetView topLeftCell="CC1" workbookViewId="0">
      <selection activeCell="CR2" sqref="CR2"/>
    </sheetView>
  </sheetViews>
  <sheetFormatPr defaultColWidth="8.77734375" defaultRowHeight="14.4"/>
  <sheetData>
    <row r="1" spans="1:23">
      <c r="A1" t="s">
        <v>106</v>
      </c>
      <c r="B1" t="s">
        <v>134</v>
      </c>
      <c r="C1" t="s">
        <v>86</v>
      </c>
      <c r="D1" t="s">
        <v>128</v>
      </c>
      <c r="E1" t="s">
        <v>102</v>
      </c>
      <c r="F1" t="s">
        <v>103</v>
      </c>
      <c r="G1" t="s">
        <v>86</v>
      </c>
      <c r="H1" t="s">
        <v>70</v>
      </c>
      <c r="I1" t="s">
        <v>33</v>
      </c>
      <c r="J1" t="s">
        <v>86</v>
      </c>
      <c r="K1" t="s">
        <v>142</v>
      </c>
      <c r="L1" t="s">
        <v>144</v>
      </c>
      <c r="M1" t="s">
        <v>147</v>
      </c>
      <c r="N1" t="s">
        <v>143</v>
      </c>
      <c r="O1" t="s">
        <v>145</v>
      </c>
      <c r="P1" t="s">
        <v>146</v>
      </c>
      <c r="Q1" t="s">
        <v>116</v>
      </c>
      <c r="R1" t="s">
        <v>86</v>
      </c>
      <c r="S1" t="s">
        <v>112</v>
      </c>
      <c r="T1" t="s">
        <v>113</v>
      </c>
      <c r="U1" t="s">
        <v>117</v>
      </c>
      <c r="V1" t="s">
        <v>118</v>
      </c>
      <c r="W1" t="s">
        <v>86</v>
      </c>
    </row>
    <row r="2" spans="1:23">
      <c r="A2">
        <v>1</v>
      </c>
      <c r="B2">
        <v>1</v>
      </c>
      <c r="C2">
        <v>0</v>
      </c>
      <c r="D2">
        <v>1</v>
      </c>
      <c r="E2">
        <v>1</v>
      </c>
      <c r="F2">
        <v>1</v>
      </c>
      <c r="G2">
        <v>0</v>
      </c>
      <c r="H2">
        <v>1</v>
      </c>
      <c r="I2">
        <v>1</v>
      </c>
      <c r="J2">
        <v>0</v>
      </c>
      <c r="K2">
        <v>1</v>
      </c>
      <c r="L2">
        <v>1</v>
      </c>
      <c r="M2">
        <v>1</v>
      </c>
      <c r="N2">
        <v>1</v>
      </c>
      <c r="O2">
        <v>1</v>
      </c>
      <c r="P2">
        <v>1</v>
      </c>
      <c r="Q2">
        <v>1</v>
      </c>
      <c r="R2">
        <v>0</v>
      </c>
      <c r="S2">
        <v>0</v>
      </c>
      <c r="T2">
        <v>0</v>
      </c>
      <c r="U2">
        <v>1</v>
      </c>
      <c r="V2">
        <v>0</v>
      </c>
      <c r="W2">
        <v>0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11</vt:i4>
      </vt:variant>
      <vt:variant>
        <vt:lpstr>Named Ranges</vt:lpstr>
      </vt:variant>
      <vt:variant>
        <vt:i4>6</vt:i4>
      </vt:variant>
    </vt:vector>
  </HeadingPairs>
  <TitlesOfParts>
    <vt:vector size="17" baseType="lpstr">
      <vt:lpstr>Revision History</vt:lpstr>
      <vt:lpstr>Reference</vt:lpstr>
      <vt:lpstr>Initialization</vt:lpstr>
      <vt:lpstr>Geometry</vt:lpstr>
      <vt:lpstr>Adsorber Packing</vt:lpstr>
      <vt:lpstr>Adsorber Design</vt:lpstr>
      <vt:lpstr>Physical Properties</vt:lpstr>
      <vt:lpstr>Help</vt:lpstr>
      <vt:lpstr>maintenance check list</vt:lpstr>
      <vt:lpstr>Data(Transposed)</vt:lpstr>
      <vt:lpstr>Data(Test)</vt:lpstr>
      <vt:lpstr>'Adsorber Design'!Print_Area</vt:lpstr>
      <vt:lpstr>'Adsorber Packing'!Print_Area</vt:lpstr>
      <vt:lpstr>Geometry!Print_Area</vt:lpstr>
      <vt:lpstr>Initialization!Print_Area</vt:lpstr>
      <vt:lpstr>'Physical Properties'!Print_Area</vt:lpstr>
      <vt:lpstr>'Revision History'!Print_Area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Kim, Taehun</dc:creator>
  <cp:lastModifiedBy>Kim, Taehun</cp:lastModifiedBy>
  <cp:lastPrinted>2020-11-27T00:08:43Z</cp:lastPrinted>
  <dcterms:created xsi:type="dcterms:W3CDTF">2020-11-24T18:36:54Z</dcterms:created>
  <dcterms:modified xsi:type="dcterms:W3CDTF">2022-12-07T21:15:43Z</dcterms:modified>
</cp:coreProperties>
</file>