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14" codeName="{BC58C6B1-8752-B0C3-C2C4-DFD462C6FBC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taehunkim/Documents/GitHub/toPSAil/4_example/case_study_5.0/1_simulation_inputs/"/>
    </mc:Choice>
  </mc:AlternateContent>
  <xr:revisionPtr revIDLastSave="0" documentId="13_ncr:1_{EAF59E3B-833E-7D49-96E0-AB6A876C68AA}" xr6:coauthVersionLast="47" xr6:coauthVersionMax="47" xr10:uidLastSave="{00000000-0000-0000-0000-000000000000}"/>
  <bookViews>
    <workbookView xWindow="-100" yWindow="0" windowWidth="23260" windowHeight="13180" tabRatio="818" activeTab="2" xr2:uid="{CB583278-6AF7-49E7-A969-6064EAB4A9B4}"/>
  </bookViews>
  <sheets>
    <sheet name="Reference" sheetId="2" state="hidden" r:id="rId1"/>
    <sheet name="Revision History" sheetId="39" r:id="rId2"/>
    <sheet name="Initialization" sheetId="40" r:id="rId3"/>
    <sheet name="Geometry" sheetId="43" r:id="rId4"/>
    <sheet name="Physical Properties" sheetId="31" r:id="rId5"/>
    <sheet name="Control" sheetId="44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externalReferences>
    <externalReference r:id="rId10"/>
  </externalReferences>
  <definedNames>
    <definedName name="_xlnm._FilterDatabase" localSheetId="5" hidden="1">Control!$A$9:$J$9</definedName>
    <definedName name="_xlnm._FilterDatabase" localSheetId="3" hidden="1">Geometry!$A$9:$J$9</definedName>
    <definedName name="_xlnm._FilterDatabase" localSheetId="2" hidden="1">Initialization!$A$9:$J$9</definedName>
    <definedName name="_xlnm._FilterDatabase" localSheetId="4" hidden="1">'Physical Properties'!$A$9:$J$9</definedName>
    <definedName name="_xlnm.Print_Area" localSheetId="5">Control!$A$2:$J$13</definedName>
    <definedName name="_xlnm.Print_Area" localSheetId="3">Geometry!$A$2:$J$13</definedName>
    <definedName name="_xlnm.Print_Area" localSheetId="2">Initialization!$A$2:$J$13</definedName>
    <definedName name="_xlnm.Print_Area" localSheetId="4">'Physical Properties'!$A$2:$J$14</definedName>
    <definedName name="_xlnm.Print_Area" localSheetId="1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10" i="44" l="1"/>
  <c r="I11" i="44"/>
  <c r="I12" i="44"/>
  <c r="I13" i="31"/>
  <c r="I11" i="31"/>
  <c r="I10" i="31"/>
  <c r="J4" i="44" l="1"/>
  <c r="J2" i="44"/>
  <c r="A2" i="44"/>
  <c r="J2" i="31"/>
  <c r="A2" i="31"/>
  <c r="J2" i="43"/>
  <c r="A2" i="43"/>
  <c r="J2" i="40"/>
  <c r="A2" i="40"/>
  <c r="J4" i="43" l="1"/>
  <c r="J4" i="40" l="1"/>
  <c r="J4" i="3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tc={EC15F513-2B4D-44C7-9046-ED9392180BB4}</author>
    <author>tc={4D8BC438-D49B-455D-A372-081FDDFE29BE}</author>
    <author>tc={083035D6-F670-4C55-8177-0FF26052F9F2}</author>
  </authors>
  <commentList>
    <comment ref="G9" authorId="0" shapeId="0" xr:uid="{EC15F513-2B4D-44C7-9046-ED9392180BB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D8BC438-D49B-455D-A372-081FDDFE29B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083035D6-F670-4C55-8177-0FF26052F9F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tc={5CF8456C-E29F-4B72-ABE5-1FAF09AB14DB}</author>
    <author>tc={76134A13-A10E-498C-BE0C-A35275B3AACE}</author>
    <author>tc={CA7E41C9-6F47-4585-8D78-E25D033F8587}</author>
  </authors>
  <commentList>
    <comment ref="G9" authorId="0" shapeId="0" xr:uid="{5CF8456C-E29F-4B72-ABE5-1FAF09AB14D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6134A13-A10E-498C-BE0C-A35275B3AAC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CA7E41C9-6F47-4585-8D78-E25D033F858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tc={097155E7-95C7-4F81-9C85-C4A524BE8917}</author>
    <author>tc={00051905-C3DD-4457-AAD8-72BC66947855}</author>
    <author>tc={64A9060D-EF29-473C-8859-5A9FCCE88F46}</author>
  </authors>
  <commentList>
    <comment ref="G9" authorId="0" shapeId="0" xr:uid="{097155E7-95C7-4F81-9C85-C4A524BE8917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0051905-C3DD-4457-AAD8-72BC66947855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64A9060D-EF29-473C-8859-5A9FCCE88F4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tc={140666CE-EF2C-9944-9876-798DC985D3F5}</author>
    <author>tc={5159B78C-B001-9C4E-94CE-CB20C78B8A53}</author>
    <author>tc={8A269DA9-18AE-CD40-B00D-60DD3F6D3339}</author>
  </authors>
  <commentList>
    <comment ref="G9" authorId="0" shapeId="0" xr:uid="{140666CE-EF2C-9944-9876-798DC985D3F5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5159B78C-B001-9C4E-94CE-CB20C78B8A53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8A269DA9-18AE-CD40-B00D-60DD3F6D3339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<sst xmlns="http://schemas.openxmlformats.org/spreadsheetml/2006/main" count="281" uniqueCount="140">
  <si>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</si>
  <si>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</si>
  <si>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</si>
  <si>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</si>
  <si>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</si>
  <si>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</si>
  <si>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</si>
  <si>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</si>
  <si>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</si>
  <si>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</si>
  <si>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</si>
  <si>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</si>
  <si>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</si>
  <si>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</si>
  <si>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</si>
  <si>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</si>
  <si>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</si>
  <si>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</si>
  <si>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</si>
  <si>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</si>
  <si>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</si>
  <si>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</si>
  <si>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</si>
  <si>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</si>
  <si>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</si>
  <si>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</si>
  <si>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</si>
  <si>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</si>
  <si>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</si>
  <si>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</si>
  <si>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</si>
  <si>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</si>
  <si>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</si>
  <si>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</si>
  <si>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</si>
  <si>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</si>
  <si>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</si>
  <si>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</si>
  <si>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</si>
  <si>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</si>
  <si>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</si>
  <si>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</si>
  <si>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</si>
  <si>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</si>
  <si>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</si>
  <si>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</si>
  <si>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</si>
  <si>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</si>
  <si>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</si>
  <si>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</si>
  <si>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</si>
  <si>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</si>
  <si>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</si>
  <si>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</si>
  <si>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</si>
  <si>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</si>
  <si>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</si>
  <si>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</si>
  <si>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</si>
  <si>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</si>
  <si>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</si>
  <si>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</si>
  <si>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</si>
  <si>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</si>
  <si>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</si>
  <si>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</si>
  <si>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</si>
  <si>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</si>
  <si>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</si>
  <si>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cm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</si>
  <si>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</si>
  <si>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</si>
  <si>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</si>
  <si>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</si>
  <si>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</si>
  <si>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</si>
  <si>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</si>
  <si>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</si>
  <si>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</si>
  <si>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</si>
  <si>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</si>
  <si>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</si>
  <si>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</si>
  <si>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</si>
  <si>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</si>
  <si>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</si>
  <si>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</si>
  <si>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</si>
  <si>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</si>
  <si>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</si>
  <si>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</si>
  <si>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</si>
  <si>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</si>
  <si>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</si>
  <si>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the inner radius of a tank</t>
  </si>
  <si>
    <t>the outer radius of a tank</t>
  </si>
  <si>
    <t>the height of a tank</t>
  </si>
  <si>
    <t>MassTransferResistance</t>
  </si>
  <si>
    <t>Boolean</t>
  </si>
  <si>
    <t>numTanks</t>
  </si>
  <si>
    <t>J/kg-K</t>
  </si>
  <si>
    <t>inConRaTa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</si>
  <si>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</si>
  <si>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</si>
  <si>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</si>
  <si>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</si>
  <si>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</si>
  <si>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</si>
  <si>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</si>
  <si>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</si>
  <si>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</si>
  <si>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</si>
  <si>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</si>
  <si>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</si>
  <si>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tempRaTa</t>
  </si>
  <si>
    <t>presRaTa</t>
  </si>
  <si>
    <t>radInRaTa</t>
  </si>
  <si>
    <t>radOutRaTa</t>
  </si>
  <si>
    <t>heightRaTa</t>
  </si>
  <si>
    <t>htTrCoInRaTa</t>
  </si>
  <si>
    <t>htTrCoOutRaTa</t>
  </si>
  <si>
    <t>waDensRaTa</t>
  </si>
  <si>
    <t>htCapRaTa</t>
  </si>
  <si>
    <t>Raffinate tank initial temperature</t>
  </si>
  <si>
    <t>The initial pressure for the raffinate tank</t>
  </si>
  <si>
    <t>valRaTaFull</t>
  </si>
  <si>
    <t>presRaTaFull</t>
  </si>
  <si>
    <t>presRaTaSet</t>
  </si>
  <si>
    <t>Raffinate tank set pressure value</t>
  </si>
  <si>
    <t>Raffinate tank fully open pressure value</t>
  </si>
  <si>
    <t>Fully-open raffinate product tank outlet linear valve constant</t>
  </si>
  <si>
    <t>kmol/bar-sec</t>
  </si>
  <si>
    <t>Finalized the spreadsheet for the v1.0 release</t>
  </si>
  <si>
    <t>REV. NO.2 (9/14/2022)</t>
  </si>
  <si>
    <t>Initial development of the "3.3_raffinate_tank_properties.xlsm" sheet.</t>
  </si>
  <si>
    <t>1 = raffinate product gas with no heavy keys at the high pressure
2 = raffinate product gas with no heavy keys at the raffinate product pressure
3 = raffinate product gas at a high pressure
4 = raffinate product gas at a raffinate product pressure</t>
  </si>
  <si>
    <t>the heat transfer coefficient from the raffinate tank to its wall</t>
  </si>
  <si>
    <t>the heat transfer coefficient from the raffinate tank wall to the ambient environment</t>
  </si>
  <si>
    <t>the wall density for the raffinate tank</t>
  </si>
  <si>
    <t>the heat capacity of the raffinate tank wall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</si>
</sst>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vertAlign val="superscript"/>
      <sz val="11"/>
      <color theme="1"/>
      <name val="Consolas"/>
      <family val="3"/>
    </font>
    <font>
      <b/>
      <i/>
      <sz val="11"/>
      <color theme="1"/>
      <name val="Consolas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2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15" fillId="5" borderId="0" xfId="2" applyFont="1" applyFill="1" applyAlignment="1" applyProtection="1">
      <alignment horizontal="right"/>
    </xf>
    <xf numFmtId="0" fontId="4" fillId="4" borderId="0" xfId="0" applyFont="1" applyFill="1" applyAlignment="1">
      <alignment horizontal="left" vertical="center"/>
    </xf>
    <xf numFmtId="0" fontId="4" fillId="3" borderId="7" xfId="0" applyFont="1" applyFill="1" applyBorder="1" applyAlignment="1">
      <alignment horizontal="center" vertical="center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6" fillId="3" borderId="1" xfId="1" applyFont="1" applyFill="1" applyBorder="1" applyAlignment="1">
      <alignment horizontal="center" vertical="center" wrapText="1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11" fontId="7" fillId="2" borderId="1" xfId="0" applyNumberFormat="1" applyFont="1" applyFill="1" applyBorder="1" applyAlignment="1" applyProtection="1">
      <alignment horizontal="center" vertical="center"/>
      <protection locked="0"/>
    </xf>
    <xf numFmtId="0" fontId="4" fillId="6" borderId="6" xfId="0" applyFont="1" applyFill="1" applyBorder="1" applyAlignment="1">
      <alignment horizontal="center" vertical="center"/>
    </xf>
    <xf numFmtId="0" fontId="19" fillId="2" borderId="1" xfId="0" applyFont="1" applyFill="1" applyBorder="1" applyAlignment="1" applyProtection="1">
      <alignment horizontal="center" vertical="center"/>
      <protection locked="0"/>
    </xf>
    <xf numFmtId="0" fontId="4" fillId="6" borderId="11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9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b/>
        <i/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/>
        <i/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79366" y="3782733"/>
          <a:ext cx="8837024" cy="215433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1" name="Button 1" hidden="1">
                <a:extLst>
                  <a:ext uri="{63B3BB69-23CF-44E3-9099-C40C66FF867C}">
                    <a14:compatExt spid="_x0000_s56321"/>
                  </a:ext>
                  <a:ext uri="{FF2B5EF4-FFF2-40B4-BE49-F238E27FC236}">
                    <a16:creationId xmlns:a16="http://schemas.microsoft.com/office/drawing/2014/main" id="{00000000-0008-0000-0200-000001DC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2" name="Button 2" hidden="1">
                <a:extLst>
                  <a:ext uri="{63B3BB69-23CF-44E3-9099-C40C66FF867C}">
                    <a14:compatExt spid="_x0000_s56322"/>
                  </a:ext>
                  <a:ext uri="{FF2B5EF4-FFF2-40B4-BE49-F238E27FC236}">
                    <a16:creationId xmlns:a16="http://schemas.microsoft.com/office/drawing/2014/main" id="{00000000-0008-0000-0200-000002DC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3" name="Button 3" hidden="1">
                <a:extLst>
                  <a:ext uri="{63B3BB69-23CF-44E3-9099-C40C66FF867C}">
                    <a14:compatExt spid="_x0000_s56323"/>
                  </a:ext>
                  <a:ext uri="{FF2B5EF4-FFF2-40B4-BE49-F238E27FC236}">
                    <a16:creationId xmlns:a16="http://schemas.microsoft.com/office/drawing/2014/main" id="{00000000-0008-0000-0200-000003DC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5" name="Button 1" hidden="1">
                <a:extLst>
                  <a:ext uri="{63B3BB69-23CF-44E3-9099-C40C66FF867C}">
                    <a14:compatExt spid="_x0000_s62465"/>
                  </a:ext>
                  <a:ext uri="{FF2B5EF4-FFF2-40B4-BE49-F238E27FC236}">
                    <a16:creationId xmlns:a16="http://schemas.microsoft.com/office/drawing/2014/main" id="{00000000-0008-0000-0300-000001F4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6" name="Button 2" hidden="1">
                <a:extLst>
                  <a:ext uri="{63B3BB69-23CF-44E3-9099-C40C66FF867C}">
                    <a14:compatExt spid="_x0000_s62466"/>
                  </a:ext>
                  <a:ext uri="{FF2B5EF4-FFF2-40B4-BE49-F238E27FC236}">
                    <a16:creationId xmlns:a16="http://schemas.microsoft.com/office/drawing/2014/main" id="{00000000-0008-0000-0300-000002F4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7" name="Button 3" hidden="1">
                <a:extLst>
                  <a:ext uri="{63B3BB69-23CF-44E3-9099-C40C66FF867C}">
                    <a14:compatExt spid="_x0000_s62467"/>
                  </a:ext>
                  <a:ext uri="{FF2B5EF4-FFF2-40B4-BE49-F238E27FC236}">
                    <a16:creationId xmlns:a16="http://schemas.microsoft.com/office/drawing/2014/main" id="{00000000-0008-0000-0300-000003F4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7" name="Button 1" hidden="1">
                <a:extLst>
                  <a:ext uri="{63B3BB69-23CF-44E3-9099-C40C66FF867C}">
                    <a14:compatExt spid="_x0000_s55297"/>
                  </a:ext>
                  <a:ext uri="{FF2B5EF4-FFF2-40B4-BE49-F238E27FC236}">
                    <a16:creationId xmlns:a16="http://schemas.microsoft.com/office/drawing/2014/main" id="{00000000-0008-0000-0400-000001D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8" name="Button 2" hidden="1">
                <a:extLst>
                  <a:ext uri="{63B3BB69-23CF-44E3-9099-C40C66FF867C}">
                    <a14:compatExt spid="_x0000_s55298"/>
                  </a:ext>
                  <a:ext uri="{FF2B5EF4-FFF2-40B4-BE49-F238E27FC236}">
                    <a16:creationId xmlns:a16="http://schemas.microsoft.com/office/drawing/2014/main" id="{00000000-0008-0000-0400-000002D8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9" name="Button 3" hidden="1">
                <a:extLst>
                  <a:ext uri="{63B3BB69-23CF-44E3-9099-C40C66FF867C}">
                    <a14:compatExt spid="_x0000_s55299"/>
                  </a:ext>
                  <a:ext uri="{FF2B5EF4-FFF2-40B4-BE49-F238E27FC236}">
                    <a16:creationId xmlns:a16="http://schemas.microsoft.com/office/drawing/2014/main" id="{00000000-0008-0000-0400-000003D8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78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5537" name="Button 1" hidden="1">
                <a:extLst>
                  <a:ext uri="{63B3BB69-23CF-44E3-9099-C40C66FF867C}">
                    <a14:compatExt spid="_x0000_s65537"/>
                  </a:ext>
                  <a:ext uri="{FF2B5EF4-FFF2-40B4-BE49-F238E27FC236}">
                    <a16:creationId xmlns:a16="http://schemas.microsoft.com/office/drawing/2014/main" id="{00000000-0008-0000-0500-00000100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5538" name="Button 2" hidden="1">
                <a:extLst>
                  <a:ext uri="{63B3BB69-23CF-44E3-9099-C40C66FF867C}">
                    <a14:compatExt spid="_x0000_s65538"/>
                  </a:ext>
                  <a:ext uri="{FF2B5EF4-FFF2-40B4-BE49-F238E27FC236}">
                    <a16:creationId xmlns:a16="http://schemas.microsoft.com/office/drawing/2014/main" id="{00000000-0008-0000-0500-00000200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5539" name="Button 3" hidden="1">
                <a:extLst>
                  <a:ext uri="{63B3BB69-23CF-44E3-9099-C40C66FF867C}">
                    <a14:compatExt spid="_x0000_s65539"/>
                  </a:ext>
                  <a:ext uri="{FF2B5EF4-FFF2-40B4-BE49-F238E27FC236}">
                    <a16:creationId xmlns:a16="http://schemas.microsoft.com/office/drawing/2014/main" id="{00000000-0008-0000-0500-0000030001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2">
          <cell r="B12">
            <v>0</v>
          </cell>
        </row>
        <row r="14">
          <cell r="B14">
            <v>0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316CED7-F9A4-45F7-8A1B-73AD6621F78D}" name="Table11024122" displayName="Table11024122" ref="A9:J13" totalsRowShown="0" headerRowDxfId="83" dataDxfId="81" headerRowBorderDxfId="82" tableBorderDxfId="80" totalsRowBorderDxfId="79">
  <autoFilter ref="A9:J13" xr:uid="{B089C5C3-2CCE-4800-96CA-2131BB6E3E4F}"/>
  <tableColumns count="10">
    <tableColumn id="1" xr3:uid="{3E4F27FA-9CCD-488C-9FFE-8189DF89B2B5}" name="Variable" dataDxfId="78"/>
    <tableColumn id="4" xr3:uid="{4D38B92D-B1E9-4DDE-B914-6A4E9DB63C9E}" name="Value" dataDxfId="77"/>
    <tableColumn id="5" xr3:uid="{DE2ACEA5-F459-4C5B-ADEC-6214F75935FA}" name="Unit" dataDxfId="76"/>
    <tableColumn id="6" xr3:uid="{BBE9846A-4956-4FAF-848B-0B1F56311296}" name="Comparisons" dataDxfId="75"/>
    <tableColumn id="7" xr3:uid="{7604F104-935C-4D6C-98BF-97589769DD42}" name="Variable Type" dataDxfId="74"/>
    <tableColumn id="8" xr3:uid="{7D3892CD-8765-4699-977F-B3AA8A9AB120}" name="Dependency" dataDxfId="73"/>
    <tableColumn id="12" xr3:uid="{161D2FD1-7A78-4D8E-8024-885B20FF313F}" name="Test 1" dataDxfId="72"/>
    <tableColumn id="10" xr3:uid="{1AA44E52-6629-487F-B43F-5CEC7D36BB2A}" name="Test 2" dataDxfId="71"/>
    <tableColumn id="2" xr3:uid="{6AF5B301-E925-40CD-B0FD-ED73E5B71C10}" name="Test 3" dataDxfId="70"/>
    <tableColumn id="9" xr3:uid="{29E572B6-C772-4761-B1A5-7C1BBC5A9A8E}" name="Description" dataDxfId="69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5ED0618-9FFB-486D-8648-B37BE5E811E7}" name="Table11024123" displayName="Table11024123" ref="A9:J13" totalsRowShown="0" headerRowDxfId="60" dataDxfId="58" headerRowBorderDxfId="59" tableBorderDxfId="57" totalsRowBorderDxfId="56">
  <autoFilter ref="A9:J13" xr:uid="{B089C5C3-2CCE-4800-96CA-2131BB6E3E4F}"/>
  <tableColumns count="10">
    <tableColumn id="1" xr3:uid="{33A6A58D-364D-4A35-922C-DE212771E5A3}" name="Variable" dataDxfId="55"/>
    <tableColumn id="4" xr3:uid="{941C2A7D-BF3F-418E-B42D-DD80A4DE2A81}" name="Value" dataDxfId="54"/>
    <tableColumn id="5" xr3:uid="{C4E86D48-03E8-46FA-B8CA-6F5D6C6A2D12}" name="Unit" dataDxfId="53"/>
    <tableColumn id="6" xr3:uid="{665361F6-20BF-415D-BBF1-F45B832A29DE}" name="Comparisons" dataDxfId="52"/>
    <tableColumn id="7" xr3:uid="{F7A189BB-30E4-471C-9393-FF44966433C9}" name="Variable Type" dataDxfId="51"/>
    <tableColumn id="8" xr3:uid="{536CEEB4-5D6D-4FC9-B347-8D4F6CE10C67}" name="Dependency" dataDxfId="50"/>
    <tableColumn id="12" xr3:uid="{41F5DBE5-C5A3-4D63-A4BF-9774F11F14D3}" name="Test 1" dataDxfId="49"/>
    <tableColumn id="10" xr3:uid="{75ACAF5C-BDFE-45DE-AD7B-8EA0171A905D}" name="Test 2" dataDxfId="48"/>
    <tableColumn id="2" xr3:uid="{E0C16DCE-CCB9-4239-B5AF-7F90FE1422EF}" name="Test 3" dataDxfId="47"/>
    <tableColumn id="9" xr3:uid="{11A90378-9784-4E77-9A9A-BDE1BD80CAC4}" name="Description" dataDxfId="46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E893A30-0EED-477C-80F5-D3D7213639C9}" name="Table1102412" displayName="Table1102412" ref="A9:J14" totalsRowShown="0" headerRowDxfId="34" dataDxfId="32" headerRowBorderDxfId="33" tableBorderDxfId="31" totalsRowBorderDxfId="30">
  <autoFilter ref="A9:J14" xr:uid="{B089C5C3-2CCE-4800-96CA-2131BB6E3E4F}"/>
  <tableColumns count="10">
    <tableColumn id="1" xr3:uid="{897C7A45-3F96-4FAD-9D88-64BEDA59EE04}" name="Variable" dataDxfId="29"/>
    <tableColumn id="4" xr3:uid="{AC44F3C7-74B4-4404-BA30-07059568F4CD}" name="Value" dataDxfId="28"/>
    <tableColumn id="5" xr3:uid="{6083DF57-24E4-4D4A-B84A-AB4CE9566C0A}" name="Unit" dataDxfId="27"/>
    <tableColumn id="6" xr3:uid="{7B5B4F38-11BC-48C2-B29A-22FAFA39A76A}" name="Comparisons" dataDxfId="26"/>
    <tableColumn id="7" xr3:uid="{687831A6-7122-45C8-9279-6A017FA30571}" name="Variable Type" dataDxfId="25"/>
    <tableColumn id="8" xr3:uid="{F0D98687-63CA-49F2-A0F5-F43443FEED82}" name="Dependency" dataDxfId="24"/>
    <tableColumn id="12" xr3:uid="{57EFF7D5-281B-4073-9550-73D369BA3603}" name="Test 1" dataDxfId="23"/>
    <tableColumn id="10" xr3:uid="{886EC4A5-54AE-4612-B5FF-8B6E7B32A853}" name="Test 2" dataDxfId="22"/>
    <tableColumn id="2" xr3:uid="{C5B5DD0C-C82D-4FD9-A165-974B4B54478C}" name="Test 3" dataDxfId="21"/>
    <tableColumn id="9" xr3:uid="{E8B12666-0292-4BAB-9166-E185CB24DBFE}" name="Description" dataDxfId="20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F3A194F-7075-4C40-A9F5-D75D6CB2C8B3}" name="Table11024124" displayName="Table11024124" ref="A9:J13" totalsRowShown="0" headerRowDxfId="14" dataDxfId="12" headerRowBorderDxfId="13" tableBorderDxfId="11" totalsRowBorderDxfId="10">
  <autoFilter ref="A9:J13" xr:uid="{B089C5C3-2CCE-4800-96CA-2131BB6E3E4F}"/>
  <tableColumns count="10">
    <tableColumn id="1" xr3:uid="{7B96E1E5-F914-134F-92CB-11A246CE83CF}" name="Variable" dataDxfId="9"/>
    <tableColumn id="4" xr3:uid="{769FCB14-07FC-C744-854D-32A560D0AF7A}" name="Value" dataDxfId="8"/>
    <tableColumn id="5" xr3:uid="{72A57B60-A9BA-AE4D-A8F2-15A7CE6E01F2}" name="Unit" dataDxfId="7"/>
    <tableColumn id="6" xr3:uid="{0B5A6A21-E099-944F-B63D-34DD49049A32}" name="Comparisons" dataDxfId="6"/>
    <tableColumn id="7" xr3:uid="{FA5D9905-FBB3-8046-A15F-70FC367F1300}" name="Variable Type" dataDxfId="5"/>
    <tableColumn id="8" xr3:uid="{B5D6DCA6-6A6D-FF4C-8D65-BCD68325F679}" name="Dependency" dataDxfId="4"/>
    <tableColumn id="12" xr3:uid="{6E9A6F79-99F9-4743-BEFC-2D32C4AC335A}" name="Test 1" dataDxfId="3"/>
    <tableColumn id="10" xr3:uid="{C289927B-FF71-D34E-934B-A67BC094E72F}" name="Test 2" dataDxfId="2"/>
    <tableColumn id="2" xr3:uid="{BB8A802E-BB46-104C-AA29-A71DDC86E102}" name="Test 3" dataDxfId="1"/>
    <tableColumn id="9" xr3:uid="{933A5953-2B8A-914C-A6C0-D1761A99B722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EC15F513-2B4D-44C7-9046-ED9392180BB4}">
    <text>place 1 if we want to keep the row when re-initializing. Otherwise, leave it as a blank.</text>
  </threadedComment>
  <threadedComment ref="H9" dT="2020-11-26T18:35:03.27" personId="{7F98AE94-13FB-49E1-9262-339C11E0EDB4}" id="{4D8BC438-D49B-455D-A372-081FDDFE29BE}">
    <text>supply a value greater than 1 if you want to duplicate the row</text>
  </threadedComment>
  <threadedComment ref="I9" dT="2020-11-28T01:53:47.29" personId="{7F98AE94-13FB-49E1-9262-339C11E0EDB4}" id="{083035D6-F670-4C55-8177-0FF26052F9F2}">
    <text>1 means we need to have the variable specified; 0 means we need not have the variable specified</text>
  </threadedComment>
  <threadedComment ref="I9" dT="2020-11-28T01:56:42.32" personId="{7F98AE94-13FB-49E1-9262-339C11E0EDB4}" id="{0A4368C9-E522-4A4B-9A62-219887D6DECA}" parentId="{083035D6-F670-4C55-8177-0FF26052F9F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5CF8456C-E29F-4B72-ABE5-1FAF09AB14DB}">
    <text>place 1 if we want to keep the row when re-initializing. Otherwise, leave it as a blank.</text>
  </threadedComment>
  <threadedComment ref="H9" dT="2020-11-26T18:35:03.27" personId="{7F98AE94-13FB-49E1-9262-339C11E0EDB4}" id="{76134A13-A10E-498C-BE0C-A35275B3AACE}">
    <text>supply a value greater than 1 if you want to duplicate the row</text>
  </threadedComment>
  <threadedComment ref="I9" dT="2020-11-28T01:53:47.29" personId="{7F98AE94-13FB-49E1-9262-339C11E0EDB4}" id="{CA7E41C9-6F47-4585-8D78-E25D033F8587}">
    <text>1 means we need to have the variable specified; 0 means we need not have the variable specified</text>
  </threadedComment>
  <threadedComment ref="I9" dT="2020-11-28T01:56:42.32" personId="{7F98AE94-13FB-49E1-9262-339C11E0EDB4}" id="{593EA2BC-69AC-4DEC-83A3-5227D8FCB650}" parentId="{CA7E41C9-6F47-4585-8D78-E25D033F8587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097155E7-95C7-4F81-9C85-C4A524BE8917}">
    <text>place 1 if we want to keep the row when re-initializing. Otherwise, leave it as a blank.</text>
  </threadedComment>
  <threadedComment ref="H9" dT="2020-11-26T18:35:03.27" personId="{7F98AE94-13FB-49E1-9262-339C11E0EDB4}" id="{00051905-C3DD-4457-AAD8-72BC66947855}">
    <text>supply a value greater than 1 if you want to duplicate the row</text>
  </threadedComment>
  <threadedComment ref="I9" dT="2020-11-28T01:53:47.29" personId="{7F98AE94-13FB-49E1-9262-339C11E0EDB4}" id="{64A9060D-EF29-473C-8859-5A9FCCE88F46}">
    <text>1 means we need to have the variable specified; 0 means we need not have the variable specified</text>
  </threadedComment>
  <threadedComment ref="I9" dT="2020-11-28T01:56:42.32" personId="{7F98AE94-13FB-49E1-9262-339C11E0EDB4}" id="{7D71F4E4-98D6-4B52-BE3D-510939F76B5D}" parentId="{64A9060D-EF29-473C-8859-5A9FCCE88F46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140666CE-EF2C-9944-9876-798DC985D3F5}">
    <text>place 1 if we want to keep the row when re-initializing. Otherwise, leave it as a blank.</text>
  </threadedComment>
  <threadedComment ref="H9" dT="2020-11-26T18:35:03.27" personId="{7F98AE94-13FB-49E1-9262-339C11E0EDB4}" id="{5159B78C-B001-9C4E-94CE-CB20C78B8A53}">
    <text>supply a value greater than 1 if you want to duplicate the row</text>
  </threadedComment>
  <threadedComment ref="I9" dT="2020-11-28T01:53:47.29" personId="{7F98AE94-13FB-49E1-9262-339C11E0EDB4}" id="{8A269DA9-18AE-CD40-B00D-60DD3F6D3339}">
    <text>1 means we need to have the variable specified; 0 means we need not have the variable specified</text>
  </threadedComment>
  <threadedComment ref="I9" dT="2020-11-28T01:56:42.32" personId="{7F98AE94-13FB-49E1-9262-339C11E0EDB4}" id="{696BD74B-E7C5-604D-82AC-DFE3EB4C9F15}" parentId="{8A269DA9-18AE-CD40-B00D-60DD3F6D3339}">
    <text>Orange highlighted cells contain if then statement to allow the MATLAB® to check for the right inputs</text>
  </threadedComment>
</ThreadedComment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baseColWidth="10" defaultColWidth="8.83203125" defaultRowHeight="15" x14ac:dyDescent="0.2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83203125" bestFit="1" customWidth="1"/>
    <col min="17" max="17" width="20.83203125" bestFit="1" customWidth="1"/>
    <col min="21" max="21" width="10.5" customWidth="1"/>
  </cols>
  <sheetData>
    <row r="1" spans="1:21" x14ac:dyDescent="0.2">
      <c r="A1" t="s">
        <v>13</v>
      </c>
      <c r="B1" t="s">
        <v>14</v>
      </c>
      <c r="C1" t="s">
        <v>41</v>
      </c>
      <c r="D1" t="s">
        <v>68</v>
      </c>
      <c r="E1" t="s">
        <v>70</v>
      </c>
      <c r="F1" t="s">
        <v>71</v>
      </c>
      <c r="G1" s="1" t="s">
        <v>72</v>
      </c>
      <c r="H1" s="1" t="s">
        <v>73</v>
      </c>
      <c r="I1" s="1" t="s">
        <v>74</v>
      </c>
      <c r="J1" s="7" t="s">
        <v>76</v>
      </c>
      <c r="K1" s="7" t="s">
        <v>6</v>
      </c>
      <c r="L1" t="s">
        <v>84</v>
      </c>
      <c r="M1" t="s">
        <v>81</v>
      </c>
      <c r="N1" t="s">
        <v>82</v>
      </c>
      <c r="O1" t="s">
        <v>85</v>
      </c>
      <c r="P1" t="s">
        <v>90</v>
      </c>
      <c r="Q1" t="s">
        <v>97</v>
      </c>
      <c r="R1" t="s">
        <v>98</v>
      </c>
      <c r="S1" t="s">
        <v>99</v>
      </c>
      <c r="T1" t="s">
        <v>104</v>
      </c>
      <c r="U1" t="s">
        <v>105</v>
      </c>
    </row>
    <row r="2" spans="1:21" x14ac:dyDescent="0.2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 x14ac:dyDescent="0.2">
      <c r="A3" t="s">
        <v>7</v>
      </c>
      <c r="B3" t="s">
        <v>27</v>
      </c>
      <c r="C3" t="s">
        <v>42</v>
      </c>
      <c r="D3" t="s">
        <v>77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106</v>
      </c>
    </row>
    <row r="4" spans="1:21" x14ac:dyDescent="0.2">
      <c r="A4" t="s">
        <v>83</v>
      </c>
      <c r="B4" t="s">
        <v>24</v>
      </c>
      <c r="C4" t="s">
        <v>46</v>
      </c>
      <c r="D4" t="s">
        <v>78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107</v>
      </c>
    </row>
    <row r="5" spans="1:21" x14ac:dyDescent="0.2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108</v>
      </c>
    </row>
    <row r="6" spans="1:21" x14ac:dyDescent="0.2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109</v>
      </c>
    </row>
    <row r="7" spans="1:21" x14ac:dyDescent="0.2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110</v>
      </c>
    </row>
    <row r="8" spans="1:21" x14ac:dyDescent="0.2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111</v>
      </c>
    </row>
    <row r="9" spans="1:21" x14ac:dyDescent="0.2">
      <c r="B9" t="s">
        <v>91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112</v>
      </c>
    </row>
    <row r="10" spans="1:21" x14ac:dyDescent="0.2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 x14ac:dyDescent="0.2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102</v>
      </c>
    </row>
    <row r="12" spans="1:21" x14ac:dyDescent="0.2">
      <c r="B12" t="s">
        <v>92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 x14ac:dyDescent="0.2">
      <c r="B13" t="s">
        <v>17</v>
      </c>
      <c r="C13" t="s">
        <v>54</v>
      </c>
      <c r="J13">
        <v>1</v>
      </c>
    </row>
    <row r="14" spans="1:21" x14ac:dyDescent="0.2">
      <c r="B14" t="s">
        <v>23</v>
      </c>
      <c r="C14" t="s">
        <v>55</v>
      </c>
      <c r="J14">
        <v>2</v>
      </c>
    </row>
    <row r="15" spans="1:21" x14ac:dyDescent="0.2">
      <c r="B15" t="s">
        <v>15</v>
      </c>
      <c r="C15" t="s">
        <v>56</v>
      </c>
    </row>
    <row r="16" spans="1:21" x14ac:dyDescent="0.2">
      <c r="B16" t="s">
        <v>60</v>
      </c>
      <c r="C16" t="s">
        <v>57</v>
      </c>
      <c r="J16" t="s">
        <v>103</v>
      </c>
    </row>
    <row r="17" spans="2:10" x14ac:dyDescent="0.2">
      <c r="B17" t="s">
        <v>18</v>
      </c>
      <c r="C17" t="s">
        <v>58</v>
      </c>
      <c r="J17" t="s">
        <v>8</v>
      </c>
    </row>
    <row r="18" spans="2:10" x14ac:dyDescent="0.2">
      <c r="B18" t="s">
        <v>19</v>
      </c>
      <c r="C18" t="s">
        <v>59</v>
      </c>
      <c r="J18">
        <v>1</v>
      </c>
    </row>
    <row r="19" spans="2:10" x14ac:dyDescent="0.2">
      <c r="C19" t="s">
        <v>31</v>
      </c>
      <c r="J19">
        <v>2</v>
      </c>
    </row>
    <row r="20" spans="2:10" x14ac:dyDescent="0.2">
      <c r="C20" t="s">
        <v>4</v>
      </c>
      <c r="J20">
        <v>3</v>
      </c>
    </row>
    <row r="21" spans="2:10" x14ac:dyDescent="0.2">
      <c r="C21" t="s">
        <v>44</v>
      </c>
      <c r="J21">
        <v>4</v>
      </c>
    </row>
    <row r="22" spans="2:10" x14ac:dyDescent="0.2">
      <c r="C22" t="s">
        <v>43</v>
      </c>
    </row>
    <row r="23" spans="2:10" x14ac:dyDescent="0.2">
      <c r="C23" t="s">
        <v>5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3FCFB-6CD4-474A-BB9F-4C52F407FFCA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E7" sqref="E7"/>
    </sheetView>
  </sheetViews>
  <sheetFormatPr baseColWidth="10" defaultColWidth="0" defaultRowHeight="14.5" customHeight="1" zeroHeight="1" x14ac:dyDescent="0.2"/>
  <cols>
    <col min="1" max="2" width="3.33203125" style="39" hidden="1" customWidth="1"/>
    <col min="3" max="3" width="2.5" style="39" customWidth="1"/>
    <col min="4" max="4" width="13.83203125" style="39" customWidth="1"/>
    <col min="5" max="5" width="51.33203125" style="40" bestFit="1" customWidth="1"/>
    <col min="6" max="6" width="15.83203125" style="41" bestFit="1" customWidth="1"/>
    <col min="7" max="9" width="13.33203125" style="39" customWidth="1"/>
    <col min="10" max="10" width="48.83203125" style="39" customWidth="1"/>
    <col min="11" max="11" width="2.5" style="39" customWidth="1"/>
    <col min="12" max="12" width="0" style="39" hidden="1" customWidth="1"/>
    <col min="13" max="16384" width="9" style="39" hidden="1"/>
  </cols>
  <sheetData>
    <row r="3" spans="4:10" ht="15" x14ac:dyDescent="0.2"/>
    <row r="4" spans="4:10" ht="19" x14ac:dyDescent="0.25">
      <c r="D4" s="42" t="s">
        <v>133</v>
      </c>
      <c r="E4" s="43"/>
      <c r="F4" s="44"/>
      <c r="G4" s="45"/>
      <c r="H4" s="45"/>
      <c r="I4" s="45"/>
      <c r="J4" s="36" t="s">
        <v>86</v>
      </c>
    </row>
    <row r="5" spans="4:10" ht="40" x14ac:dyDescent="0.2">
      <c r="D5" s="55" t="s">
        <v>39</v>
      </c>
      <c r="E5" s="55"/>
      <c r="F5" s="55"/>
      <c r="G5" s="55"/>
      <c r="H5" s="55"/>
      <c r="I5" s="55"/>
      <c r="J5" s="55"/>
    </row>
    <row r="6" spans="4:10" ht="20" x14ac:dyDescent="0.2">
      <c r="D6" s="46" t="s">
        <v>33</v>
      </c>
      <c r="E6" s="46" t="s">
        <v>113</v>
      </c>
      <c r="F6" s="46" t="s">
        <v>34</v>
      </c>
      <c r="G6" s="46" t="s">
        <v>35</v>
      </c>
      <c r="H6" s="46" t="s">
        <v>36</v>
      </c>
      <c r="I6" s="46" t="s">
        <v>37</v>
      </c>
      <c r="J6" s="46" t="s">
        <v>38</v>
      </c>
    </row>
    <row r="7" spans="4:10" ht="60" x14ac:dyDescent="0.2">
      <c r="D7" s="47">
        <v>1</v>
      </c>
      <c r="E7" s="48" t="s">
        <v>134</v>
      </c>
      <c r="F7" s="49">
        <v>44720</v>
      </c>
      <c r="G7" s="47" t="s">
        <v>40</v>
      </c>
      <c r="H7" s="47"/>
      <c r="I7" s="47"/>
      <c r="J7" s="48"/>
    </row>
    <row r="8" spans="4:10" ht="40" x14ac:dyDescent="0.2">
      <c r="D8" s="47">
        <v>2</v>
      </c>
      <c r="E8" s="48" t="s">
        <v>132</v>
      </c>
      <c r="F8" s="49">
        <v>44818</v>
      </c>
      <c r="G8" s="47" t="s">
        <v>40</v>
      </c>
      <c r="H8" s="47"/>
      <c r="I8" s="47"/>
      <c r="J8" s="48"/>
    </row>
    <row r="9" spans="4:10" ht="19" x14ac:dyDescent="0.2">
      <c r="D9" s="47">
        <v>3</v>
      </c>
      <c r="E9" s="48"/>
      <c r="F9" s="49"/>
      <c r="G9" s="47"/>
      <c r="H9" s="47"/>
      <c r="I9" s="47"/>
      <c r="J9" s="48"/>
    </row>
    <row r="10" spans="4:10" ht="19" x14ac:dyDescent="0.2">
      <c r="D10" s="47">
        <v>4</v>
      </c>
      <c r="E10" s="48"/>
      <c r="F10" s="49"/>
      <c r="G10" s="47"/>
      <c r="H10" s="47"/>
      <c r="I10" s="47"/>
      <c r="J10" s="48"/>
    </row>
    <row r="11" spans="4:10" ht="19" x14ac:dyDescent="0.2">
      <c r="D11" s="47">
        <v>5</v>
      </c>
      <c r="E11" s="48"/>
      <c r="F11" s="49"/>
      <c r="G11" s="47"/>
      <c r="H11" s="47"/>
      <c r="I11" s="47"/>
      <c r="J11" s="48"/>
    </row>
    <row r="12" spans="4:10" ht="19" x14ac:dyDescent="0.2">
      <c r="D12" s="47">
        <v>6</v>
      </c>
      <c r="E12" s="48"/>
      <c r="F12" s="49"/>
      <c r="G12" s="47"/>
      <c r="H12" s="47"/>
      <c r="I12" s="47"/>
      <c r="J12" s="48"/>
    </row>
    <row r="13" spans="4:10" ht="19" x14ac:dyDescent="0.2">
      <c r="D13" s="47">
        <v>7</v>
      </c>
      <c r="E13" s="48"/>
      <c r="F13" s="49"/>
      <c r="G13" s="47"/>
      <c r="H13" s="47"/>
      <c r="I13" s="47"/>
      <c r="J13" s="48"/>
    </row>
    <row r="14" spans="4:10" ht="19" x14ac:dyDescent="0.2">
      <c r="D14" s="47">
        <v>8</v>
      </c>
      <c r="E14" s="48"/>
      <c r="F14" s="49"/>
      <c r="G14" s="47"/>
      <c r="H14" s="47"/>
      <c r="I14" s="47"/>
      <c r="J14" s="48"/>
    </row>
    <row r="15" spans="4:10" ht="19" x14ac:dyDescent="0.2">
      <c r="D15" s="47">
        <v>9</v>
      </c>
      <c r="E15" s="48"/>
      <c r="F15" s="49"/>
      <c r="G15" s="47"/>
      <c r="H15" s="47"/>
      <c r="I15" s="47"/>
      <c r="J15" s="48"/>
    </row>
    <row r="16" spans="4:10" ht="19" x14ac:dyDescent="0.2">
      <c r="D16" s="47">
        <v>10</v>
      </c>
      <c r="E16" s="48"/>
      <c r="F16" s="49"/>
      <c r="G16" s="47"/>
      <c r="H16" s="47"/>
      <c r="I16" s="47"/>
      <c r="J16" s="50"/>
    </row>
    <row r="17" ht="15" x14ac:dyDescent="0.2"/>
    <row r="18" ht="15" x14ac:dyDescent="0.2"/>
    <row r="19" ht="15" x14ac:dyDescent="0.2"/>
    <row r="20" ht="15" x14ac:dyDescent="0.2"/>
    <row r="21" ht="15" x14ac:dyDescent="0.2"/>
    <row r="22" ht="15" x14ac:dyDescent="0.2"/>
    <row r="23" ht="15" x14ac:dyDescent="0.2"/>
    <row r="24" ht="15" x14ac:dyDescent="0.2"/>
    <row r="25" ht="15" x14ac:dyDescent="0.2"/>
    <row r="26" ht="15" x14ac:dyDescent="0.2"/>
    <row r="27" ht="15" x14ac:dyDescent="0.2"/>
    <row r="28" ht="15" x14ac:dyDescent="0.2"/>
    <row r="29" ht="15" x14ac:dyDescent="0.2"/>
  </sheetData>
  <sheetProtection selectLockedCells="1" selectUnlockedCells="1"/>
  <mergeCells count="1">
    <mergeCell ref="D5:J5"/>
  </mergeCells>
  <hyperlinks>
    <hyperlink ref="J4" r:id="rId1" display="https://www.jkscottresearchgroup.com/" xr:uid="{84F8F103-ADCC-40E2-8B90-7F5519D0EBAE}"/>
  </hyperlinks>
  <pageMargins left="0.7" right="0.7" top="0.75" bottom="0.75" header="0.3" footer="0.3"/>
  <pageSetup paperSize="9" scale="43" orientation="portrait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9CCBB-224C-4B66-A645-6F68C76EB9A9}">
  <sheetPr codeName="Sheet18">
    <tabColor rgb="FF00B050"/>
  </sheetPr>
  <dimension ref="A1:J13"/>
  <sheetViews>
    <sheetView showGridLines="0" tabSelected="1" topLeftCell="A2" zoomScaleNormal="100" zoomScaleSheetLayoutView="85" workbookViewId="0">
      <pane ySplit="8" topLeftCell="A10" activePane="bottomLeft" state="frozen"/>
      <selection activeCell="C24" sqref="C24"/>
      <selection pane="bottomLeft" activeCell="B13" sqref="B13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4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6384" width="8.83203125" style="3" hidden="1"/>
  </cols>
  <sheetData>
    <row r="1" spans="1:10" ht="15" hidden="1" x14ac:dyDescent="0.2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5" x14ac:dyDescent="0.2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9" x14ac:dyDescent="0.2">
      <c r="A3" s="56" t="s">
        <v>32</v>
      </c>
      <c r="B3" s="57"/>
      <c r="C3" s="57"/>
      <c r="D3" s="57"/>
      <c r="E3" s="57"/>
      <c r="F3" s="57"/>
      <c r="G3" s="57"/>
      <c r="H3" s="57"/>
      <c r="I3" s="57"/>
      <c r="J3" s="58"/>
    </row>
    <row r="4" spans="1:10" ht="14.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59" t="str">
        <f>IF(COUNTIF(Table11024122[Test 3],1)=COUNTA(Table11024122[Value]),"Ready","Not Ready")</f>
        <v>Ready</v>
      </c>
    </row>
    <row r="5" spans="1:10" ht="14.5" customHeight="1" x14ac:dyDescent="0.2">
      <c r="A5" s="17"/>
      <c r="B5" s="18"/>
      <c r="C5" s="37"/>
      <c r="D5" s="37"/>
      <c r="E5" s="37"/>
      <c r="F5" s="37"/>
      <c r="G5" s="19"/>
      <c r="H5" s="37"/>
      <c r="I5" s="37"/>
      <c r="J5" s="60"/>
    </row>
    <row r="6" spans="1:10" ht="14.5" customHeight="1" x14ac:dyDescent="0.2">
      <c r="A6" s="17"/>
      <c r="B6" s="18"/>
      <c r="C6" s="37"/>
      <c r="D6" s="37"/>
      <c r="E6" s="37"/>
      <c r="F6" s="37"/>
      <c r="G6" s="19"/>
      <c r="H6" s="37"/>
      <c r="I6" s="37"/>
      <c r="J6" s="60"/>
    </row>
    <row r="7" spans="1:10" ht="14.5" customHeight="1" x14ac:dyDescent="0.2">
      <c r="A7" s="17"/>
      <c r="B7" s="18"/>
      <c r="C7" s="37"/>
      <c r="D7" s="37"/>
      <c r="E7" s="37"/>
      <c r="F7" s="37"/>
      <c r="G7" s="19"/>
      <c r="H7" s="37"/>
      <c r="I7" s="37"/>
      <c r="J7" s="60"/>
    </row>
    <row r="8" spans="1:10" ht="14.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61"/>
    </row>
    <row r="9" spans="1:10" ht="16" x14ac:dyDescent="0.2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12" x14ac:dyDescent="0.2">
      <c r="A10" s="4" t="s">
        <v>101</v>
      </c>
      <c r="B10" s="32">
        <v>4</v>
      </c>
      <c r="C10" s="2" t="s">
        <v>3</v>
      </c>
      <c r="D10" s="1" t="s">
        <v>30</v>
      </c>
      <c r="E10" s="1" t="s">
        <v>83</v>
      </c>
      <c r="F10" s="2" t="s">
        <v>43</v>
      </c>
      <c r="G10" s="1">
        <v>1</v>
      </c>
      <c r="H10" s="1">
        <v>1</v>
      </c>
      <c r="I10" s="6">
        <v>1</v>
      </c>
      <c r="J10" s="5" t="s">
        <v>135</v>
      </c>
    </row>
    <row r="11" spans="1:10" ht="16" x14ac:dyDescent="0.2">
      <c r="A11" s="38" t="s">
        <v>114</v>
      </c>
      <c r="B11" s="32">
        <v>298.14999999999998</v>
      </c>
      <c r="C11" s="35" t="s">
        <v>21</v>
      </c>
      <c r="D11" s="1" t="s">
        <v>17</v>
      </c>
      <c r="E11" s="1" t="s">
        <v>7</v>
      </c>
      <c r="F11" s="2" t="s">
        <v>49</v>
      </c>
      <c r="G11" s="1">
        <v>1</v>
      </c>
      <c r="H11" s="1">
        <v>1</v>
      </c>
      <c r="I11" s="6">
        <v>1</v>
      </c>
      <c r="J11" s="5" t="s">
        <v>123</v>
      </c>
    </row>
    <row r="12" spans="1:10" ht="16" x14ac:dyDescent="0.2">
      <c r="A12" s="4" t="s">
        <v>115</v>
      </c>
      <c r="B12" s="53">
        <v>7.9050000000000002</v>
      </c>
      <c r="C12" s="2" t="s">
        <v>20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6">
        <v>1</v>
      </c>
      <c r="J12" s="5" t="s">
        <v>124</v>
      </c>
    </row>
    <row r="13" spans="1:10" ht="16" x14ac:dyDescent="0.2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4PUmrVSjLiQ0utNuB8RX+64PcqfqO4/RVDDz2lCc1CG/VWFcv53ugUP9mkYVOxUYQ6YxfzFI1x40rD7z60YXYg==" saltValue="1F3XssrApk8muCpqMsIJkA==" spinCount="100000" sheet="1" objects="1" scenarios="1" selectLockedCells="1"/>
  <mergeCells count="2">
    <mergeCell ref="A3:J3"/>
    <mergeCell ref="J4:J8"/>
  </mergeCells>
  <conditionalFormatting sqref="B13">
    <cfRule type="expression" dxfId="95" priority="44">
      <formula>IF(AND($B13&lt;&gt;"",$I13=0),1,0)</formula>
    </cfRule>
    <cfRule type="expression" dxfId="94" priority="45">
      <formula>IF($B13&lt;&gt;"",1,0)</formula>
    </cfRule>
    <cfRule type="expression" dxfId="93" priority="46">
      <formula>$I13=0</formula>
    </cfRule>
  </conditionalFormatting>
  <conditionalFormatting sqref="B10">
    <cfRule type="expression" dxfId="92" priority="35">
      <formula>IF(AND($B10&lt;&gt;"",$I10=0),1,0)</formula>
    </cfRule>
    <cfRule type="expression" dxfId="91" priority="36">
      <formula>IF($B10&lt;&gt;"",1,0)</formula>
    </cfRule>
    <cfRule type="expression" dxfId="90" priority="37">
      <formula>$I10=0</formula>
    </cfRule>
  </conditionalFormatting>
  <conditionalFormatting sqref="B11">
    <cfRule type="expression" dxfId="89" priority="5">
      <formula>IF(AND($B11&lt;&gt;"",$I11=0),1,0)</formula>
    </cfRule>
    <cfRule type="expression" dxfId="88" priority="6">
      <formula>IF($B11&lt;&gt;"",1,0)</formula>
    </cfRule>
    <cfRule type="expression" dxfId="87" priority="7">
      <formula>$I11=0</formula>
    </cfRule>
  </conditionalFormatting>
  <conditionalFormatting sqref="J4">
    <cfRule type="expression" dxfId="86" priority="2250">
      <formula>IF(COUNTA($B$10:$B$13)&lt;&gt;COUNTIF($I$10:$I$13,1),1,0)</formula>
    </cfRule>
    <cfRule type="expression" dxfId="85" priority="2251">
      <formula>IF(COUNTA($B$10:$B$13)=COUNTIF($I$10:$I$13,1),1,0)</formula>
    </cfRule>
  </conditionalFormatting>
  <conditionalFormatting sqref="B12">
    <cfRule type="notContainsBlanks" dxfId="84" priority="1">
      <formula>LEN(TRIM(B12))&gt;0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2B6ED5C-3CF6-4461-974B-9603EC07C690}">
          <x14:formula1>
            <xm:f>Reference!$J$17:$J$21</xm:f>
          </x14:formula1>
          <xm:sqref>B10</xm:sqref>
        </x14:dataValidation>
        <x14:dataValidation type="list" allowBlank="1" showInputMessage="1" showErrorMessage="1" xr:uid="{47F5E4EC-91AC-4151-9106-E6772EF3FFC9}">
          <x14:formula1>
            <xm:f>Reference!$C$2:$C$23</xm:f>
          </x14:formula1>
          <xm:sqref>F10:F13</xm:sqref>
        </x14:dataValidation>
        <x14:dataValidation type="list" allowBlank="1" showInputMessage="1" showErrorMessage="1" xr:uid="{D6186657-E84F-4CE3-A530-FDD18E1D46EE}">
          <x14:formula1>
            <xm:f>Reference!$A$2:$A$8</xm:f>
          </x14:formula1>
          <xm:sqref>E10:E13</xm:sqref>
        </x14:dataValidation>
        <x14:dataValidation type="list" allowBlank="1" showInputMessage="1" showErrorMessage="1" xr:uid="{7A9715DD-FB8B-4545-B070-E76A0E530109}">
          <x14:formula1>
            <xm:f>Reference!$B$2:$B$18</xm:f>
          </x14:formula1>
          <xm:sqref>D10:D13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6A68F-B8F8-4286-97A1-92D57CAB581F}">
  <sheetPr codeName="Sheet19">
    <tabColor rgb="FF00B050"/>
  </sheetPr>
  <dimension ref="A1:K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K2" sqref="K1:O1048576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4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1" width="0" style="3" hidden="1" customWidth="1"/>
    <col min="12" max="16384" width="8.83203125" style="3" hidden="1"/>
  </cols>
  <sheetData>
    <row r="1" spans="1:10" ht="15" hidden="1" x14ac:dyDescent="0.2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5" x14ac:dyDescent="0.2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9" x14ac:dyDescent="0.2">
      <c r="A3" s="56" t="s">
        <v>32</v>
      </c>
      <c r="B3" s="57"/>
      <c r="C3" s="57"/>
      <c r="D3" s="57"/>
      <c r="E3" s="57"/>
      <c r="F3" s="57"/>
      <c r="G3" s="57"/>
      <c r="H3" s="57"/>
      <c r="I3" s="57"/>
      <c r="J3" s="58"/>
    </row>
    <row r="4" spans="1:10" ht="14.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59" t="str">
        <f>IF(COUNTIF(Table11024123[Test 3],1)=COUNTA(Table11024123[Value]),"Ready","Not Ready")</f>
        <v>Ready</v>
      </c>
    </row>
    <row r="5" spans="1:10" ht="14.5" customHeight="1" x14ac:dyDescent="0.2">
      <c r="A5" s="17"/>
      <c r="B5" s="18"/>
      <c r="C5" s="37"/>
      <c r="D5" s="37"/>
      <c r="E5" s="37"/>
      <c r="F5" s="37"/>
      <c r="G5" s="19"/>
      <c r="H5" s="37"/>
      <c r="I5" s="37"/>
      <c r="J5" s="60"/>
    </row>
    <row r="6" spans="1:10" ht="14.5" customHeight="1" x14ac:dyDescent="0.2">
      <c r="A6" s="17"/>
      <c r="B6" s="18"/>
      <c r="C6" s="37"/>
      <c r="D6" s="37"/>
      <c r="E6" s="37"/>
      <c r="F6" s="37"/>
      <c r="G6" s="19"/>
      <c r="H6" s="37"/>
      <c r="I6" s="37"/>
      <c r="J6" s="60"/>
    </row>
    <row r="7" spans="1:10" ht="14.5" customHeight="1" x14ac:dyDescent="0.2">
      <c r="A7" s="17"/>
      <c r="B7" s="18"/>
      <c r="C7" s="37"/>
      <c r="D7" s="37"/>
      <c r="E7" s="37"/>
      <c r="F7" s="37"/>
      <c r="G7" s="19"/>
      <c r="H7" s="37"/>
      <c r="I7" s="37"/>
      <c r="J7" s="60"/>
    </row>
    <row r="8" spans="1:10" ht="14.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61"/>
    </row>
    <row r="9" spans="1:10" ht="16" x14ac:dyDescent="0.2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6" x14ac:dyDescent="0.2">
      <c r="A10" s="38" t="s">
        <v>116</v>
      </c>
      <c r="B10" s="32">
        <v>20</v>
      </c>
      <c r="C10" s="35" t="s">
        <v>69</v>
      </c>
      <c r="D10" s="1" t="s">
        <v>92</v>
      </c>
      <c r="E10" s="1" t="s">
        <v>7</v>
      </c>
      <c r="F10" s="2" t="s">
        <v>46</v>
      </c>
      <c r="G10" s="1">
        <v>1</v>
      </c>
      <c r="H10" s="1">
        <v>1</v>
      </c>
      <c r="I10" s="6">
        <v>1</v>
      </c>
      <c r="J10" s="5" t="s">
        <v>94</v>
      </c>
    </row>
    <row r="11" spans="1:10" ht="16" x14ac:dyDescent="0.2">
      <c r="A11" s="38" t="s">
        <v>117</v>
      </c>
      <c r="B11" s="32">
        <v>20.5</v>
      </c>
      <c r="C11" s="35" t="s">
        <v>69</v>
      </c>
      <c r="D11" s="1" t="s">
        <v>92</v>
      </c>
      <c r="E11" s="1" t="s">
        <v>7</v>
      </c>
      <c r="F11" s="2" t="s">
        <v>46</v>
      </c>
      <c r="G11" s="1">
        <v>1</v>
      </c>
      <c r="H11" s="1">
        <v>1</v>
      </c>
      <c r="I11" s="6">
        <v>1</v>
      </c>
      <c r="J11" s="5" t="s">
        <v>95</v>
      </c>
    </row>
    <row r="12" spans="1:10" ht="16" x14ac:dyDescent="0.2">
      <c r="A12" s="38" t="s">
        <v>118</v>
      </c>
      <c r="B12" s="32">
        <v>33.800769771555913</v>
      </c>
      <c r="C12" s="35" t="s">
        <v>69</v>
      </c>
      <c r="D12" s="1" t="s">
        <v>92</v>
      </c>
      <c r="E12" s="1" t="s">
        <v>7</v>
      </c>
      <c r="F12" s="2" t="s">
        <v>46</v>
      </c>
      <c r="G12" s="1">
        <v>1</v>
      </c>
      <c r="H12" s="1">
        <v>1</v>
      </c>
      <c r="I12" s="6">
        <v>1</v>
      </c>
      <c r="J12" s="5" t="s">
        <v>96</v>
      </c>
    </row>
    <row r="13" spans="1:10" ht="16" x14ac:dyDescent="0.2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Pf8fsiUkfKCDuFYAl6e7ENWxDcbBNzRyggCX4UUfWNi/ghLrnwe23ExBMzkSWJq7fBMxNpW9KSztn+ZrWL3TJw==" saltValue="Ba+L6wvnNxG14nnpajKNSA==" spinCount="100000" sheet="1" objects="1" scenarios="1" selectLockedCells="1"/>
  <mergeCells count="2">
    <mergeCell ref="A3:J3"/>
    <mergeCell ref="J4:J8"/>
  </mergeCells>
  <conditionalFormatting sqref="B13">
    <cfRule type="expression" dxfId="68" priority="31">
      <formula>IF(AND($B13&lt;&gt;"",$I13=0),1,0)</formula>
    </cfRule>
    <cfRule type="expression" dxfId="67" priority="32">
      <formula>IF($B13&lt;&gt;"",1,0)</formula>
    </cfRule>
    <cfRule type="expression" dxfId="66" priority="33">
      <formula>$I13=0</formula>
    </cfRule>
  </conditionalFormatting>
  <conditionalFormatting sqref="B10:B12">
    <cfRule type="expression" dxfId="65" priority="1">
      <formula>IF(AND($B10&lt;&gt;"",$I10=0),1,0)</formula>
    </cfRule>
    <cfRule type="expression" dxfId="64" priority="2">
      <formula>IF($B10&lt;&gt;"",1,0)</formula>
    </cfRule>
    <cfRule type="expression" dxfId="63" priority="3">
      <formula>$I10=0</formula>
    </cfRule>
  </conditionalFormatting>
  <conditionalFormatting sqref="J4">
    <cfRule type="expression" dxfId="62" priority="2251">
      <formula>IF(COUNTA($B$10:$B$13)&lt;&gt;COUNTIF($I$10:$I$13,1),1,0)</formula>
    </cfRule>
    <cfRule type="expression" dxfId="61" priority="2252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A32D1BB-1912-42F5-8BDB-376ACB48BA8F}">
          <x14:formula1>
            <xm:f>Reference!$C$2:$C$23</xm:f>
          </x14:formula1>
          <xm:sqref>F10:F13</xm:sqref>
        </x14:dataValidation>
        <x14:dataValidation type="list" allowBlank="1" showInputMessage="1" showErrorMessage="1" xr:uid="{01DA8EFC-4624-4DF2-856E-84204D714F02}">
          <x14:formula1>
            <xm:f>Reference!$A$2:$A$8</xm:f>
          </x14:formula1>
          <xm:sqref>E10:E13</xm:sqref>
        </x14:dataValidation>
        <x14:dataValidation type="list" allowBlank="1" showInputMessage="1" showErrorMessage="1" xr:uid="{4A177BB7-CF09-4D25-A898-645574882ECB}">
          <x14:formula1>
            <xm:f>Reference!$B$2:$B$18</xm:f>
          </x14:formula1>
          <xm:sqref>D10:D13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80DC4C-B74A-4B3B-A58F-D4A84B33B0CD}">
  <sheetPr codeName="Sheet17">
    <tabColor rgb="FF00B050"/>
  </sheetPr>
  <dimension ref="A1:K14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1" sqref="B11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4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1" width="0" style="3" hidden="1" customWidth="1"/>
    <col min="12" max="16384" width="8.83203125" style="3" hidden="1"/>
  </cols>
  <sheetData>
    <row r="1" spans="1:10" ht="15" hidden="1" x14ac:dyDescent="0.2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5" x14ac:dyDescent="0.2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9" x14ac:dyDescent="0.2">
      <c r="A3" s="56" t="s">
        <v>32</v>
      </c>
      <c r="B3" s="57"/>
      <c r="C3" s="57"/>
      <c r="D3" s="57"/>
      <c r="E3" s="57"/>
      <c r="F3" s="57"/>
      <c r="G3" s="57"/>
      <c r="H3" s="57"/>
      <c r="I3" s="57"/>
      <c r="J3" s="58"/>
    </row>
    <row r="4" spans="1:10" ht="14.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59" t="str">
        <f>IF(COUNTIF(Table1102412[Test 3],1)=COUNTA(Table1102412[Value]),"Ready","Not Ready")</f>
        <v>Ready</v>
      </c>
    </row>
    <row r="5" spans="1:10" ht="14.5" customHeight="1" x14ac:dyDescent="0.2">
      <c r="A5" s="17"/>
      <c r="B5" s="18"/>
      <c r="C5" s="37"/>
      <c r="D5" s="37"/>
      <c r="E5" s="37"/>
      <c r="F5" s="37"/>
      <c r="G5" s="19"/>
      <c r="H5" s="37"/>
      <c r="I5" s="37"/>
      <c r="J5" s="60"/>
    </row>
    <row r="6" spans="1:10" ht="14.5" customHeight="1" x14ac:dyDescent="0.2">
      <c r="A6" s="17"/>
      <c r="B6" s="18"/>
      <c r="C6" s="37"/>
      <c r="D6" s="37"/>
      <c r="E6" s="37"/>
      <c r="F6" s="37"/>
      <c r="G6" s="19"/>
      <c r="H6" s="37"/>
      <c r="I6" s="37"/>
      <c r="J6" s="60"/>
    </row>
    <row r="7" spans="1:10" ht="14.5" customHeight="1" x14ac:dyDescent="0.2">
      <c r="A7" s="17"/>
      <c r="B7" s="18"/>
      <c r="C7" s="37"/>
      <c r="D7" s="37"/>
      <c r="E7" s="37"/>
      <c r="F7" s="37"/>
      <c r="G7" s="19"/>
      <c r="H7" s="37"/>
      <c r="I7" s="37"/>
      <c r="J7" s="60"/>
    </row>
    <row r="8" spans="1:10" ht="14.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61"/>
    </row>
    <row r="9" spans="1:10" ht="16" x14ac:dyDescent="0.2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32" x14ac:dyDescent="0.2">
      <c r="A10" s="38" t="s">
        <v>119</v>
      </c>
      <c r="B10" s="32"/>
      <c r="C10" s="35" t="s">
        <v>93</v>
      </c>
      <c r="D10" s="1" t="s">
        <v>23</v>
      </c>
      <c r="E10" s="1" t="s">
        <v>7</v>
      </c>
      <c r="F10" s="2" t="s">
        <v>49</v>
      </c>
      <c r="G10" s="1">
        <v>1</v>
      </c>
      <c r="H10" s="1">
        <v>1</v>
      </c>
      <c r="I10" s="52">
        <f>[1]Initialization!$B$14</f>
        <v>0</v>
      </c>
      <c r="J10" s="5" t="s">
        <v>136</v>
      </c>
    </row>
    <row r="11" spans="1:10" ht="32" x14ac:dyDescent="0.2">
      <c r="A11" s="38" t="s">
        <v>120</v>
      </c>
      <c r="B11" s="32"/>
      <c r="C11" s="35" t="s">
        <v>93</v>
      </c>
      <c r="D11" s="1" t="s">
        <v>23</v>
      </c>
      <c r="E11" s="1" t="s">
        <v>7</v>
      </c>
      <c r="F11" s="2" t="s">
        <v>49</v>
      </c>
      <c r="G11" s="1">
        <v>1</v>
      </c>
      <c r="H11" s="1">
        <v>1</v>
      </c>
      <c r="I11" s="52">
        <f>[1]Initialization!$B$14</f>
        <v>0</v>
      </c>
      <c r="J11" s="5" t="s">
        <v>137</v>
      </c>
    </row>
    <row r="12" spans="1:10" ht="16" x14ac:dyDescent="0.2">
      <c r="A12" s="38" t="s">
        <v>121</v>
      </c>
      <c r="B12" s="32">
        <v>7.8300000000000002E-3</v>
      </c>
      <c r="C12" s="35" t="s">
        <v>22</v>
      </c>
      <c r="D12" s="1" t="s">
        <v>23</v>
      </c>
      <c r="E12" s="1" t="s">
        <v>7</v>
      </c>
      <c r="F12" s="2" t="s">
        <v>49</v>
      </c>
      <c r="G12" s="1">
        <v>1</v>
      </c>
      <c r="H12" s="1">
        <v>1</v>
      </c>
      <c r="I12" s="6">
        <v>1</v>
      </c>
      <c r="J12" s="5" t="s">
        <v>138</v>
      </c>
    </row>
    <row r="13" spans="1:10" ht="16" x14ac:dyDescent="0.2">
      <c r="A13" s="38" t="s">
        <v>122</v>
      </c>
      <c r="B13" s="32"/>
      <c r="C13" s="35" t="s">
        <v>100</v>
      </c>
      <c r="D13" s="1" t="s">
        <v>23</v>
      </c>
      <c r="E13" s="1" t="s">
        <v>7</v>
      </c>
      <c r="F13" s="2" t="s">
        <v>49</v>
      </c>
      <c r="G13" s="1">
        <v>1</v>
      </c>
      <c r="H13" s="1">
        <v>1</v>
      </c>
      <c r="I13" s="52">
        <f>[1]Initialization!$B$14</f>
        <v>0</v>
      </c>
      <c r="J13" s="5" t="s">
        <v>139</v>
      </c>
    </row>
    <row r="14" spans="1:10" ht="16" x14ac:dyDescent="0.2">
      <c r="A14" s="8" t="s">
        <v>79</v>
      </c>
      <c r="B14" s="33"/>
      <c r="C14" s="9"/>
      <c r="D14" s="10"/>
      <c r="E14" s="10"/>
      <c r="F14" s="9"/>
      <c r="G14" s="10">
        <v>1</v>
      </c>
      <c r="H14" s="10">
        <v>1</v>
      </c>
      <c r="I14" s="11">
        <v>0</v>
      </c>
      <c r="J14" s="12" t="s">
        <v>80</v>
      </c>
    </row>
  </sheetData>
  <sheetProtection algorithmName="SHA-512" hashValue="PhubazwdArMbbjjVUm1DpL5EFD+G/qFuERJlizMMkLtiRl5VsYc/jl9n9XRXnlC5KRL404pqaE0cY2U6wyNsZQ==" saltValue="TlsgL3ol2jxoU4WuxzXgTg==" spinCount="100000" sheet="1" objects="1" scenarios="1" selectLockedCells="1"/>
  <mergeCells count="2">
    <mergeCell ref="A3:J3"/>
    <mergeCell ref="J4:J8"/>
  </mergeCells>
  <conditionalFormatting sqref="B14">
    <cfRule type="expression" dxfId="45" priority="94">
      <formula>IF(AND($B14&lt;&gt;"",$I14=0),1,0)</formula>
    </cfRule>
    <cfRule type="expression" dxfId="44" priority="95">
      <formula>IF($B14&lt;&gt;"",1,0)</formula>
    </cfRule>
    <cfRule type="expression" dxfId="43" priority="96">
      <formula>$I14=0</formula>
    </cfRule>
  </conditionalFormatting>
  <conditionalFormatting sqref="B10:B11">
    <cfRule type="expression" dxfId="42" priority="1">
      <formula>IF(AND($B10&lt;&gt;"",$I10=0),1,0)</formula>
    </cfRule>
    <cfRule type="expression" dxfId="41" priority="2">
      <formula>IF($B10&lt;&gt;"",1,0)</formula>
    </cfRule>
    <cfRule type="expression" dxfId="40" priority="3">
      <formula>$I10=0</formula>
    </cfRule>
  </conditionalFormatting>
  <conditionalFormatting sqref="B12:B13">
    <cfRule type="expression" dxfId="39" priority="4">
      <formula>IF(AND($B12&lt;&gt;"",$I12=0),1,0)</formula>
    </cfRule>
    <cfRule type="expression" dxfId="38" priority="5">
      <formula>IF($B12&lt;&gt;"",1,0)</formula>
    </cfRule>
    <cfRule type="expression" dxfId="37" priority="6">
      <formula>$I12=0</formula>
    </cfRule>
  </conditionalFormatting>
  <conditionalFormatting sqref="J4">
    <cfRule type="expression" dxfId="36" priority="2253">
      <formula>IF(COUNTA($B$10:$B$14)&lt;&gt;COUNTIF($I$10:$I$14,1),1,0)</formula>
    </cfRule>
    <cfRule type="expression" dxfId="35" priority="2254">
      <formula>IF(COUNTA($B$10:$B$14)=COUNTIF($I$10:$I$14,1),1,0)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243CD99D-8F87-4102-8C84-C0465C13C7E9}">
          <x14:formula1>
            <xm:f>Reference!$B$2:$B$18</xm:f>
          </x14:formula1>
          <xm:sqref>D10:D14</xm:sqref>
        </x14:dataValidation>
        <x14:dataValidation type="list" allowBlank="1" showInputMessage="1" showErrorMessage="1" xr:uid="{CDE410C8-3D51-42A4-9C00-EEB139D8CDB1}">
          <x14:formula1>
            <xm:f>Reference!$A$2:$A$8</xm:f>
          </x14:formula1>
          <xm:sqref>E10:E14</xm:sqref>
        </x14:dataValidation>
        <x14:dataValidation type="list" allowBlank="1" showInputMessage="1" showErrorMessage="1" xr:uid="{A586B925-41D0-41ED-999D-2B4AB827CEF8}">
          <x14:formula1>
            <xm:f>Reference!$C$2:$C$23</xm:f>
          </x14:formula1>
          <xm:sqref>F10:F14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DD86E7-A740-EC40-ACD3-CEC24CCC78F1}">
  <sheetPr codeName="Sheet21">
    <tabColor rgb="FF00B050"/>
  </sheetPr>
  <dimension ref="A1:J13"/>
  <sheetViews>
    <sheetView showGridLines="0" zoomScaleNormal="100" zoomScaleSheetLayoutView="85" workbookViewId="0">
      <pane ySplit="9" topLeftCell="A10" activePane="bottomLeft" state="frozen"/>
      <selection activeCell="C24" sqref="C24"/>
      <selection pane="bottomLeft" activeCell="B10" sqref="B10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4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6" width="0" style="3" hidden="1" customWidth="1"/>
    <col min="17" max="16384" width="0" style="3" hidden="1"/>
  </cols>
  <sheetData>
    <row r="1" spans="1:10" ht="15" hidden="1" x14ac:dyDescent="0.2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5" x14ac:dyDescent="0.2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9" x14ac:dyDescent="0.2">
      <c r="A3" s="56" t="s">
        <v>32</v>
      </c>
      <c r="B3" s="57"/>
      <c r="C3" s="57"/>
      <c r="D3" s="57"/>
      <c r="E3" s="57"/>
      <c r="F3" s="57"/>
      <c r="G3" s="57"/>
      <c r="H3" s="57"/>
      <c r="I3" s="57"/>
      <c r="J3" s="58"/>
    </row>
    <row r="4" spans="1:10" ht="14.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59" t="str">
        <f>IF(COUNTIF(Table11024124[Test 3],1)=COUNTA(Table11024124[Value]),"Ready","Not Ready")</f>
        <v>Ready</v>
      </c>
    </row>
    <row r="5" spans="1:10" ht="14.5" customHeight="1" x14ac:dyDescent="0.2">
      <c r="A5" s="17"/>
      <c r="B5" s="18"/>
      <c r="C5" s="37"/>
      <c r="D5" s="37"/>
      <c r="E5" s="37"/>
      <c r="F5" s="37"/>
      <c r="G5" s="19"/>
      <c r="H5" s="37"/>
      <c r="I5" s="37"/>
      <c r="J5" s="60"/>
    </row>
    <row r="6" spans="1:10" ht="14.5" customHeight="1" x14ac:dyDescent="0.2">
      <c r="A6" s="17"/>
      <c r="B6" s="18"/>
      <c r="C6" s="37"/>
      <c r="D6" s="37"/>
      <c r="E6" s="37"/>
      <c r="F6" s="37"/>
      <c r="G6" s="19"/>
      <c r="H6" s="37"/>
      <c r="I6" s="37"/>
      <c r="J6" s="60"/>
    </row>
    <row r="7" spans="1:10" ht="14.5" customHeight="1" x14ac:dyDescent="0.2">
      <c r="A7" s="17"/>
      <c r="B7" s="18"/>
      <c r="C7" s="37"/>
      <c r="D7" s="37"/>
      <c r="E7" s="37"/>
      <c r="F7" s="37"/>
      <c r="G7" s="19"/>
      <c r="H7" s="37"/>
      <c r="I7" s="37"/>
      <c r="J7" s="60"/>
    </row>
    <row r="8" spans="1:10" ht="14.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61"/>
    </row>
    <row r="9" spans="1:10" ht="16" x14ac:dyDescent="0.2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6" x14ac:dyDescent="0.2">
      <c r="A10" s="38" t="s">
        <v>127</v>
      </c>
      <c r="B10" s="53"/>
      <c r="C10" s="35" t="s">
        <v>20</v>
      </c>
      <c r="D10" s="1" t="s">
        <v>17</v>
      </c>
      <c r="E10" s="1" t="s">
        <v>7</v>
      </c>
      <c r="F10" s="2" t="s">
        <v>42</v>
      </c>
      <c r="G10" s="1">
        <v>1</v>
      </c>
      <c r="H10" s="1">
        <v>1</v>
      </c>
      <c r="I10" s="54">
        <f>[1]Initialization!$B$12</f>
        <v>0</v>
      </c>
      <c r="J10" s="5" t="s">
        <v>128</v>
      </c>
    </row>
    <row r="11" spans="1:10" ht="16" x14ac:dyDescent="0.2">
      <c r="A11" s="38" t="s">
        <v>126</v>
      </c>
      <c r="B11" s="32"/>
      <c r="C11" s="35" t="s">
        <v>20</v>
      </c>
      <c r="D11" s="1" t="s">
        <v>17</v>
      </c>
      <c r="E11" s="1" t="s">
        <v>7</v>
      </c>
      <c r="F11" s="2" t="s">
        <v>42</v>
      </c>
      <c r="G11" s="1">
        <v>1</v>
      </c>
      <c r="H11" s="1">
        <v>1</v>
      </c>
      <c r="I11" s="52">
        <f>[1]Initialization!$B$12</f>
        <v>0</v>
      </c>
      <c r="J11" s="5" t="s">
        <v>129</v>
      </c>
    </row>
    <row r="12" spans="1:10" ht="32" x14ac:dyDescent="0.2">
      <c r="A12" s="38" t="s">
        <v>125</v>
      </c>
      <c r="B12" s="51"/>
      <c r="C12" s="35" t="s">
        <v>131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52">
        <f>[1]Initialization!$B$12</f>
        <v>0</v>
      </c>
      <c r="J12" s="5" t="s">
        <v>130</v>
      </c>
    </row>
    <row r="13" spans="1:10" ht="16" x14ac:dyDescent="0.2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jCE6/tCe0yO9tB6wZaBZqCDRsYOI+hdX+VKMr2NtbC49xuUBr7zWYrYoUg1P4RuiRjEFHs/GIBDPNXpRWWPgvw==" saltValue="F0pP0VlTSKdFIe78fAHqQA==" spinCount="100000" sheet="1" objects="1" scenarios="1" selectLockedCells="1"/>
  <mergeCells count="2">
    <mergeCell ref="A3:J3"/>
    <mergeCell ref="J4:J8"/>
  </mergeCells>
  <conditionalFormatting sqref="J4">
    <cfRule type="expression" dxfId="19" priority="2259">
      <formula>IF(COUNTA($B$10:$B$13)&lt;&gt;COUNTIF($I$10:$I$13,1),1,0)</formula>
    </cfRule>
    <cfRule type="expression" dxfId="18" priority="2260">
      <formula>IF(COUNTA($B$10:$B$13)=COUNTIF($I$10:$I$13,1),1,0)</formula>
    </cfRule>
  </conditionalFormatting>
  <conditionalFormatting sqref="B10:B13">
    <cfRule type="expression" dxfId="17" priority="8">
      <formula>IF(AND($B10&lt;&gt;"",$I10=0),1,0)</formula>
    </cfRule>
    <cfRule type="expression" dxfId="16" priority="9">
      <formula>IF($B10&lt;&gt;"",1,0)</formula>
    </cfRule>
    <cfRule type="expression" dxfId="15" priority="10">
      <formula>$I10=0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553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3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3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518A1AF5-0FC2-4348-B5D8-583F6265B6C2}">
          <x14:formula1>
            <xm:f>Reference!$C$2:$C$23</xm:f>
          </x14:formula1>
          <xm:sqref>F10:F13</xm:sqref>
        </x14:dataValidation>
        <x14:dataValidation type="list" allowBlank="1" showInputMessage="1" showErrorMessage="1" xr:uid="{CB1BD7BB-BA70-0446-8F01-70AF46ECDFD9}">
          <x14:formula1>
            <xm:f>Reference!$A$2:$A$8</xm:f>
          </x14:formula1>
          <xm:sqref>E10:E13</xm:sqref>
        </x14:dataValidation>
        <x14:dataValidation type="list" allowBlank="1" showInputMessage="1" showErrorMessage="1" xr:uid="{FAE96949-E98F-E64C-9FFF-083405A71766}">
          <x14:formula1>
            <xm:f>Reference!$B$2:$B$18</xm:f>
          </x14:formula1>
          <xm:sqref>D10:D13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baseColWidth="10" defaultColWidth="8.83203125" defaultRowHeight="15" x14ac:dyDescent="0.2"/>
  <sheetData>
    <row r="1" spans="1:1" x14ac:dyDescent="0.2">
      <c r="A1" t="s">
        <v>89</v>
      </c>
    </row>
    <row r="2" spans="1:1" x14ac:dyDescent="0.2">
      <c r="A2" t="s">
        <v>87</v>
      </c>
    </row>
    <row r="3" spans="1:1" x14ac:dyDescent="0.2">
      <c r="A3" t="s">
        <v>88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Q2"/>
  <sheetViews>
    <sheetView workbookViewId="0">
      <selection activeCell="CM2" sqref="CM2"/>
    </sheetView>
  </sheetViews>
  <sheetFormatPr baseColWidth="10" defaultColWidth="8.83203125" defaultRowHeight="15" x14ac:dyDescent="0.2"/>
  <sheetData>
    <row r="1" spans="1:17" x14ac:dyDescent="0.2">
      <c r="A1" t="s">
        <v>101</v>
      </c>
      <c r="B1" t="s">
        <v>114</v>
      </c>
      <c r="C1" t="s">
        <v>115</v>
      </c>
      <c r="D1" t="s">
        <v>79</v>
      </c>
      <c r="E1" t="s">
        <v>116</v>
      </c>
      <c r="F1" t="s">
        <v>117</v>
      </c>
      <c r="G1" t="s">
        <v>118</v>
      </c>
      <c r="H1" t="s">
        <v>79</v>
      </c>
      <c r="I1" t="s">
        <v>119</v>
      </c>
      <c r="J1" t="s">
        <v>120</v>
      </c>
      <c r="K1" t="s">
        <v>121</v>
      </c>
      <c r="L1" t="s">
        <v>122</v>
      </c>
      <c r="M1" t="s">
        <v>79</v>
      </c>
      <c r="N1" t="s">
        <v>127</v>
      </c>
      <c r="O1" t="s">
        <v>126</v>
      </c>
      <c r="P1" t="s">
        <v>125</v>
      </c>
      <c r="Q1" t="s">
        <v>79</v>
      </c>
    </row>
    <row r="2" spans="1:17" x14ac:dyDescent="0.2">
      <c r="A2">
        <v>4</v>
      </c>
      <c r="B2">
        <v>298.14999999999998</v>
      </c>
      <c r="C2">
        <v>7.9050000000000002</v>
      </c>
      <c r="E2">
        <v>20</v>
      </c>
      <c r="F2">
        <v>20.5</v>
      </c>
      <c r="G2">
        <v>33.800769771555913</v>
      </c>
      <c r="K2">
        <v>7.8300000000000002E-3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Q2"/>
  <sheetViews>
    <sheetView workbookViewId="0">
      <selection activeCell="CR2" sqref="CR2"/>
    </sheetView>
  </sheetViews>
  <sheetFormatPr baseColWidth="10" defaultColWidth="8.83203125" defaultRowHeight="15" x14ac:dyDescent="0.2"/>
  <sheetData>
    <row r="1" spans="1:17" x14ac:dyDescent="0.2">
      <c r="A1" t="s">
        <v>101</v>
      </c>
      <c r="B1" t="s">
        <v>114</v>
      </c>
      <c r="C1" t="s">
        <v>115</v>
      </c>
      <c r="D1" t="s">
        <v>79</v>
      </c>
      <c r="E1" t="s">
        <v>116</v>
      </c>
      <c r="F1" t="s">
        <v>117</v>
      </c>
      <c r="G1" t="s">
        <v>118</v>
      </c>
      <c r="H1" t="s">
        <v>79</v>
      </c>
      <c r="I1" t="s">
        <v>119</v>
      </c>
      <c r="J1" t="s">
        <v>120</v>
      </c>
      <c r="K1" t="s">
        <v>121</v>
      </c>
      <c r="L1" t="s">
        <v>122</v>
      </c>
      <c r="M1" t="s">
        <v>79</v>
      </c>
      <c r="N1" t="s">
        <v>127</v>
      </c>
      <c r="O1" t="s">
        <v>126</v>
      </c>
      <c r="P1" t="s">
        <v>125</v>
      </c>
      <c r="Q1" t="s">
        <v>79</v>
      </c>
    </row>
    <row r="2" spans="1:17" x14ac:dyDescent="0.2">
      <c r="A2">
        <v>1</v>
      </c>
      <c r="B2">
        <v>1</v>
      </c>
      <c r="C2">
        <v>1</v>
      </c>
      <c r="D2">
        <v>0</v>
      </c>
      <c r="E2">
        <v>1</v>
      </c>
      <c r="F2">
        <v>1</v>
      </c>
      <c r="G2">
        <v>1</v>
      </c>
      <c r="H2">
        <v>0</v>
      </c>
      <c r="I2">
        <v>0</v>
      </c>
      <c r="J2">
        <v>0</v>
      </c>
      <c r="K2">
        <v>1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5</vt:i4>
      </vt:variant>
    </vt:vector>
  </HeadingPairs>
  <TitlesOfParts>
    <vt:vector size="14" baseType="lpstr">
      <vt:lpstr>Reference</vt:lpstr>
      <vt:lpstr>Revision History</vt:lpstr>
      <vt:lpstr>Initialization</vt:lpstr>
      <vt:lpstr>Geometry</vt:lpstr>
      <vt:lpstr>Physical Properties</vt:lpstr>
      <vt:lpstr>Control</vt:lpstr>
      <vt:lpstr>maintenance check list</vt:lpstr>
      <vt:lpstr>Data(Transposed)</vt:lpstr>
      <vt:lpstr>Data(Test)</vt:lpstr>
      <vt:lpstr>Control!Print_Area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Microsoft Office User</cp:lastModifiedBy>
  <cp:lastPrinted>2020-11-27T00:08:43Z</cp:lastPrinted>
  <dcterms:created xsi:type="dcterms:W3CDTF">2020-11-24T18:36:54Z</dcterms:created>
  <dcterms:modified xsi:type="dcterms:W3CDTF">2023-05-22T01:51:28Z</dcterms:modified>
</cp:coreProperties>
</file>