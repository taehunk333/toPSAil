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87A98C2F-29EA-45E4-A6FA-311995787B49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6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44" l="1"/>
  <c r="B17" i="44"/>
  <c r="B16" i="44"/>
  <c r="H12" i="46"/>
  <c r="H11" i="46"/>
  <c r="H10" i="46"/>
  <c r="J4" i="46"/>
  <c r="J2" i="46"/>
  <c r="A2" i="46"/>
  <c r="I12" i="44"/>
  <c r="H12" i="44"/>
  <c r="I11" i="44"/>
  <c r="H11" i="44"/>
  <c r="H15" i="44"/>
  <c r="H14" i="44"/>
  <c r="H18" i="44"/>
  <c r="H17" i="44"/>
  <c r="H21" i="44"/>
  <c r="H20" i="44"/>
  <c r="H14" i="40"/>
  <c r="H13" i="40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tc={24B6345E-F611-43B9-9631-A9AC0DF2233B}</author>
    <author>tc={60405546-B9CA-4AC8-9BFF-C94249C6E625}</author>
    <author>tc={4AAA20E1-0409-4F74-B82B-1B55B6A90BAE}</author>
  </authors>
  <commentList>
    <comment ref="G9" authorId="0" shapeId="0" xr:uid="{24B6345E-F611-43B9-9631-A9AC0DF2233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0405546-B9CA-4AC8-9BFF-C94249C6E62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AAA20E1-0409-4F74-B82B-1B55B6A90BA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<sst xmlns="http://schemas.openxmlformats.org/spreadsheetml/2006/main" count="335" uniqueCount="147">
  <si>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</si>
  <si>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</si>
  <si>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</si>
  <si>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</si>
  <si>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</si>
  <si>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</si>
  <si>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</si>
  <si>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</si>
  <si>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</si>
  <si>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</si>
  <si>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</si>
  <si>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</si>
  <si>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</si>
  <si>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</si>
  <si>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</si>
  <si>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</si>
  <si>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</si>
  <si>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</si>
  <si>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</si>
  <si>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</si>
  <si>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</si>
  <si>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</si>
  <si>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</si>
  <si>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</si>
  <si>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</si>
  <si>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</si>
  <si>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</si>
  <si>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</si>
  <si>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</si>
  <si>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</si>
  <si>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</si>
  <si>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</si>
  <si>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</si>
  <si>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</si>
  <si>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</si>
  <si>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</si>
  <si>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</si>
  <si>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</si>
  <si>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</si>
  <si>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</si>
  <si>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</si>
  <si>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</si>
  <si>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</si>
  <si>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</si>
  <si>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</si>
  <si>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</si>
  <si>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</si>
  <si>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</si>
  <si>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</si>
  <si>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</si>
  <si>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</si>
  <si>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</si>
  <si>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</si>
  <si>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</si>
  <si>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</si>
  <si>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</si>
  <si>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</si>
  <si>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</si>
  <si>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</si>
  <si>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</si>
  <si>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</si>
  <si>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</si>
  <si>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</si>
  <si>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</si>
  <si>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</si>
  <si>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</si>
  <si>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</si>
  <si>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</si>
  <si>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</si>
  <si>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</si>
  <si>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</si>
  <si>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</si>
  <si>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</si>
  <si>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</si>
  <si>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</si>
  <si>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</si>
  <si>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</si>
  <si>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</si>
  <si>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</si>
  <si>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</si>
  <si>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</si>
  <si>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</si>
  <si>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</si>
  <si>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</si>
  <si>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</si>
  <si>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</si>
  <si>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</si>
  <si>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</si>
  <si>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</si>
  <si>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</si>
  <si>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</si>
  <si>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</si>
  <si>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</si>
  <si>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</si>
  <si>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</si>
  <si>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</si>
  <si>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</si>
  <si>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</si>
  <si>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</si>
  <si>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</si>
  <si>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</si>
  <si>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</si>
  <si>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</si>
  <si>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</si>
  <si>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</si>
  <si>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</si>
  <si>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</si>
  <si>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</si>
  <si>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</si>
  <si>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</si>
  <si>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</si>
  <si>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</si>
  <si>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</si>
  <si>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</si>
  <si>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</si>
  <si>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</si>
  <si>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</si>
  <si>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</si>
  <si>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</si>
  <si>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</si>
  <si>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</si>
  <si>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</si>
  <si>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</si>
  <si>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</si>
  <si>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</si>
  <si>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</si>
  <si>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</si>
  <si>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</si>
  <si>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</si>
  <si>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</si>
  <si>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</si>
  <si>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</si>
  <si>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</si>
  <si>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</si>
  <si>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</si>
  <si>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</si>
  <si>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</si>
  <si>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</si>
  <si>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</si>
  <si>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sCom3</t>
  </si>
  <si>
    <t>CH4</t>
  </si>
  <si>
    <t>CO2</t>
  </si>
  <si>
    <t>molecWtC3</t>
  </si>
  <si>
    <t>compFacC3</t>
  </si>
  <si>
    <t>htCapCvC3</t>
  </si>
  <si>
    <t>htCapCpC3</t>
  </si>
  <si>
    <t>isoStHtC3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</si>
</sst>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1" name="Button 1" hidden="1">
                <a:extLst>
                  <a:ext uri="{63B3BB69-23CF-44E3-9099-C40C66FF867C}">
                    <a14:compatExt spid="_x0000_s107521"/>
                  </a:ext>
                  <a:ext uri="{FF2B5EF4-FFF2-40B4-BE49-F238E27FC236}">
                    <a16:creationId xmlns:a16="http://schemas.microsoft.com/office/drawing/2014/main" id="{00000000-0008-0000-0300-000001A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2" name="Button 2" hidden="1">
                <a:extLst>
                  <a:ext uri="{63B3BB69-23CF-44E3-9099-C40C66FF867C}">
                    <a14:compatExt spid="_x0000_s107522"/>
                  </a:ext>
                  <a:ext uri="{FF2B5EF4-FFF2-40B4-BE49-F238E27FC236}">
                    <a16:creationId xmlns:a16="http://schemas.microsoft.com/office/drawing/2014/main" id="{00000000-0008-0000-0300-000002A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3" name="Button 3" hidden="1">
                <a:extLst>
                  <a:ext uri="{63B3BB69-23CF-44E3-9099-C40C66FF867C}">
                    <a14:compatExt spid="_x0000_s107523"/>
                  </a:ext>
                  <a:ext uri="{FF2B5EF4-FFF2-40B4-BE49-F238E27FC236}">
                    <a16:creationId xmlns:a16="http://schemas.microsoft.com/office/drawing/2014/main" id="{00000000-0008-0000-0300-000003A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75" dataDxfId="73" headerRowBorderDxfId="74" tableBorderDxfId="72" totalsRowBorderDxfId="71">
  <autoFilter ref="A9:J15" xr:uid="{B089C5C3-2CCE-4800-96CA-2131BB6E3E4F}"/>
  <tableColumns count="10">
    <tableColumn id="1" xr3:uid="{F0083DBC-BA3F-499A-AB41-58DC14E7EC9B}" name="Variable" dataDxfId="70"/>
    <tableColumn id="4" xr3:uid="{2D9C78CB-0A98-4E06-A17A-328F6643A2AB}" name="Value" dataDxfId="69"/>
    <tableColumn id="5" xr3:uid="{2D40A785-0BF0-4D20-A6A3-606AF3EAEA1D}" name="Unit" dataDxfId="68"/>
    <tableColumn id="6" xr3:uid="{47E47CE1-84EE-4BBF-AF16-7CD09E32C8D5}" name="Comparisons" dataDxfId="67"/>
    <tableColumn id="7" xr3:uid="{1E01755C-F10B-47AF-87D2-261FE9E5C304}" name="Variable Type" dataDxfId="66"/>
    <tableColumn id="8" xr3:uid="{A1508BC9-F251-4C78-AFE1-9780568F4570}" name="Dependency" dataDxfId="65"/>
    <tableColumn id="12" xr3:uid="{483B9187-B663-438A-A6C2-F92DD2C5981E}" name="Test 1" dataDxfId="64"/>
    <tableColumn id="10" xr3:uid="{B0989B53-E4FA-42D2-AC40-B81EF1952308}" name="Test 2" dataDxfId="63"/>
    <tableColumn id="2" xr3:uid="{3B51E6F8-78E0-4FDA-AE7D-0D8F50BB7A78}" name="Test 3" dataDxfId="62"/>
    <tableColumn id="9" xr3:uid="{87AE414E-FFE1-4067-A57C-04659EEE8430}" name="Description" data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06BE4C-60AD-418D-A5BF-468C4CD6C10D}" name="Table1108236" displayName="Table1108236" ref="A9:J13" totalsRowShown="0" headerRowDxfId="52" dataDxfId="50" headerRowBorderDxfId="51" tableBorderDxfId="49" totalsRowBorderDxfId="48">
  <autoFilter ref="A9:J13" xr:uid="{B089C5C3-2CCE-4800-96CA-2131BB6E3E4F}"/>
  <tableColumns count="10">
    <tableColumn id="1" xr3:uid="{D6FEFFD2-5A73-4293-8FA0-1683D7E6AC4B}" name="Variable" dataDxfId="47"/>
    <tableColumn id="4" xr3:uid="{AEBE33B1-35A8-45C6-B53B-C412E0999A9E}" name="Value" dataDxfId="46"/>
    <tableColumn id="5" xr3:uid="{8C8EDE04-3042-46CD-A5AE-B3317DB89936}" name="Unit" dataDxfId="45"/>
    <tableColumn id="6" xr3:uid="{B9297AB7-BC70-450F-8DFF-9BF976E9CB16}" name="Comparisons" dataDxfId="44"/>
    <tableColumn id="7" xr3:uid="{EFD880B2-E707-4298-A685-522EAA3C97C6}" name="Variable Type" dataDxfId="43"/>
    <tableColumn id="8" xr3:uid="{8C48117B-D9B5-4855-9DBB-D73E4D8D3E42}" name="Dependency" dataDxfId="42"/>
    <tableColumn id="12" xr3:uid="{A62A2C2F-0CDD-4D72-9621-43CDD6F1B28D}" name="Test 1" dataDxfId="41"/>
    <tableColumn id="10" xr3:uid="{980C7551-D568-4282-91CD-AD86B36C752F}" name="Test 2" dataDxfId="40"/>
    <tableColumn id="2" xr3:uid="{50382994-B768-4CBB-8539-CC2D191AEDC9}" name="Test 3" dataDxfId="39"/>
    <tableColumn id="9" xr3:uid="{6223BB7B-D575-432F-9EB4-76F4D98689BA}" name="Descrip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4B6345E-F611-43B9-9631-A9AC0DF2233B}">
    <text>place 1 if we want to keep the row when re-initializing. Otherwise, leave it as a blank.</text>
  </threadedComment>
  <threadedComment ref="H9" dT="2020-11-26T18:35:03.27" personId="{7F98AE94-13FB-49E1-9262-339C11E0EDB4}" id="{60405546-B9CA-4AC8-9BFF-C94249C6E625}">
    <text>supply a value greater than 1 if you want to duplicate the row</text>
  </threadedComment>
  <threadedComment ref="I9" dT="2020-11-28T01:53:47.29" personId="{7F98AE94-13FB-49E1-9262-339C11E0EDB4}" id="{4AAA20E1-0409-4F74-B82B-1B55B6A90BAE}">
    <text>1 means we need to have the variable specified; 0 means we need not have the variable specified</text>
  </threadedComment>
  <threadedComment ref="I9" dT="2020-11-28T01:56:42.32" personId="{7F98AE94-13FB-49E1-9262-339C11E0EDB4}" id="{BF812BFD-3612-4888-846F-57719A122AD4}" parentId="{4AAA20E1-0409-4F74-B82B-1B55B6A90BA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133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127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132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130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114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112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136</v>
      </c>
    </row>
    <row r="11" spans="1:10" ht="57.6">
      <c r="A11" s="58" t="s">
        <v>135</v>
      </c>
      <c r="B11" s="30">
        <v>2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137</v>
      </c>
    </row>
    <row r="12" spans="1:10" ht="43.2">
      <c r="A12" s="4" t="s">
        <v>62</v>
      </c>
      <c r="B12" s="30" t="s">
        <v>140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131</v>
      </c>
    </row>
    <row r="13" spans="1:10" ht="43.2">
      <c r="A13" s="4" t="s">
        <v>63</v>
      </c>
      <c r="B13" s="30" t="s">
        <v>102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131</v>
      </c>
    </row>
    <row r="14" spans="1:10" ht="43.2">
      <c r="A14" s="4" t="s">
        <v>139</v>
      </c>
      <c r="B14" s="30" t="s">
        <v>141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131</v>
      </c>
    </row>
    <row r="15" spans="1:10" ht="14.4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iNHm72ymdKpc+VpPI67G5FeYCjKY7y34DYafxVkRQYFap/gnOYDSczMx3i+LHSkgs/mOHlW6pvbgCE4HCfUGoA==" saltValue="cm8WICK5YDUTZGwE4NLesw==" spinCount="100000" sheet="1" objects="1" scenarios="1" selectLockedCells="1"/>
  <mergeCells count="2">
    <mergeCell ref="A3:J3"/>
    <mergeCell ref="J4:J8"/>
  </mergeCells>
  <conditionalFormatting sqref="B10:B12 B15">
    <cfRule type="expression" dxfId="83" priority="10">
      <formula>IF(AND($B10&lt;&gt;"",$I10=0),1,0)</formula>
    </cfRule>
    <cfRule type="expression" dxfId="82" priority="11">
      <formula>IF($B10&lt;&gt;"",1,0)</formula>
    </cfRule>
    <cfRule type="expression" dxfId="81" priority="12">
      <formula>$I10=0</formula>
    </cfRule>
  </conditionalFormatting>
  <conditionalFormatting sqref="J4">
    <cfRule type="expression" dxfId="80" priority="498">
      <formula>IF(COUNTA($B$10:$B$15)&lt;&gt;COUNTIF($I$10:$I$15,1),1,0)</formula>
    </cfRule>
    <cfRule type="expression" dxfId="79" priority="499">
      <formula>IF(COUNTA($B$10:$B$15)=COUNTIF($I$10:$I$15,1),1,0)</formula>
    </cfRule>
  </conditionalFormatting>
  <conditionalFormatting sqref="B13:B14">
    <cfRule type="expression" dxfId="78" priority="1">
      <formula>IF(AND($B13&lt;&gt;"",$I13=0),1,0)</formula>
    </cfRule>
    <cfRule type="expression" dxfId="77" priority="2">
      <formula>IF($B13&lt;&gt;"",1,0)</formula>
    </cfRule>
    <cfRule type="expression" dxfId="76" priority="3">
      <formula>$I13=0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686F-47BD-4523-90DF-9ADFCC8CC097}">
  <sheetPr codeName="Sheet25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IF(COUNTIF(Table1108236[Test 3],1)=COUNTA(Table1108236[Value]),"Ready","Not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123</v>
      </c>
      <c r="B10" s="30">
        <v>16</v>
      </c>
      <c r="C10" s="2" t="s">
        <v>124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3</v>
      </c>
      <c r="I10" s="6">
        <v>1</v>
      </c>
      <c r="J10" s="5" t="s">
        <v>125</v>
      </c>
    </row>
    <row r="11" spans="1:10" ht="14.4">
      <c r="A11" s="4" t="s">
        <v>126</v>
      </c>
      <c r="B11" s="30">
        <v>28</v>
      </c>
      <c r="C11" s="2" t="s">
        <v>124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3</v>
      </c>
      <c r="I11" s="6">
        <v>1</v>
      </c>
      <c r="J11" s="5" t="s">
        <v>125</v>
      </c>
    </row>
    <row r="12" spans="1:10" ht="14.4">
      <c r="A12" s="4" t="s">
        <v>142</v>
      </c>
      <c r="B12" s="30">
        <v>44</v>
      </c>
      <c r="C12" s="2" t="s">
        <v>124</v>
      </c>
      <c r="D12" s="1" t="s">
        <v>22</v>
      </c>
      <c r="E12" s="1" t="s">
        <v>7</v>
      </c>
      <c r="F12" s="2" t="s">
        <v>5</v>
      </c>
      <c r="G12" s="1"/>
      <c r="H12" s="62">
        <f>Initialization!B$10</f>
        <v>3</v>
      </c>
      <c r="I12" s="6">
        <v>1</v>
      </c>
      <c r="J12" s="5" t="s">
        <v>125</v>
      </c>
    </row>
    <row r="13" spans="1:10" ht="14.4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</sheetData>
  <sheetProtection algorithmName="SHA-512" hashValue="amRIZYgiooeio7UNbga0gKIsgorZoQeIuhd2byxQZGgYz9dxJf7HiS82bLvTh3kVVkMCelpPtomUPFHDNUNt1Q==" saltValue="bHBz3F9B4WJ0s1oI0Jc8OQ==" spinCount="100000" sheet="1" objects="1" scenarios="1" selectLockedCells="1"/>
  <mergeCells count="2">
    <mergeCell ref="A3:J3"/>
    <mergeCell ref="J4:J8"/>
  </mergeCells>
  <conditionalFormatting sqref="B10 B13">
    <cfRule type="expression" dxfId="60" priority="7">
      <formula>IF(AND($B10&lt;&gt;"",$I10=0),1,0)</formula>
    </cfRule>
    <cfRule type="expression" dxfId="59" priority="8">
      <formula>IF($B10&lt;&gt;"",1,0)</formula>
    </cfRule>
    <cfRule type="expression" dxfId="58" priority="9">
      <formula>$I10=0</formula>
    </cfRule>
  </conditionalFormatting>
  <conditionalFormatting sqref="J4">
    <cfRule type="expression" dxfId="57" priority="557">
      <formula>IF(COUNTA($B$10:$B$13)&lt;&gt;COUNTIF($I$10:$I$13,1),1,0)</formula>
    </cfRule>
    <cfRule type="expression" dxfId="56" priority="558">
      <formula>IF(COUNTA($B$10:$B$13)=COUNTIF($I$10:$I$13,1),1,0)</formula>
    </cfRule>
  </conditionalFormatting>
  <conditionalFormatting sqref="B11:B12">
    <cfRule type="expression" dxfId="55" priority="1">
      <formula>IF(AND($B11&lt;&gt;"",$I11=0),1,0)</formula>
    </cfRule>
    <cfRule type="expression" dxfId="54" priority="2">
      <formula>IF($B11&lt;&gt;"",1,0)</formula>
    </cfRule>
    <cfRule type="expression" dxfId="53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EF365-FA90-4AC0-942C-BF93C0FE69B8}">
          <x14:formula1>
            <xm:f>Reference!$A$2:$A$8</xm:f>
          </x14:formula1>
          <xm:sqref>E10:E13</xm:sqref>
        </x14:dataValidation>
        <x14:dataValidation type="list" allowBlank="1" showInputMessage="1" showErrorMessage="1" xr:uid="{85ECBDB4-8EFA-4093-BA38-CF0FF9852EB0}">
          <x14:formula1>
            <xm:f>Reference!$B$2:$B$18</xm:f>
          </x14:formula1>
          <xm:sqref>D10:D13</xm:sqref>
        </x14:dataValidation>
        <x14:dataValidation type="list" allowBlank="1" showInputMessage="1" showErrorMessage="1" xr:uid="{65519BC8-ACC1-4A89-BC0F-71EE6F141EFE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61">
        <f>[1]Initialization!$B$14</f>
        <v>0</v>
      </c>
      <c r="J10" s="5" t="s">
        <v>138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61">
        <f>[1]Initialization!$B$14</f>
        <v>0</v>
      </c>
      <c r="J11" s="5" t="s">
        <v>138</v>
      </c>
    </row>
    <row r="12" spans="1:10" ht="28.8">
      <c r="A12" s="4" t="s">
        <v>146</v>
      </c>
      <c r="B12" s="30"/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61">
        <f>[1]Initialization!$B$14</f>
        <v>0</v>
      </c>
      <c r="J12" s="5" t="s">
        <v>138</v>
      </c>
    </row>
    <row r="13" spans="1:10" ht="28.8">
      <c r="A13" s="4" t="s">
        <v>105</v>
      </c>
      <c r="B13" s="30">
        <v>33.298000000000002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103</v>
      </c>
    </row>
    <row r="14" spans="1:10" ht="28.8">
      <c r="A14" s="4" t="s">
        <v>106</v>
      </c>
      <c r="B14" s="30">
        <v>29.105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103</v>
      </c>
    </row>
    <row r="15" spans="1:10" ht="28.8">
      <c r="A15" s="4" t="s">
        <v>145</v>
      </c>
      <c r="B15" s="30">
        <v>29.37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103</v>
      </c>
    </row>
    <row r="16" spans="1:10" ht="28.8">
      <c r="A16" s="47" t="s">
        <v>107</v>
      </c>
      <c r="B16" s="30">
        <f>B13-8.314</f>
        <v>24.984000000000002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104</v>
      </c>
    </row>
    <row r="17" spans="1:10" ht="28.8">
      <c r="A17" s="47" t="s">
        <v>108</v>
      </c>
      <c r="B17" s="30">
        <f t="shared" ref="B17:B18" si="0">B14-8.314</f>
        <v>20.791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104</v>
      </c>
    </row>
    <row r="18" spans="1:10" ht="28.8">
      <c r="A18" s="47" t="s">
        <v>144</v>
      </c>
      <c r="B18" s="30">
        <f t="shared" si="0"/>
        <v>21.056000000000001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104</v>
      </c>
    </row>
    <row r="19" spans="1:10" ht="28.8">
      <c r="A19" s="47" t="s">
        <v>110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109</v>
      </c>
    </row>
    <row r="20" spans="1:10" ht="28.8">
      <c r="A20" s="47" t="s">
        <v>111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109</v>
      </c>
    </row>
    <row r="21" spans="1:10" ht="28.8">
      <c r="A21" s="47" t="s">
        <v>143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109</v>
      </c>
    </row>
    <row r="22" spans="1:10" ht="14.4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</sheetData>
  <sheetProtection algorithmName="SHA-512" hashValue="l3YACpeaaflQh579TVYPFGgF7mUJSwRAe0ZH80yXxYZbU108MUNwS4Qb8d07Y2ANu4WCCvbn4NvHJpafx+qm2w==" saltValue="TLkZ94y00zMS907VZmrrZw==" spinCount="100000" sheet="1" objects="1" scenarios="1" selectLockedCells="1"/>
  <mergeCells count="2">
    <mergeCell ref="A3:J3"/>
    <mergeCell ref="J4:J8"/>
  </mergeCells>
  <conditionalFormatting sqref="B10 B22 B13:B19">
    <cfRule type="expression" dxfId="37" priority="46">
      <formula>IF(AND($B10&lt;&gt;"",$I10=0),1,0)</formula>
    </cfRule>
    <cfRule type="expression" dxfId="36" priority="47">
      <formula>IF($B10&lt;&gt;"",1,0)</formula>
    </cfRule>
    <cfRule type="expression" dxfId="35" priority="48">
      <formula>$I10=0</formula>
    </cfRule>
  </conditionalFormatting>
  <conditionalFormatting sqref="B10">
    <cfRule type="expression" dxfId="34" priority="43">
      <formula>IF(AND($B10&lt;&gt;"",$I10=0),1,0)</formula>
    </cfRule>
    <cfRule type="expression" dxfId="33" priority="44">
      <formula>IF($B10&lt;&gt;"",1,0)</formula>
    </cfRule>
    <cfRule type="expression" dxfId="32" priority="45">
      <formula>$I10=0</formula>
    </cfRule>
  </conditionalFormatting>
  <conditionalFormatting sqref="J4">
    <cfRule type="expression" dxfId="31" priority="526">
      <formula>IF(COUNTA($B$10:$B$22)&lt;&gt;COUNTIF($I$10:$I$22,1),1,0)</formula>
    </cfRule>
    <cfRule type="expression" dxfId="30" priority="527">
      <formula>IF(COUNTA($B$10:$B$22)=COUNTIF($I$10:$I$22,1),1,0)</formula>
    </cfRule>
  </conditionalFormatting>
  <conditionalFormatting sqref="B20:B21">
    <cfRule type="expression" dxfId="29" priority="13">
      <formula>IF(AND($B20&lt;&gt;"",$I20=0),1,0)</formula>
    </cfRule>
    <cfRule type="expression" dxfId="28" priority="14">
      <formula>IF($B20&lt;&gt;"",1,0)</formula>
    </cfRule>
    <cfRule type="expression" dxfId="27" priority="15">
      <formula>$I20=0</formula>
    </cfRule>
  </conditionalFormatting>
  <conditionalFormatting sqref="B17:B18">
    <cfRule type="expression" dxfId="26" priority="10">
      <formula>IF(AND($B17&lt;&gt;"",$I17=0),1,0)</formula>
    </cfRule>
    <cfRule type="expression" dxfId="25" priority="11">
      <formula>IF($B17&lt;&gt;"",1,0)</formula>
    </cfRule>
    <cfRule type="expression" dxfId="24" priority="12">
      <formula>$I17=0</formula>
    </cfRule>
  </conditionalFormatting>
  <conditionalFormatting sqref="B14:B15">
    <cfRule type="expression" dxfId="23" priority="7">
      <formula>IF(AND($B14&lt;&gt;"",$I14=0),1,0)</formula>
    </cfRule>
    <cfRule type="expression" dxfId="22" priority="8">
      <formula>IF($B14&lt;&gt;"",1,0)</formula>
    </cfRule>
    <cfRule type="expression" dxfId="21" priority="9">
      <formula>$I14=0</formula>
    </cfRule>
  </conditionalFormatting>
  <conditionalFormatting sqref="B11:B12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D6" sqref="D6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134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129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3</v>
      </c>
      <c r="B2">
        <v>2</v>
      </c>
      <c r="C2" t="s">
        <v>140</v>
      </c>
      <c r="D2" t="s">
        <v>102</v>
      </c>
      <c r="E2" t="s">
        <v>141</v>
      </c>
      <c r="G2">
        <v>16</v>
      </c>
      <c r="H2">
        <v>28</v>
      </c>
      <c r="I2">
        <v>44</v>
      </c>
      <c r="N2">
        <v>33.298000000000002</v>
      </c>
      <c r="O2">
        <v>29.105</v>
      </c>
      <c r="P2">
        <v>29.37</v>
      </c>
      <c r="Q2">
        <v>24.984000000000002</v>
      </c>
      <c r="R2">
        <v>20.791</v>
      </c>
      <c r="S2">
        <v>21.056000000000001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2022-10-31T23:45:41Z</dcterms:modified>
</cp:coreProperties>
</file>