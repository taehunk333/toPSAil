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5CDBEF0B-7ED3-4940-89E0-29DE10A2E8D1}" xr6:coauthVersionLast="47" xr6:coauthVersionMax="47" xr10:uidLastSave="{00000000-0000-0000-0000-000000000000}"/>
  <bookViews>
    <workbookView xWindow="-120" yWindow="-12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Initialization!$A$2:$J$15</definedName>
    <definedName name="_xlnm.Print_Area" localSheetId="3">'Physical Properties'!$A$2:$J$13</definedName>
    <definedName name="_xlnm.Print_Area" localSheetId="0">'Revision History'!$C$3:$K$51</definedName>
    <definedName name="_xlnm.Print_Area" localSheetId="4">'Thermodynamic Properties'!$A$2:$J$22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" i="44" l="1"/>
  <c r="H12" i="44"/>
  <c r="I11" i="44"/>
  <c r="H11" i="44"/>
  <c r="H15" i="44"/>
  <c r="H14" i="44"/>
  <c r="H18" i="44"/>
  <c r="H17" i="44"/>
  <c r="H21" i="44"/>
  <c r="H20" i="44"/>
  <c r="H12" i="48"/>
  <c r="H11" i="48"/>
  <c r="H14" i="40"/>
  <c r="H13" i="40"/>
  <c r="H10" i="48" l="1"/>
  <c r="J4" i="48"/>
  <c r="J2" i="48"/>
  <c r="A2" i="48"/>
  <c r="I10" i="44"/>
  <c r="H19" i="44" l="1"/>
  <c r="H16" i="44"/>
  <c r="H13" i="44"/>
  <c r="H10" i="44"/>
  <c r="J4" i="44"/>
  <c r="J2" i="44"/>
  <c r="A2" i="44"/>
  <c r="H12" i="40" l="1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<sst xmlns="http://schemas.openxmlformats.org/spreadsheetml/2006/main" count="286" uniqueCount="147">
  <si>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</si>
  <si>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</si>
  <si>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</si>
  <si>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</si>
  <si>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</si>
  <si>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</si>
  <si>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</si>
  <si>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</si>
  <si>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</si>
  <si>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</si>
  <si>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</si>
  <si>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</si>
  <si>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</si>
  <si>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</si>
  <si>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</si>
  <si>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</si>
  <si>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</si>
  <si>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</si>
  <si>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</si>
  <si>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</si>
  <si>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</si>
  <si>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</si>
  <si>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</si>
  <si>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</si>
  <si>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</si>
  <si>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</si>
  <si>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</si>
  <si>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</si>
  <si>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</si>
  <si>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</si>
  <si>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</si>
  <si>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</si>
  <si>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</si>
  <si>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</si>
  <si>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</si>
  <si>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</si>
  <si>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</si>
  <si>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</si>
  <si>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</si>
  <si>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</si>
  <si>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</si>
  <si>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</si>
  <si>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</si>
  <si>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</si>
  <si>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</si>
  <si>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</si>
  <si>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</si>
  <si>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</si>
  <si>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</si>
  <si>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</si>
  <si>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</si>
  <si>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</si>
  <si>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</si>
  <si>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</si>
  <si>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</si>
  <si>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</si>
  <si>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</si>
  <si>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</si>
  <si>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</si>
  <si>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</si>
  <si>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</si>
  <si>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</si>
  <si>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</si>
  <si>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</si>
  <si>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</si>
  <si>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</si>
  <si>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</si>
  <si>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</si>
  <si>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</si>
  <si>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</si>
  <si>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</si>
  <si>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</si>
  <si>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</si>
  <si>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</si>
  <si>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</si>
  <si>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</si>
  <si>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</si>
  <si>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</si>
  <si>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</si>
  <si>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</si>
  <si>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</si>
  <si>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</si>
  <si>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</si>
  <si>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</si>
  <si>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</si>
  <si>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</si>
  <si>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</si>
  <si>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</si>
  <si>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</si>
  <si>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</si>
  <si>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</si>
  <si>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</si>
  <si>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</si>
  <si>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</si>
  <si>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</si>
  <si>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</si>
  <si>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</si>
  <si>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</si>
  <si>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</si>
  <si>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</si>
  <si>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</si>
  <si>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</si>
  <si>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</si>
  <si>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</si>
  <si>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</si>
  <si>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</si>
  <si>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</si>
  <si>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</si>
  <si>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</si>
  <si>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</si>
  <si>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</si>
  <si>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</si>
  <si>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</si>
  <si>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</si>
  <si>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</si>
  <si>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</si>
  <si>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</si>
  <si>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</si>
  <si>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</si>
  <si>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</si>
  <si>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</si>
  <si>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</si>
  <si>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</si>
  <si>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</si>
  <si>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</si>
  <si>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</si>
  <si>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</si>
  <si>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</si>
  <si>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</si>
  <si>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</si>
  <si>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</si>
  <si>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</si>
  <si>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</si>
  <si>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</si>
  <si>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</si>
  <si>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</si>
  <si>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</si>
  <si>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</si>
  <si>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N2</t>
  </si>
  <si>
    <t>CO2</t>
  </si>
  <si>
    <t>sCom3</t>
  </si>
  <si>
    <t>molecWtC3</t>
  </si>
  <si>
    <t>compFacC3</t>
  </si>
  <si>
    <t>htCapCvC3</t>
  </si>
  <si>
    <t>htCapCpC3</t>
  </si>
  <si>
    <t>isoStHtC3</t>
  </si>
  <si>
    <t>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</si>
</sst>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u/>
      <sz val="11"/>
      <color theme="1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5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6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5" totalsRowShown="0" headerRowDxfId="65" dataDxfId="63" headerRowBorderDxfId="64" tableBorderDxfId="62" totalsRowBorderDxfId="61">
  <autoFilter ref="A9:J15" xr:uid="{B089C5C3-2CCE-4800-96CA-2131BB6E3E4F}"/>
  <tableColumns count="10">
    <tableColumn id="1" xr3:uid="{F0083DBC-BA3F-499A-AB41-58DC14E7EC9B}" name="Variable" dataDxfId="60"/>
    <tableColumn id="4" xr3:uid="{2D9C78CB-0A98-4E06-A17A-328F6643A2AB}" name="Value" dataDxfId="59"/>
    <tableColumn id="5" xr3:uid="{2D40A785-0BF0-4D20-A6A3-606AF3EAEA1D}" name="Unit" dataDxfId="58"/>
    <tableColumn id="6" xr3:uid="{47E47CE1-84EE-4BBF-AF16-7CD09E32C8D5}" name="Comparisons" dataDxfId="57"/>
    <tableColumn id="7" xr3:uid="{1E01755C-F10B-47AF-87D2-261FE9E5C304}" name="Variable Type" dataDxfId="56"/>
    <tableColumn id="8" xr3:uid="{A1508BC9-F251-4C78-AFE1-9780568F4570}" name="Dependency" dataDxfId="55"/>
    <tableColumn id="12" xr3:uid="{483B9187-B663-438A-A6C2-F92DD2C5981E}" name="Test 1" dataDxfId="54"/>
    <tableColumn id="10" xr3:uid="{B0989B53-E4FA-42D2-AC40-B81EF1952308}" name="Test 2" dataDxfId="53"/>
    <tableColumn id="2" xr3:uid="{3B51E6F8-78E0-4FDA-AE7D-0D8F50BB7A78}" name="Test 3" dataDxfId="52"/>
    <tableColumn id="9" xr3:uid="{87AE414E-FFE1-4067-A57C-04659EEE8430}" name="Description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3" totalsRowShown="0" headerRowDxfId="50" dataDxfId="48" headerRowBorderDxfId="49" tableBorderDxfId="47" totalsRowBorderDxfId="46">
  <autoFilter ref="A9:J13" xr:uid="{B089C5C3-2CCE-4800-96CA-2131BB6E3E4F}"/>
  <tableColumns count="10">
    <tableColumn id="1" xr3:uid="{D4652DE0-AD05-4BC4-B7DC-B91D6E15B5B2}" name="Variable" dataDxfId="45"/>
    <tableColumn id="4" xr3:uid="{2F59C491-C7E1-4257-A250-2EA854EB6288}" name="Value" dataDxfId="44"/>
    <tableColumn id="5" xr3:uid="{34876DE5-AC85-42AE-9A77-1A7DBC37EA9C}" name="Unit" dataDxfId="43"/>
    <tableColumn id="6" xr3:uid="{16522C00-28AB-414D-9B4E-DF5790D96FB0}" name="Comparisons" dataDxfId="42"/>
    <tableColumn id="7" xr3:uid="{A1C9D628-05B1-4FEF-97C7-8DAC16591D17}" name="Variable Type" dataDxfId="41"/>
    <tableColumn id="8" xr3:uid="{21ED6E86-E0CA-4EA6-8452-7E8EC49D47E9}" name="Dependency" dataDxfId="40"/>
    <tableColumn id="12" xr3:uid="{833F4E3C-8288-4E33-9D60-BB141BA16440}" name="Test 1" dataDxfId="39"/>
    <tableColumn id="10" xr3:uid="{B5ACF3FF-F7B5-4328-AF7F-9A1641C64EBC}" name="Test 2" dataDxfId="38"/>
    <tableColumn id="2" xr3:uid="{69651FF2-E47D-4C8B-88C9-DEAB4746E36D}" name="Test 3" dataDxfId="37"/>
    <tableColumn id="9" xr3:uid="{7323C7D4-0CE9-41A5-811B-0D3D008EC15F}" name="Description" dataDxfId="3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22" totalsRowShown="0" headerRowDxfId="35" dataDxfId="33" headerRowBorderDxfId="34" tableBorderDxfId="32" totalsRowBorderDxfId="31">
  <autoFilter ref="A9:J22" xr:uid="{B089C5C3-2CCE-4800-96CA-2131BB6E3E4F}"/>
  <tableColumns count="10">
    <tableColumn id="1" xr3:uid="{6A35E06C-F897-408B-99FB-EF8D84B6AD07}" name="Variable" dataDxfId="30"/>
    <tableColumn id="4" xr3:uid="{67BF08AD-B2D0-428D-97B6-2FC73FC3CF9D}" name="Value" dataDxfId="29"/>
    <tableColumn id="5" xr3:uid="{277E4E51-24B7-4152-BAF4-78D95A975063}" name="Unit" dataDxfId="28"/>
    <tableColumn id="6" xr3:uid="{039F4962-2365-467D-B17A-12CEEC8E0412}" name="Comparisons" dataDxfId="27"/>
    <tableColumn id="7" xr3:uid="{E0E79FD6-8B46-463D-9B88-4324FFF4BBD5}" name="Variable Type" dataDxfId="26"/>
    <tableColumn id="8" xr3:uid="{BEECCACE-8125-445B-95C5-5AB708475223}" name="Dependency" dataDxfId="25"/>
    <tableColumn id="12" xr3:uid="{5D9BF479-6158-45CA-BAFF-FA972241D2E7}" name="Test 1" dataDxfId="24"/>
    <tableColumn id="10" xr3:uid="{A9492B6E-945E-41F5-97D5-9C45A61125D1}" name="Test 2" dataDxfId="23"/>
    <tableColumn id="2" xr3:uid="{E9964D8A-68A9-4FB5-9793-107C574C148B}" name="Test 3" dataDxfId="22"/>
    <tableColumn id="9" xr3:uid="{FF965B85-0F32-4D45-BAAB-63478E6B877E}" name="Description" dataDxf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3" hidden="1" customWidth="1"/>
    <col min="3" max="3" width="2.42578125" style="33" customWidth="1"/>
    <col min="4" max="4" width="13.7109375" style="33" customWidth="1"/>
    <col min="5" max="5" width="51.28515625" style="34" bestFit="1" customWidth="1"/>
    <col min="6" max="6" width="15.7109375" style="35" bestFit="1" customWidth="1"/>
    <col min="7" max="9" width="13.28515625" style="33" customWidth="1"/>
    <col min="10" max="10" width="48.7109375" style="33" customWidth="1"/>
    <col min="11" max="11" width="2.42578125" style="33" customWidth="1"/>
    <col min="12" max="12" width="0" style="33" hidden="1" customWidth="1"/>
    <col min="13" max="16384" width="9" style="33" hidden="1"/>
  </cols>
  <sheetData>
    <row r="3" spans="4:10"/>
    <row r="4" spans="4:10" ht="18.75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5.25">
      <c r="D5" s="60" t="s">
        <v>36</v>
      </c>
      <c r="E5" s="60"/>
      <c r="F5" s="60"/>
      <c r="G5" s="60"/>
      <c r="H5" s="60"/>
      <c r="I5" s="60"/>
      <c r="J5" s="60"/>
    </row>
    <row r="6" spans="4:10" ht="18.75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6.25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7.5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.75">
      <c r="D9" s="37">
        <v>3</v>
      </c>
      <c r="E9" s="38"/>
      <c r="F9" s="39"/>
      <c r="G9" s="37"/>
      <c r="H9" s="37"/>
      <c r="I9" s="37"/>
      <c r="J9" s="38"/>
    </row>
    <row r="10" spans="4:10" ht="18.75">
      <c r="D10" s="37">
        <v>4</v>
      </c>
      <c r="E10" s="38"/>
      <c r="F10" s="39"/>
      <c r="G10" s="37"/>
      <c r="H10" s="37"/>
      <c r="I10" s="37"/>
      <c r="J10" s="38"/>
    </row>
    <row r="11" spans="4:10" ht="18.75">
      <c r="D11" s="37">
        <v>5</v>
      </c>
      <c r="E11" s="38"/>
      <c r="F11" s="39"/>
      <c r="G11" s="37"/>
      <c r="H11" s="37"/>
      <c r="I11" s="37"/>
      <c r="J11" s="38"/>
    </row>
    <row r="12" spans="4:10" ht="18.75">
      <c r="D12" s="37">
        <v>6</v>
      </c>
      <c r="E12" s="38"/>
      <c r="F12" s="39"/>
      <c r="G12" s="37"/>
      <c r="H12" s="37"/>
      <c r="I12" s="37"/>
      <c r="J12" s="38"/>
    </row>
    <row r="13" spans="4:10" ht="18.75">
      <c r="D13" s="37">
        <v>7</v>
      </c>
      <c r="E13" s="38"/>
      <c r="F13" s="39"/>
      <c r="G13" s="37"/>
      <c r="H13" s="37"/>
      <c r="I13" s="37"/>
      <c r="J13" s="38"/>
    </row>
    <row r="14" spans="4:10" ht="18.75">
      <c r="D14" s="37">
        <v>8</v>
      </c>
      <c r="E14" s="38"/>
      <c r="F14" s="39"/>
      <c r="G14" s="37"/>
      <c r="H14" s="37"/>
      <c r="I14" s="37"/>
      <c r="J14" s="38"/>
    </row>
    <row r="15" spans="4:10" ht="18.75">
      <c r="D15" s="37">
        <v>9</v>
      </c>
      <c r="E15" s="38"/>
      <c r="F15" s="39"/>
      <c r="G15" s="37"/>
      <c r="H15" s="37"/>
      <c r="I15" s="37"/>
      <c r="J15" s="38"/>
    </row>
    <row r="16" spans="4:10" ht="18.75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FFFF00"/>
  </sheetPr>
  <dimension ref="A1:K16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5" sqref="B15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0">
      <c r="A10" s="4" t="s">
        <v>5</v>
      </c>
      <c r="B10" s="30">
        <v>3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60">
      <c r="A11" s="47" t="s">
        <v>134</v>
      </c>
      <c r="B11" s="30">
        <v>2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136</v>
      </c>
    </row>
    <row r="12" spans="1:10" ht="45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3</v>
      </c>
      <c r="I12" s="6">
        <v>1</v>
      </c>
      <c r="J12" s="5" t="s">
        <v>130</v>
      </c>
    </row>
    <row r="13" spans="1:10" ht="45">
      <c r="A13" s="4" t="s">
        <v>63</v>
      </c>
      <c r="B13" s="30" t="s">
        <v>146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3</v>
      </c>
      <c r="I13" s="6">
        <v>1</v>
      </c>
      <c r="J13" s="5" t="s">
        <v>130</v>
      </c>
    </row>
    <row r="14" spans="1:10" ht="45">
      <c r="A14" s="4" t="s">
        <v>140</v>
      </c>
      <c r="B14" s="30" t="s">
        <v>139</v>
      </c>
      <c r="C14" s="2" t="s">
        <v>3</v>
      </c>
      <c r="D14" s="1" t="s">
        <v>22</v>
      </c>
      <c r="E14" s="1" t="s">
        <v>9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130</v>
      </c>
    </row>
    <row r="15" spans="1:10" ht="15">
      <c r="A15" s="8" t="s">
        <v>77</v>
      </c>
      <c r="B15" s="31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78</v>
      </c>
    </row>
    <row r="16" spans="1:10" ht="14.65" hidden="1" customHeight="1"/>
  </sheetData>
  <sheetProtection algorithmName="SHA-512" hashValue="8jS3UxFkezp0lpEntPMI7A5H7Vsq2QprXsVAedwjxD5hBTPm15ukUUg6OFe9mNuwl53GWBXJHKRdnssp8XkszQ==" saltValue="Cn7N7ZW5nNLhoSZpPN4djg==" spinCount="100000" sheet="1" objects="1" scenarios="1" selectLockedCells="1"/>
  <mergeCells count="2">
    <mergeCell ref="A3:J3"/>
    <mergeCell ref="J4:J8"/>
  </mergeCells>
  <conditionalFormatting sqref="B10:B15">
    <cfRule type="expression" dxfId="20" priority="7">
      <formula>IF(AND($B10&lt;&gt;"",$I10=0),1,0)</formula>
    </cfRule>
    <cfRule type="expression" dxfId="19" priority="8">
      <formula>IF($B10&lt;&gt;"",1,0)</formula>
    </cfRule>
    <cfRule type="expression" dxfId="18" priority="9">
      <formula>$I10=0</formula>
    </cfRule>
  </conditionalFormatting>
  <conditionalFormatting sqref="J4">
    <cfRule type="expression" dxfId="17" priority="554">
      <formula>IF(COUNTA($B$10:$B$15)&lt;&gt;COUNTIF($I$10:$I$15,1),1,0)</formula>
    </cfRule>
    <cfRule type="expression" dxfId="16" priority="555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F10:F15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D10:D15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FFFF00"/>
  </sheetPr>
  <dimension ref="A1:J14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0" sqref="B10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Not 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5">
      <c r="A10" s="4" t="s">
        <v>122</v>
      </c>
      <c r="B10" s="30"/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3</v>
      </c>
      <c r="I10" s="6">
        <v>1</v>
      </c>
      <c r="J10" s="5" t="s">
        <v>124</v>
      </c>
    </row>
    <row r="11" spans="1:10" ht="15">
      <c r="A11" s="4" t="s">
        <v>125</v>
      </c>
      <c r="B11" s="30"/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3</v>
      </c>
      <c r="I11" s="6">
        <v>1</v>
      </c>
      <c r="J11" s="5" t="s">
        <v>124</v>
      </c>
    </row>
    <row r="12" spans="1:10" ht="15">
      <c r="A12" s="4" t="s">
        <v>141</v>
      </c>
      <c r="B12" s="30"/>
      <c r="C12" s="2" t="s">
        <v>123</v>
      </c>
      <c r="D12" s="1" t="s">
        <v>22</v>
      </c>
      <c r="E12" s="1" t="s">
        <v>7</v>
      </c>
      <c r="F12" s="2" t="s">
        <v>5</v>
      </c>
      <c r="G12" s="1"/>
      <c r="H12" s="59">
        <f>Initialization!B$10</f>
        <v>3</v>
      </c>
      <c r="I12" s="6">
        <v>1</v>
      </c>
      <c r="J12" s="5" t="s">
        <v>124</v>
      </c>
    </row>
    <row r="13" spans="1:10" ht="15">
      <c r="A13" s="8" t="s">
        <v>77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78</v>
      </c>
    </row>
    <row r="14" spans="1:10" ht="14.65" hidden="1" customHeight="1"/>
  </sheetData>
  <sheetProtection selectLockedCells="1"/>
  <mergeCells count="2">
    <mergeCell ref="A3:J3"/>
    <mergeCell ref="J4:J8"/>
  </mergeCells>
  <conditionalFormatting sqref="B10:B13">
    <cfRule type="expression" dxfId="15" priority="16">
      <formula>IF(AND($B10&lt;&gt;"",$I10=0),1,0)</formula>
    </cfRule>
    <cfRule type="expression" dxfId="14" priority="17">
      <formula>IF($B10&lt;&gt;"",1,0)</formula>
    </cfRule>
    <cfRule type="expression" dxfId="13" priority="18">
      <formula>$I10=0</formula>
    </cfRule>
  </conditionalFormatting>
  <conditionalFormatting sqref="J4">
    <cfRule type="expression" dxfId="12" priority="556">
      <formula>IF(COUNTA($B$10:$B$13)&lt;&gt;COUNTIF($I$10:$I$13,1),1,0)</formula>
    </cfRule>
    <cfRule type="expression" dxfId="11" priority="557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E10:E13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D10:D13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FFFF00"/>
  </sheetPr>
  <dimension ref="A1:K26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0" sqref="B10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.75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Not Ready</v>
      </c>
    </row>
    <row r="5" spans="1:10" ht="14.65" customHeight="1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65" customHeight="1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65" customHeight="1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5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30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3</v>
      </c>
      <c r="I10" s="58">
        <f>[1]Initialization!$B$14</f>
        <v>1</v>
      </c>
      <c r="J10" s="5" t="s">
        <v>137</v>
      </c>
    </row>
    <row r="11" spans="1:10" ht="30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3</v>
      </c>
      <c r="I11" s="58">
        <f>[1]Initialization!$B$14</f>
        <v>1</v>
      </c>
      <c r="J11" s="5" t="s">
        <v>137</v>
      </c>
    </row>
    <row r="12" spans="1:10" ht="30">
      <c r="A12" s="4" t="s">
        <v>145</v>
      </c>
      <c r="B12" s="30"/>
      <c r="C12" s="2" t="s">
        <v>94</v>
      </c>
      <c r="D12" s="1" t="s">
        <v>22</v>
      </c>
      <c r="E12" s="1" t="s">
        <v>7</v>
      </c>
      <c r="F12" s="2" t="s">
        <v>5</v>
      </c>
      <c r="G12" s="1"/>
      <c r="H12" s="1">
        <f>Initialization!$B$10</f>
        <v>3</v>
      </c>
      <c r="I12" s="58">
        <f>[1]Initialization!$B$14</f>
        <v>1</v>
      </c>
      <c r="J12" s="5" t="s">
        <v>137</v>
      </c>
    </row>
    <row r="13" spans="1:10" ht="30">
      <c r="A13" s="4" t="s">
        <v>104</v>
      </c>
      <c r="B13" s="30"/>
      <c r="C13" s="2" t="s">
        <v>95</v>
      </c>
      <c r="D13" s="1" t="s">
        <v>22</v>
      </c>
      <c r="E13" s="1" t="s">
        <v>7</v>
      </c>
      <c r="F13" s="2" t="s">
        <v>5</v>
      </c>
      <c r="G13" s="1">
        <v>1</v>
      </c>
      <c r="H13" s="1">
        <f>Initialization!$B$10</f>
        <v>3</v>
      </c>
      <c r="I13" s="6">
        <v>1</v>
      </c>
      <c r="J13" s="5" t="s">
        <v>102</v>
      </c>
    </row>
    <row r="14" spans="1:10" ht="30">
      <c r="A14" s="4" t="s">
        <v>105</v>
      </c>
      <c r="B14" s="30"/>
      <c r="C14" s="2" t="s">
        <v>95</v>
      </c>
      <c r="D14" s="1" t="s">
        <v>22</v>
      </c>
      <c r="E14" s="1" t="s">
        <v>7</v>
      </c>
      <c r="F14" s="2" t="s">
        <v>5</v>
      </c>
      <c r="G14" s="1"/>
      <c r="H14" s="1">
        <f>Initialization!$B$10</f>
        <v>3</v>
      </c>
      <c r="I14" s="6">
        <v>1</v>
      </c>
      <c r="J14" s="5" t="s">
        <v>102</v>
      </c>
    </row>
    <row r="15" spans="1:10" ht="30">
      <c r="A15" s="4" t="s">
        <v>144</v>
      </c>
      <c r="B15" s="30"/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3</v>
      </c>
      <c r="I15" s="6">
        <v>1</v>
      </c>
      <c r="J15" s="5" t="s">
        <v>102</v>
      </c>
    </row>
    <row r="16" spans="1:10" ht="30">
      <c r="A16" s="47" t="s">
        <v>106</v>
      </c>
      <c r="B16" s="30"/>
      <c r="C16" s="2" t="s">
        <v>95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3</v>
      </c>
      <c r="I16" s="6">
        <v>1</v>
      </c>
      <c r="J16" s="5" t="s">
        <v>103</v>
      </c>
    </row>
    <row r="17" spans="1:10" ht="30">
      <c r="A17" s="47" t="s">
        <v>107</v>
      </c>
      <c r="B17" s="30"/>
      <c r="C17" s="2" t="s">
        <v>95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3</v>
      </c>
      <c r="I17" s="6">
        <v>1</v>
      </c>
      <c r="J17" s="5" t="s">
        <v>103</v>
      </c>
    </row>
    <row r="18" spans="1:10" ht="30">
      <c r="A18" s="47" t="s">
        <v>143</v>
      </c>
      <c r="B18" s="30"/>
      <c r="C18" s="2" t="s">
        <v>95</v>
      </c>
      <c r="D18" s="1" t="s">
        <v>22</v>
      </c>
      <c r="E18" s="1" t="s">
        <v>7</v>
      </c>
      <c r="F18" s="2" t="s">
        <v>5</v>
      </c>
      <c r="G18" s="1"/>
      <c r="H18" s="1">
        <f>Initialization!$B$10</f>
        <v>3</v>
      </c>
      <c r="I18" s="6">
        <v>1</v>
      </c>
      <c r="J18" s="5" t="s">
        <v>103</v>
      </c>
    </row>
    <row r="19" spans="1:10" ht="30">
      <c r="A19" s="47" t="s">
        <v>109</v>
      </c>
      <c r="B19" s="30"/>
      <c r="C19" s="32" t="s">
        <v>3</v>
      </c>
      <c r="D19" s="1" t="s">
        <v>22</v>
      </c>
      <c r="E19" s="1" t="s">
        <v>7</v>
      </c>
      <c r="F19" s="2" t="s">
        <v>5</v>
      </c>
      <c r="G19" s="1">
        <v>1</v>
      </c>
      <c r="H19" s="1">
        <f>Initialization!$B$10</f>
        <v>3</v>
      </c>
      <c r="I19" s="6">
        <v>1</v>
      </c>
      <c r="J19" s="5" t="s">
        <v>108</v>
      </c>
    </row>
    <row r="20" spans="1:10" ht="30">
      <c r="A20" s="47" t="s">
        <v>110</v>
      </c>
      <c r="B20" s="30"/>
      <c r="C20" s="32" t="s">
        <v>3</v>
      </c>
      <c r="D20" s="1" t="s">
        <v>22</v>
      </c>
      <c r="E20" s="1" t="s">
        <v>7</v>
      </c>
      <c r="F20" s="2" t="s">
        <v>5</v>
      </c>
      <c r="G20" s="1"/>
      <c r="H20" s="1">
        <f>Initialization!$B$10</f>
        <v>3</v>
      </c>
      <c r="I20" s="6">
        <v>1</v>
      </c>
      <c r="J20" s="5" t="s">
        <v>108</v>
      </c>
    </row>
    <row r="21" spans="1:10" ht="30">
      <c r="A21" s="47" t="s">
        <v>142</v>
      </c>
      <c r="B21" s="30"/>
      <c r="C21" s="32" t="s">
        <v>3</v>
      </c>
      <c r="D21" s="1" t="s">
        <v>22</v>
      </c>
      <c r="E21" s="1" t="s">
        <v>7</v>
      </c>
      <c r="F21" s="2" t="s">
        <v>5</v>
      </c>
      <c r="G21" s="1"/>
      <c r="H21" s="1">
        <f>Initialization!$B$10</f>
        <v>3</v>
      </c>
      <c r="I21" s="6">
        <v>1</v>
      </c>
      <c r="J21" s="5" t="s">
        <v>108</v>
      </c>
    </row>
    <row r="22" spans="1:10" ht="15">
      <c r="A22" s="8" t="s">
        <v>77</v>
      </c>
      <c r="B22" s="31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78</v>
      </c>
    </row>
    <row r="23" spans="1:10" ht="14.65" hidden="1" customHeight="1"/>
    <row r="24" spans="1:10" ht="14.65" hidden="1" customHeight="1"/>
    <row r="25" spans="1:10" ht="14.65" hidden="1" customHeight="1"/>
    <row r="26" spans="1:10" ht="14.65" hidden="1" customHeight="1"/>
  </sheetData>
  <sheetProtection selectLockedCells="1"/>
  <mergeCells count="2">
    <mergeCell ref="A3:J3"/>
    <mergeCell ref="J4:J8"/>
  </mergeCells>
  <conditionalFormatting sqref="B13:B22">
    <cfRule type="expression" dxfId="10" priority="43">
      <formula>IF(AND($B13&lt;&gt;"",$I13=0),1,0)</formula>
    </cfRule>
    <cfRule type="expression" dxfId="9" priority="44">
      <formula>IF($B13&lt;&gt;"",1,0)</formula>
    </cfRule>
    <cfRule type="expression" dxfId="8" priority="45">
      <formula>$I13=0</formula>
    </cfRule>
  </conditionalFormatting>
  <conditionalFormatting sqref="B10:B12">
    <cfRule type="expression" dxfId="7" priority="10">
      <formula>IF(AND($B10&lt;&gt;"",$I10=0),1,0)</formula>
    </cfRule>
    <cfRule type="expression" dxfId="6" priority="11">
      <formula>IF($B10&lt;&gt;"",1,0)</formula>
    </cfRule>
    <cfRule type="expression" dxfId="5" priority="12">
      <formula>$I10=0</formula>
    </cfRule>
  </conditionalFormatting>
  <conditionalFormatting sqref="B10:B12">
    <cfRule type="expression" dxfId="4" priority="7">
      <formula>IF(AND($B10&lt;&gt;"",$I10=0),1,0)</formula>
    </cfRule>
    <cfRule type="expression" dxfId="3" priority="8">
      <formula>IF($B10&lt;&gt;"",1,0)</formula>
    </cfRule>
    <cfRule type="expression" dxfId="2" priority="9">
      <formula>$I10=0</formula>
    </cfRule>
  </conditionalFormatting>
  <conditionalFormatting sqref="J4">
    <cfRule type="expression" dxfId="1" priority="564">
      <formula>IF(COUNTA($B$10:$B$22)&lt;&gt;COUNTIF($I$10:$I$22,1),1,0)</formula>
    </cfRule>
    <cfRule type="expression" dxfId="0" priority="56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F10:F22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D10:D22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109375" style="56" customWidth="1"/>
    <col min="3" max="3" width="13.140625" style="56" customWidth="1"/>
    <col min="4" max="4" width="13.42578125" style="56" customWidth="1"/>
    <col min="5" max="6" width="8.7109375" style="56" customWidth="1"/>
    <col min="7" max="7" width="14.7109375" style="56" customWidth="1"/>
    <col min="8" max="8" width="11.7109375" style="56" customWidth="1"/>
    <col min="9" max="9" width="10.28515625" style="56" customWidth="1"/>
    <col min="10" max="10" width="5.7109375" style="56" customWidth="1"/>
    <col min="11" max="11" width="10.42578125" style="56" customWidth="1"/>
    <col min="12" max="17" width="8.7109375" style="56" customWidth="1"/>
    <col min="18" max="16384" width="8.7109375" style="56" hidden="1"/>
  </cols>
  <sheetData>
    <row r="1" spans="1:17" ht="15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5">
      <c r="A2" s="65" t="s">
        <v>127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2024-10-01T21:48:33Z</dcterms:modified>
</cp:coreProperties>
</file>