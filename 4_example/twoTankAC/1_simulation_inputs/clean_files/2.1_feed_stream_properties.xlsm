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vikto\Documents\MATLAB\toPSAil\4_example\dev\1_simulation_inputs\"/>
    </mc:Choice>
  </mc:AlternateContent>
  <xr:revisionPtr revIDLastSave="0" documentId="13_ncr:1_{549634CB-87F6-40E4-94C9-B045E1ABA4A1}" xr6:coauthVersionLast="47" xr6:coauthVersionMax="47" xr10:uidLastSave="{00000000-0000-0000-0000-000000000000}"/>
  <bookViews>
    <workbookView xWindow="-120" yWindow="-120" windowWidth="29040" windowHeight="15840" tabRatio="818" activeTab="2" xr2:uid="{CB583278-6AF7-49E7-A969-6064EAB4A9B4}"/>
  </bookViews>
  <sheets>
    <sheet name="Revision History" sheetId="4" r:id="rId1"/>
    <sheet name="Reference" sheetId="2" state="hidden" r:id="rId2"/>
    <sheet name="Stream Properties" sheetId="39" r:id="rId3"/>
    <sheet name="maintenance check list" sheetId="28" state="hidden" r:id="rId4"/>
    <sheet name="Data(Transposed)" sheetId="3" state="hidden" r:id="rId5"/>
    <sheet name="Data(Test)" sheetId="9" state="hidden" r:id="rId6"/>
  </sheets>
  <functionGroups builtInGroupCount="19"/>
  <externalReferences>
    <externalReference r:id="rId7"/>
  </externalReferences>
  <definedNames>
    <definedName name="_xlnm._FilterDatabase" localSheetId="2" hidden="1">'Stream Properties'!$A$9:$J$10</definedName>
    <definedName name="_xlnm.Print_Area" localSheetId="0">'Revision History'!$C$3:$K$51</definedName>
    <definedName name="_xlnm.Print_Area" localSheetId="2">'Stream Properties'!$A$2:$J$16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13" i="39" l="1"/>
  <c r="H12" i="39"/>
  <c r="H11" i="39"/>
  <c r="J4" i="39" l="1"/>
  <c r="J2" i="39"/>
  <c r="A2" i="39"/>
</calcChain>
</file>

<file path=xl/sharedStrings.xml><?xml version="1.0" encoding="utf-8"?>
<sst xmlns="http://schemas.openxmlformats.org/spreadsheetml/2006/main" count="166" uniqueCount="120">
  <si>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</si>
  <si>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</si>
  <si>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</si>
  <si>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</si>
  <si>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</si>
  <si>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</si>
  <si>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</si>
  <si>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</si>
  <si>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</si>
  <si>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</si>
  <si>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</si>
  <si>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</si>
  <si>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</si>
  <si>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</si>
  <si>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</si>
  <si>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</si>
  <si>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</si>
  <si>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</si>
  <si>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</si>
  <si>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</si>
  <si>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K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</si>
  <si>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</si>
  <si>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</si>
  <si>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</si>
  <si>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</si>
  <si>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</si>
  <si>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</si>
  <si>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</si>
  <si>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</si>
  <si>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</si>
  <si>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</si>
  <si>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</si>
  <si>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</si>
  <si>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</si>
  <si>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</si>
  <si>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</si>
  <si>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</si>
  <si>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</si>
  <si>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</si>
  <si>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</si>
  <si>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</si>
  <si>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</si>
  <si>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</si>
  <si>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</si>
  <si>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</si>
  <si>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</si>
  <si>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</si>
  <si>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</si>
  <si>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</si>
  <si>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</si>
  <si>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</si>
  <si>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</si>
  <si>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</si>
  <si>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</si>
  <si>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</si>
  <si>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</si>
  <si>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</si>
  <si>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</si>
  <si>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</si>
  <si>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</si>
  <si>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</si>
  <si>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</si>
  <si>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</si>
  <si>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</si>
  <si>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</si>
  <si>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</si>
  <si>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</si>
  <si>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yFeC1</t>
  </si>
  <si>
    <t>yFeC2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</si>
  <si>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</si>
  <si>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</si>
  <si>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</si>
  <si>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</si>
  <si>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</si>
  <si>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</si>
  <si>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</si>
  <si>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</si>
  <si>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</si>
  <si>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</si>
  <si>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</si>
  <si>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</si>
  <si>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</si>
  <si>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</si>
  <si>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</si>
  <si>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</si>
  <si>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</si>
  <si>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</si>
  <si>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</si>
  <si>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</si>
  <si>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</si>
  <si>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</si>
  <si>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</si>
  <si>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</si>
  <si>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</si>
  <si>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</si>
  <si>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initCondFeTa</t>
  </si>
  <si>
    <t>initCondRaTa</t>
  </si>
  <si>
    <t>tempFeed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</si>
  <si>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</si>
  <si>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</si>
  <si>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</si>
  <si>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</si>
  <si>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</si>
  <si>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</si>
  <si>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</si>
  <si>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</si>
  <si>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</si>
  <si>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densFeGas</t>
  </si>
  <si>
    <t>g/cm3</t>
  </si>
  <si>
    <t>Gas density of the feed gas mixture.</t>
  </si>
  <si>
    <t>viscFeGas</t>
  </si>
  <si>
    <t>Pa-sec</t>
  </si>
  <si>
    <t>Viscosity of the feed gas mixture.</t>
  </si>
  <si>
    <t>Purpose/Summary</t>
  </si>
  <si>
    <t>Finalized the spreadsheet for the v1.0 release</t>
  </si>
  <si>
    <t>The fixed feed mole fraction of ith component at a high pressure; the first component is the light key.</t>
  </si>
  <si>
    <t>The fixed temperature of the feed stream coming into the feed tank, after being compressed and passing through the heat exchanger.</t>
  </si>
  <si>
    <t>Initial development of the "2.1_feed_stream_properties.xlsm" sheet.</t>
  </si>
  <si>
    <t>REV. NO.2 (9/14/2022)</t>
  </si>
  <si>
    <t>yFeC3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</si>
</sst>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  <charset val="238"/>
    </font>
    <font>
      <b/>
      <i/>
      <sz val="14"/>
      <color rgb="FF339966"/>
      <name val="Calibri"/>
      <family val="2"/>
      <charset val="238"/>
    </font>
    <font>
      <b/>
      <i/>
      <sz val="14"/>
      <color rgb="FFFF9900"/>
      <name val="Calibri"/>
      <family val="2"/>
      <charset val="238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56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4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11" fillId="5" borderId="6" xfId="0" applyFont="1" applyFill="1" applyBorder="1" applyAlignment="1" applyProtection="1">
      <alignment horizontal="left" vertical="center"/>
      <protection locked="0"/>
    </xf>
    <xf numFmtId="0" fontId="9" fillId="5" borderId="7" xfId="0" applyFont="1" applyFill="1" applyBorder="1" applyAlignment="1" applyProtection="1">
      <alignment horizontal="center" vertical="center"/>
      <protection locked="0"/>
    </xf>
    <xf numFmtId="0" fontId="11" fillId="5" borderId="8" xfId="0" applyFont="1" applyFill="1" applyBorder="1" applyAlignment="1" applyProtection="1">
      <alignment horizontal="right" vertical="center"/>
      <protection locked="0"/>
    </xf>
    <xf numFmtId="0" fontId="6" fillId="3" borderId="1" xfId="1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/>
    </xf>
    <xf numFmtId="0" fontId="4" fillId="4" borderId="0" xfId="0" applyFont="1" applyFill="1" applyAlignment="1">
      <alignment horizontal="left" vertical="center"/>
    </xf>
    <xf numFmtId="0" fontId="12" fillId="5" borderId="0" xfId="1" applyFont="1" applyFill="1" applyAlignment="1">
      <alignment horizontal="left" vertical="center"/>
    </xf>
    <xf numFmtId="0" fontId="13" fillId="5" borderId="0" xfId="1" applyFont="1" applyFill="1" applyAlignment="1">
      <alignment vertical="center" wrapText="1"/>
    </xf>
    <xf numFmtId="0" fontId="13" fillId="5" borderId="0" xfId="1" applyFont="1" applyFill="1" applyAlignment="1">
      <alignment horizontal="center" vertical="center"/>
    </xf>
    <xf numFmtId="0" fontId="13" fillId="5" borderId="0" xfId="1" applyFont="1" applyFill="1">
      <alignment vertical="center"/>
    </xf>
    <xf numFmtId="0" fontId="4" fillId="6" borderId="1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20"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609600"/>
          <a:ext cx="5962787" cy="564261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3969" name="Button 1" hidden="1">
                <a:extLst>
                  <a:ext uri="{63B3BB69-23CF-44E3-9099-C40C66FF867C}">
                    <a14:compatExt spid="_x0000_s83969"/>
                  </a:ext>
                  <a:ext uri="{FF2B5EF4-FFF2-40B4-BE49-F238E27FC236}">
                    <a16:creationId xmlns:a16="http://schemas.microsoft.com/office/drawing/2014/main" id="{00000000-0008-0000-0200-0000014801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3970" name="Button 2" hidden="1">
                <a:extLst>
                  <a:ext uri="{63B3BB69-23CF-44E3-9099-C40C66FF867C}">
                    <a14:compatExt spid="_x0000_s83970"/>
                  </a:ext>
                  <a:ext uri="{FF2B5EF4-FFF2-40B4-BE49-F238E27FC236}">
                    <a16:creationId xmlns:a16="http://schemas.microsoft.com/office/drawing/2014/main" id="{00000000-0008-0000-0200-0000024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3971" name="Button 3" hidden="1">
                <a:extLst>
                  <a:ext uri="{63B3BB69-23CF-44E3-9099-C40C66FF867C}">
                    <a14:compatExt spid="_x0000_s83971"/>
                  </a:ext>
                  <a:ext uri="{FF2B5EF4-FFF2-40B4-BE49-F238E27FC236}">
                    <a16:creationId xmlns:a16="http://schemas.microsoft.com/office/drawing/2014/main" id="{00000000-0008-0000-0200-0000034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1.2_adsorbate_propertie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evision History"/>
      <sheetName val="Reference"/>
      <sheetName val="Initialization"/>
      <sheetName val="Physical Properties"/>
      <sheetName val="Thermodynamic Properties"/>
      <sheetName val="Help"/>
      <sheetName val="maintenance check list"/>
      <sheetName val="Data(Transposed)"/>
      <sheetName val="Data(Test)"/>
    </sheetNames>
    <sheetDataSet>
      <sheetData sheetId="0"/>
      <sheetData sheetId="1"/>
      <sheetData sheetId="2">
        <row r="10">
          <cell r="B10">
            <v>3</v>
          </cell>
        </row>
      </sheetData>
      <sheetData sheetId="3"/>
      <sheetData sheetId="4"/>
      <sheetData sheetId="5"/>
      <sheetData sheetId="6"/>
      <sheetData sheetId="7"/>
      <sheetData sheetId="8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9958D1E-D60C-4D61-BB3C-0C1DDFB07B7A}" name="Table11082" displayName="Table11082" ref="A9:J16" totalsRowShown="0" headerRowDxfId="19" dataDxfId="17" headerRowBorderDxfId="18" tableBorderDxfId="16" totalsRowBorderDxfId="15">
  <autoFilter ref="A9:J16" xr:uid="{B089C5C3-2CCE-4800-96CA-2131BB6E3E4F}"/>
  <tableColumns count="10">
    <tableColumn id="1" xr3:uid="{8CA72147-4D79-4652-A9E9-87D51653DA84}" name="Variable" dataDxfId="14"/>
    <tableColumn id="4" xr3:uid="{E819EB63-CB5D-404C-B2BA-29FF258DB4F8}" name="Value" dataDxfId="13"/>
    <tableColumn id="5" xr3:uid="{1794E572-D285-47C1-B741-27E454FDF4FD}" name="Unit" dataDxfId="12"/>
    <tableColumn id="6" xr3:uid="{7F8A147E-F024-4089-965F-D6A02CD18DC6}" name="Comparisons" dataDxfId="11"/>
    <tableColumn id="7" xr3:uid="{59037F64-D8B7-466E-B9B6-97F14C2CBDD9}" name="Variable Type" dataDxfId="10"/>
    <tableColumn id="8" xr3:uid="{B3A5DFE8-8D61-4FFC-837B-F606356A99BD}" name="Dependency" dataDxfId="9"/>
    <tableColumn id="12" xr3:uid="{6C20D82D-93BB-42A1-A91B-759FC99CBE8C}" name="Test 1" dataDxfId="8"/>
    <tableColumn id="10" xr3:uid="{87C7F8B7-5A99-489D-AB7E-B6E5697C481A}" name="Test 2" dataDxfId="7"/>
    <tableColumn id="2" xr3:uid="{55413903-6AA5-4148-81F3-1F6AD647C108}" name="Test 3" dataDxfId="6"/>
    <tableColumn id="9" xr3:uid="{48D67C6B-2FDE-4718-AF32-11DEAACCFD0C}" name="Description" dataDxfId="5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D5" sqref="D5:J5"/>
    </sheetView>
  </sheetViews>
  <sheetFormatPr defaultColWidth="0" defaultRowHeight="15" zeroHeight="1"/>
  <cols>
    <col min="1" max="2" width="3.28515625" style="32" hidden="1" customWidth="1"/>
    <col min="3" max="3" width="2.42578125" style="32" customWidth="1"/>
    <col min="4" max="4" width="13.7109375" style="32" customWidth="1"/>
    <col min="5" max="5" width="51.28515625" style="33" bestFit="1" customWidth="1"/>
    <col min="6" max="6" width="15.7109375" style="34" bestFit="1" customWidth="1"/>
    <col min="7" max="9" width="13.28515625" style="32" customWidth="1"/>
    <col min="10" max="10" width="48.7109375" style="32" customWidth="1"/>
    <col min="11" max="11" width="2.42578125" style="32" customWidth="1"/>
    <col min="12" max="12" width="0" style="32" hidden="1" customWidth="1"/>
    <col min="13" max="16384" width="9" style="32" hidden="1"/>
  </cols>
  <sheetData>
    <row r="3" spans="4:10"/>
    <row r="4" spans="4:10" ht="18.75">
      <c r="D4" s="46" t="s">
        <v>118</v>
      </c>
      <c r="E4" s="47"/>
      <c r="F4" s="48"/>
      <c r="G4" s="49"/>
      <c r="H4" s="49"/>
      <c r="I4" s="49"/>
      <c r="J4" s="35" t="s">
        <v>85</v>
      </c>
    </row>
    <row r="5" spans="4:10" ht="35.25">
      <c r="D5" s="51" t="s">
        <v>37</v>
      </c>
      <c r="E5" s="51"/>
      <c r="F5" s="51"/>
      <c r="G5" s="51"/>
      <c r="H5" s="51"/>
      <c r="I5" s="51"/>
      <c r="J5" s="51"/>
    </row>
    <row r="6" spans="4:10" ht="18.75">
      <c r="D6" s="43" t="s">
        <v>31</v>
      </c>
      <c r="E6" s="43" t="s">
        <v>113</v>
      </c>
      <c r="F6" s="43" t="s">
        <v>32</v>
      </c>
      <c r="G6" s="43" t="s">
        <v>33</v>
      </c>
      <c r="H6" s="43" t="s">
        <v>34</v>
      </c>
      <c r="I6" s="43" t="s">
        <v>35</v>
      </c>
      <c r="J6" s="43" t="s">
        <v>36</v>
      </c>
    </row>
    <row r="7" spans="4:10" ht="56.25">
      <c r="D7" s="36">
        <v>1</v>
      </c>
      <c r="E7" s="37" t="s">
        <v>117</v>
      </c>
      <c r="F7" s="38">
        <v>44720</v>
      </c>
      <c r="G7" s="36" t="s">
        <v>38</v>
      </c>
      <c r="H7" s="36"/>
      <c r="I7" s="36"/>
      <c r="J7" s="37"/>
    </row>
    <row r="8" spans="4:10" ht="37.5">
      <c r="D8" s="36">
        <v>2</v>
      </c>
      <c r="E8" s="37" t="s">
        <v>114</v>
      </c>
      <c r="F8" s="38">
        <v>44818</v>
      </c>
      <c r="G8" s="36" t="s">
        <v>38</v>
      </c>
      <c r="H8" s="36"/>
      <c r="I8" s="36"/>
      <c r="J8" s="37"/>
    </row>
    <row r="9" spans="4:10" ht="18.75">
      <c r="D9" s="36">
        <v>3</v>
      </c>
      <c r="E9" s="37"/>
      <c r="F9" s="38"/>
      <c r="G9" s="36"/>
      <c r="H9" s="36"/>
      <c r="I9" s="36"/>
      <c r="J9" s="37"/>
    </row>
    <row r="10" spans="4:10" ht="18.75">
      <c r="D10" s="36">
        <v>4</v>
      </c>
      <c r="E10" s="37"/>
      <c r="F10" s="38"/>
      <c r="G10" s="36"/>
      <c r="H10" s="36"/>
      <c r="I10" s="36"/>
      <c r="J10" s="37"/>
    </row>
    <row r="11" spans="4:10" ht="18.75">
      <c r="D11" s="36">
        <v>5</v>
      </c>
      <c r="E11" s="37"/>
      <c r="F11" s="38"/>
      <c r="G11" s="36"/>
      <c r="H11" s="36"/>
      <c r="I11" s="36"/>
      <c r="J11" s="37"/>
    </row>
    <row r="12" spans="4:10" ht="18.75">
      <c r="D12" s="36">
        <v>6</v>
      </c>
      <c r="E12" s="37"/>
      <c r="F12" s="38"/>
      <c r="G12" s="36"/>
      <c r="H12" s="36"/>
      <c r="I12" s="36"/>
      <c r="J12" s="37"/>
    </row>
    <row r="13" spans="4:10" ht="18.75">
      <c r="D13" s="36">
        <v>7</v>
      </c>
      <c r="E13" s="37"/>
      <c r="F13" s="38"/>
      <c r="G13" s="36"/>
      <c r="H13" s="36"/>
      <c r="I13" s="36"/>
      <c r="J13" s="37"/>
    </row>
    <row r="14" spans="4:10" ht="18.75">
      <c r="D14" s="36">
        <v>8</v>
      </c>
      <c r="E14" s="37"/>
      <c r="F14" s="38"/>
      <c r="G14" s="36"/>
      <c r="H14" s="36"/>
      <c r="I14" s="36"/>
      <c r="J14" s="37"/>
    </row>
    <row r="15" spans="4:10" ht="18.75">
      <c r="D15" s="36">
        <v>9</v>
      </c>
      <c r="E15" s="37"/>
      <c r="F15" s="38"/>
      <c r="G15" s="36"/>
      <c r="H15" s="36"/>
      <c r="I15" s="36"/>
      <c r="J15" s="37"/>
    </row>
    <row r="16" spans="4:10" ht="18.75">
      <c r="D16" s="36">
        <v>10</v>
      </c>
      <c r="E16" s="37"/>
      <c r="F16" s="38"/>
      <c r="G16" s="36"/>
      <c r="H16" s="36"/>
      <c r="I16" s="36"/>
      <c r="J16" s="39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721D8652-1704-4B6C-943A-FBCC4E95C13C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109375" defaultRowHeight="15"/>
  <cols>
    <col min="1" max="1" width="12.7109375" customWidth="1"/>
    <col min="2" max="2" width="20.7109375" customWidth="1"/>
    <col min="3" max="3" width="17.28515625" customWidth="1"/>
    <col min="5" max="5" width="12" bestFit="1" customWidth="1"/>
    <col min="10" max="10" width="12.28515625" customWidth="1"/>
    <col min="15" max="15" width="12.7109375" bestFit="1" customWidth="1"/>
    <col min="17" max="17" width="20.7109375" bestFit="1" customWidth="1"/>
    <col min="21" max="21" width="10.42578125" customWidth="1"/>
  </cols>
  <sheetData>
    <row r="1" spans="1:21">
      <c r="A1" t="s">
        <v>13</v>
      </c>
      <c r="B1" t="s">
        <v>14</v>
      </c>
      <c r="C1" t="s">
        <v>39</v>
      </c>
      <c r="D1" t="s">
        <v>66</v>
      </c>
      <c r="E1" t="s">
        <v>69</v>
      </c>
      <c r="F1" t="s">
        <v>70</v>
      </c>
      <c r="G1" s="1" t="s">
        <v>71</v>
      </c>
      <c r="H1" s="1" t="s">
        <v>72</v>
      </c>
      <c r="I1" s="1" t="s">
        <v>73</v>
      </c>
      <c r="J1" s="7" t="s">
        <v>75</v>
      </c>
      <c r="K1" s="7" t="s">
        <v>6</v>
      </c>
      <c r="L1" t="s">
        <v>83</v>
      </c>
      <c r="M1" t="s">
        <v>80</v>
      </c>
      <c r="N1" t="s">
        <v>81</v>
      </c>
      <c r="O1" t="s">
        <v>84</v>
      </c>
      <c r="P1" t="s">
        <v>89</v>
      </c>
      <c r="Q1" t="s">
        <v>92</v>
      </c>
      <c r="R1" t="s">
        <v>93</v>
      </c>
      <c r="S1" t="s">
        <v>94</v>
      </c>
      <c r="T1" t="s">
        <v>98</v>
      </c>
      <c r="U1" t="s">
        <v>99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25</v>
      </c>
      <c r="C3" t="s">
        <v>40</v>
      </c>
      <c r="D3" t="s">
        <v>76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100</v>
      </c>
    </row>
    <row r="4" spans="1:21">
      <c r="A4" t="s">
        <v>82</v>
      </c>
      <c r="B4" t="s">
        <v>22</v>
      </c>
      <c r="C4" t="s">
        <v>44</v>
      </c>
      <c r="D4" t="s">
        <v>77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101</v>
      </c>
    </row>
    <row r="5" spans="1:21">
      <c r="A5" t="s">
        <v>10</v>
      </c>
      <c r="B5" t="s">
        <v>23</v>
      </c>
      <c r="C5" t="s">
        <v>43</v>
      </c>
      <c r="D5" t="s">
        <v>62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102</v>
      </c>
    </row>
    <row r="6" spans="1:21">
      <c r="A6" t="s">
        <v>6</v>
      </c>
      <c r="B6" t="s">
        <v>24</v>
      </c>
      <c r="C6" t="s">
        <v>45</v>
      </c>
      <c r="D6" t="s">
        <v>59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103</v>
      </c>
    </row>
    <row r="7" spans="1:21">
      <c r="A7" t="s">
        <v>9</v>
      </c>
      <c r="B7" t="s">
        <v>26</v>
      </c>
      <c r="C7" t="s">
        <v>46</v>
      </c>
      <c r="D7" t="s">
        <v>60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104</v>
      </c>
    </row>
    <row r="8" spans="1:21">
      <c r="A8" t="s">
        <v>11</v>
      </c>
      <c r="B8" t="s">
        <v>27</v>
      </c>
      <c r="C8" t="s">
        <v>47</v>
      </c>
      <c r="D8" t="s">
        <v>61</v>
      </c>
      <c r="E8">
        <v>6</v>
      </c>
      <c r="F8">
        <v>6</v>
      </c>
      <c r="G8">
        <v>5</v>
      </c>
      <c r="H8">
        <v>5</v>
      </c>
      <c r="I8">
        <v>5</v>
      </c>
      <c r="U8" t="s">
        <v>105</v>
      </c>
    </row>
    <row r="9" spans="1:21">
      <c r="B9" t="s">
        <v>90</v>
      </c>
      <c r="C9" t="s">
        <v>48</v>
      </c>
      <c r="E9">
        <v>7</v>
      </c>
      <c r="F9">
        <v>7</v>
      </c>
      <c r="G9">
        <v>6</v>
      </c>
      <c r="H9">
        <v>6</v>
      </c>
      <c r="I9">
        <v>6</v>
      </c>
      <c r="U9" t="s">
        <v>106</v>
      </c>
    </row>
    <row r="10" spans="1:21">
      <c r="B10" t="s">
        <v>28</v>
      </c>
      <c r="C10" t="s">
        <v>49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50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95</v>
      </c>
    </row>
    <row r="12" spans="1:21">
      <c r="B12" t="s">
        <v>91</v>
      </c>
      <c r="C12" t="s">
        <v>51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52</v>
      </c>
      <c r="J13">
        <v>1</v>
      </c>
    </row>
    <row r="14" spans="1:21">
      <c r="B14" t="s">
        <v>21</v>
      </c>
      <c r="C14" t="s">
        <v>53</v>
      </c>
      <c r="J14">
        <v>2</v>
      </c>
    </row>
    <row r="15" spans="1:21">
      <c r="B15" t="s">
        <v>15</v>
      </c>
      <c r="C15" t="s">
        <v>54</v>
      </c>
    </row>
    <row r="16" spans="1:21">
      <c r="B16" t="s">
        <v>58</v>
      </c>
      <c r="C16" t="s">
        <v>55</v>
      </c>
      <c r="J16" t="s">
        <v>96</v>
      </c>
    </row>
    <row r="17" spans="2:10">
      <c r="B17" t="s">
        <v>18</v>
      </c>
      <c r="C17" t="s">
        <v>56</v>
      </c>
      <c r="J17" t="s">
        <v>8</v>
      </c>
    </row>
    <row r="18" spans="2:10">
      <c r="B18" t="s">
        <v>19</v>
      </c>
      <c r="C18" t="s">
        <v>57</v>
      </c>
      <c r="J18">
        <v>1</v>
      </c>
    </row>
    <row r="19" spans="2:10">
      <c r="C19" t="s">
        <v>29</v>
      </c>
      <c r="J19">
        <v>2</v>
      </c>
    </row>
    <row r="20" spans="2:10">
      <c r="C20" t="s">
        <v>4</v>
      </c>
      <c r="J20">
        <v>3</v>
      </c>
    </row>
    <row r="21" spans="2:10">
      <c r="C21" t="s">
        <v>42</v>
      </c>
      <c r="J21">
        <v>4</v>
      </c>
    </row>
    <row r="22" spans="2:10">
      <c r="C22" t="s">
        <v>41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4C85F6-CEEB-479F-B238-F0DAD74FBBC6}">
  <sheetPr codeName="Sheet22">
    <tabColor rgb="FFFFFF00"/>
  </sheetPr>
  <dimension ref="A1:K16"/>
  <sheetViews>
    <sheetView showGridLines="0" tabSelected="1" topLeftCell="A2" zoomScaleNormal="100" zoomScaleSheetLayoutView="85" workbookViewId="0">
      <pane ySplit="8" topLeftCell="A10" activePane="bottomLeft" state="frozen"/>
      <selection activeCell="B2" sqref="B2"/>
      <selection pane="bottomLeft" activeCell="G12" sqref="G12"/>
    </sheetView>
  </sheetViews>
  <sheetFormatPr defaultColWidth="0" defaultRowHeight="14.65" customHeight="1" zeroHeight="1"/>
  <cols>
    <col min="1" max="1" width="17" style="3" bestFit="1" customWidth="1"/>
    <col min="2" max="2" width="22.140625" style="3" customWidth="1"/>
    <col min="3" max="3" width="20" style="3" customWidth="1"/>
    <col min="4" max="4" width="24.140625" style="3" customWidth="1"/>
    <col min="5" max="5" width="17.28515625" style="3" customWidth="1"/>
    <col min="6" max="6" width="13.140625" style="3" customWidth="1"/>
    <col min="7" max="9" width="15" style="3" customWidth="1"/>
    <col min="10" max="10" width="57.42578125" style="3" customWidth="1"/>
    <col min="11" max="11" width="0" style="3" hidden="1" customWidth="1"/>
    <col min="12" max="16384" width="8.7109375" style="3" hidden="1"/>
  </cols>
  <sheetData>
    <row r="1" spans="1:10" ht="15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5">
      <c r="A2" s="40" t="str">
        <f>'Revision History'!$D$4</f>
        <v>REV. NO.2 (9/14/2022)</v>
      </c>
      <c r="B2" s="41"/>
      <c r="C2" s="41"/>
      <c r="D2" s="41"/>
      <c r="E2" s="41"/>
      <c r="F2" s="41"/>
      <c r="G2" s="41"/>
      <c r="H2" s="41"/>
      <c r="I2" s="41"/>
      <c r="J2" s="42" t="str">
        <f>'Revision History'!$J$4</f>
        <v>Scott Research Group (jkscottresearchgroup.com)</v>
      </c>
    </row>
    <row r="3" spans="1:10" ht="18.75">
      <c r="A3" s="52" t="s">
        <v>30</v>
      </c>
      <c r="B3" s="52"/>
      <c r="C3" s="52"/>
      <c r="D3" s="52"/>
      <c r="E3" s="52"/>
      <c r="F3" s="52"/>
      <c r="G3" s="52"/>
      <c r="H3" s="52"/>
      <c r="I3" s="52"/>
      <c r="J3" s="52"/>
    </row>
    <row r="4" spans="1:10" ht="14.65" customHeight="1">
      <c r="A4" s="13"/>
      <c r="B4" s="14"/>
      <c r="C4" s="15"/>
      <c r="D4" s="16"/>
      <c r="E4" s="16"/>
      <c r="F4" s="16"/>
      <c r="G4" s="16"/>
      <c r="H4" s="16"/>
      <c r="I4" s="16"/>
      <c r="J4" s="53" t="str">
        <f>IF(COUNTIF(Table11082[Test 3],1)=COUNTA(Table11082[Value]),"Ready","Not Ready")</f>
        <v>Not Ready</v>
      </c>
    </row>
    <row r="5" spans="1:10" ht="14.65" customHeight="1">
      <c r="A5" s="17"/>
      <c r="B5" s="18"/>
      <c r="C5" s="45"/>
      <c r="D5" s="45"/>
      <c r="E5" s="45"/>
      <c r="F5" s="45"/>
      <c r="G5" s="19"/>
      <c r="H5" s="45"/>
      <c r="I5" s="45"/>
      <c r="J5" s="54"/>
    </row>
    <row r="6" spans="1:10" ht="14.65" customHeight="1">
      <c r="A6" s="17"/>
      <c r="B6" s="18"/>
      <c r="C6" s="45"/>
      <c r="D6" s="45"/>
      <c r="E6" s="45"/>
      <c r="F6" s="45"/>
      <c r="G6" s="19"/>
      <c r="H6" s="45"/>
      <c r="I6" s="45"/>
      <c r="J6" s="54"/>
    </row>
    <row r="7" spans="1:10" ht="14.65" customHeight="1">
      <c r="A7" s="17"/>
      <c r="B7" s="18"/>
      <c r="C7" s="45"/>
      <c r="D7" s="45"/>
      <c r="E7" s="45"/>
      <c r="F7" s="45"/>
      <c r="G7" s="19"/>
      <c r="H7" s="45"/>
      <c r="I7" s="45"/>
      <c r="J7" s="54"/>
    </row>
    <row r="8" spans="1:10" ht="14.65" customHeight="1">
      <c r="A8" s="20"/>
      <c r="B8" s="21"/>
      <c r="C8" s="22"/>
      <c r="D8" s="22"/>
      <c r="E8" s="22"/>
      <c r="F8" s="22"/>
      <c r="G8" s="23"/>
      <c r="H8" s="22"/>
      <c r="I8" s="22"/>
      <c r="J8" s="55"/>
    </row>
    <row r="9" spans="1:10" ht="15">
      <c r="A9" s="25" t="s">
        <v>0</v>
      </c>
      <c r="B9" s="26" t="s">
        <v>1</v>
      </c>
      <c r="C9" s="26" t="s">
        <v>2</v>
      </c>
      <c r="D9" s="26" t="s">
        <v>14</v>
      </c>
      <c r="E9" s="26" t="s">
        <v>63</v>
      </c>
      <c r="F9" s="27" t="s">
        <v>39</v>
      </c>
      <c r="G9" s="27" t="s">
        <v>64</v>
      </c>
      <c r="H9" s="26" t="s">
        <v>65</v>
      </c>
      <c r="I9" s="28" t="s">
        <v>74</v>
      </c>
      <c r="J9" s="28" t="s">
        <v>12</v>
      </c>
    </row>
    <row r="10" spans="1:10" ht="60">
      <c r="A10" s="44" t="s">
        <v>97</v>
      </c>
      <c r="B10" s="29"/>
      <c r="C10" s="31" t="s">
        <v>20</v>
      </c>
      <c r="D10" s="1" t="s">
        <v>17</v>
      </c>
      <c r="E10" s="1" t="s">
        <v>7</v>
      </c>
      <c r="F10" s="2" t="s">
        <v>47</v>
      </c>
      <c r="G10" s="1">
        <v>1</v>
      </c>
      <c r="H10" s="1">
        <v>1</v>
      </c>
      <c r="I10" s="6">
        <v>1</v>
      </c>
      <c r="J10" s="5" t="s">
        <v>116</v>
      </c>
    </row>
    <row r="11" spans="1:10" ht="45">
      <c r="A11" s="4" t="s">
        <v>67</v>
      </c>
      <c r="B11" s="29"/>
      <c r="C11" s="2" t="s">
        <v>3</v>
      </c>
      <c r="D11" s="1" t="s">
        <v>23</v>
      </c>
      <c r="E11" s="1" t="s">
        <v>7</v>
      </c>
      <c r="F11" s="2" t="s">
        <v>40</v>
      </c>
      <c r="G11" s="1">
        <v>1</v>
      </c>
      <c r="H11" s="50">
        <f>[1]Initialization!$B$10</f>
        <v>3</v>
      </c>
      <c r="I11" s="6">
        <v>1</v>
      </c>
      <c r="J11" s="5" t="s">
        <v>115</v>
      </c>
    </row>
    <row r="12" spans="1:10" ht="45">
      <c r="A12" s="4" t="s">
        <v>68</v>
      </c>
      <c r="B12" s="29"/>
      <c r="C12" s="2" t="s">
        <v>3</v>
      </c>
      <c r="D12" s="1" t="s">
        <v>23</v>
      </c>
      <c r="E12" s="1" t="s">
        <v>7</v>
      </c>
      <c r="F12" s="2" t="s">
        <v>40</v>
      </c>
      <c r="G12" s="1"/>
      <c r="H12" s="50">
        <f>[1]Initialization!$B$10</f>
        <v>3</v>
      </c>
      <c r="I12" s="6">
        <v>1</v>
      </c>
      <c r="J12" s="5" t="s">
        <v>115</v>
      </c>
    </row>
    <row r="13" spans="1:10" ht="45">
      <c r="A13" s="4" t="s">
        <v>119</v>
      </c>
      <c r="B13" s="29"/>
      <c r="C13" s="2" t="s">
        <v>3</v>
      </c>
      <c r="D13" s="1" t="s">
        <v>23</v>
      </c>
      <c r="E13" s="1" t="s">
        <v>7</v>
      </c>
      <c r="F13" s="2" t="s">
        <v>40</v>
      </c>
      <c r="G13" s="1"/>
      <c r="H13" s="50">
        <f>[1]Initialization!$B$10</f>
        <v>3</v>
      </c>
      <c r="I13" s="6">
        <v>1</v>
      </c>
      <c r="J13" s="5" t="s">
        <v>115</v>
      </c>
    </row>
    <row r="14" spans="1:10" ht="15">
      <c r="A14" s="44" t="s">
        <v>107</v>
      </c>
      <c r="B14" s="29"/>
      <c r="C14" s="31" t="s">
        <v>108</v>
      </c>
      <c r="D14" s="1" t="s">
        <v>27</v>
      </c>
      <c r="E14" s="1" t="s">
        <v>7</v>
      </c>
      <c r="F14" s="2" t="s">
        <v>48</v>
      </c>
      <c r="G14" s="1">
        <v>1</v>
      </c>
      <c r="H14" s="1">
        <v>1</v>
      </c>
      <c r="I14" s="6">
        <v>1</v>
      </c>
      <c r="J14" s="5" t="s">
        <v>109</v>
      </c>
    </row>
    <row r="15" spans="1:10" ht="15">
      <c r="A15" s="44" t="s">
        <v>110</v>
      </c>
      <c r="B15" s="29"/>
      <c r="C15" s="31" t="s">
        <v>111</v>
      </c>
      <c r="D15" s="1" t="s">
        <v>27</v>
      </c>
      <c r="E15" s="1" t="s">
        <v>7</v>
      </c>
      <c r="F15" s="2" t="s">
        <v>48</v>
      </c>
      <c r="G15" s="1">
        <v>1</v>
      </c>
      <c r="H15" s="1">
        <v>1</v>
      </c>
      <c r="I15" s="6">
        <v>1</v>
      </c>
      <c r="J15" s="5" t="s">
        <v>112</v>
      </c>
    </row>
    <row r="16" spans="1:10" ht="15">
      <c r="A16" s="8" t="s">
        <v>78</v>
      </c>
      <c r="B16" s="30"/>
      <c r="C16" s="9"/>
      <c r="D16" s="10"/>
      <c r="E16" s="10"/>
      <c r="F16" s="9"/>
      <c r="G16" s="10">
        <v>1</v>
      </c>
      <c r="H16" s="10">
        <v>1</v>
      </c>
      <c r="I16" s="11">
        <v>0</v>
      </c>
      <c r="J16" s="12" t="s">
        <v>79</v>
      </c>
    </row>
  </sheetData>
  <sheetProtection selectLockedCells="1"/>
  <mergeCells count="2">
    <mergeCell ref="A3:J3"/>
    <mergeCell ref="J4:J8"/>
  </mergeCells>
  <conditionalFormatting sqref="B10:B16">
    <cfRule type="expression" dxfId="4" priority="10">
      <formula>IF(AND($B10&lt;&gt;"",$I10=0),1,0)</formula>
    </cfRule>
    <cfRule type="expression" dxfId="3" priority="11">
      <formula>IF($B10&lt;&gt;"",1,0)</formula>
    </cfRule>
    <cfRule type="expression" dxfId="2" priority="12">
      <formula>$I10=0</formula>
    </cfRule>
  </conditionalFormatting>
  <conditionalFormatting sqref="J4">
    <cfRule type="expression" dxfId="1" priority="130">
      <formula>IF(COUNTA($B$10:$B$16)&lt;&gt;COUNTIF($I$10:$I$16,1),1,0)</formula>
    </cfRule>
    <cfRule type="expression" dxfId="0" priority="131">
      <formula>IF(COUNTA($B$10:$B$16)=COUNTIF($I$10:$I$16,1),1,0)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396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171450</xdr:colOff>
                    <xdr:row>4</xdr:row>
                    <xdr:rowOff>76200</xdr:rowOff>
                  </from>
                  <to>
                    <xdr:col>1</xdr:col>
                    <xdr:colOff>904875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7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1000125</xdr:colOff>
                    <xdr:row>4</xdr:row>
                    <xdr:rowOff>76200</xdr:rowOff>
                  </from>
                  <to>
                    <xdr:col>3</xdr:col>
                    <xdr:colOff>47625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7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142875</xdr:colOff>
                    <xdr:row>4</xdr:row>
                    <xdr:rowOff>76200</xdr:rowOff>
                  </from>
                  <to>
                    <xdr:col>4</xdr:col>
                    <xdr:colOff>400050</xdr:colOff>
                    <xdr:row>6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C75D849-865F-4CED-A496-CABE2C4A3593}">
          <x14:formula1>
            <xm:f>Reference!$A$2:$A$8</xm:f>
          </x14:formula1>
          <xm:sqref>E10:E16</xm:sqref>
        </x14:dataValidation>
        <x14:dataValidation type="list" allowBlank="1" showInputMessage="1" showErrorMessage="1" xr:uid="{D8A9307D-61EF-4B3A-AB70-C2EB75FB5AE2}">
          <x14:formula1>
            <xm:f>Reference!$B$2:$B$18</xm:f>
          </x14:formula1>
          <xm:sqref>D10:D16</xm:sqref>
        </x14:dataValidation>
        <x14:dataValidation type="list" allowBlank="1" showInputMessage="1" showErrorMessage="1" xr:uid="{4EB9C528-12B0-429F-B5BB-702FB68141D6}">
          <x14:formula1>
            <xm:f>Reference!$C$2:$C$23</xm:f>
          </x14:formula1>
          <xm:sqref>F10:F16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109375" defaultRowHeight="15"/>
  <sheetData>
    <row r="1" spans="1:1">
      <c r="A1" t="s">
        <v>88</v>
      </c>
    </row>
    <row r="2" spans="1:1">
      <c r="A2" t="s">
        <v>86</v>
      </c>
    </row>
    <row r="3" spans="1:1">
      <c r="A3" t="s">
        <v>87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"/>
  <sheetViews>
    <sheetView topLeftCell="CF1" workbookViewId="0">
      <selection activeCell="CM2" sqref="CM2"/>
    </sheetView>
  </sheetViews>
  <sheetFormatPr defaultColWidth="8.7109375" defaultRowHeight="1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"/>
  <sheetViews>
    <sheetView topLeftCell="CC1" workbookViewId="0">
      <selection activeCell="CR2" sqref="CR2"/>
    </sheetView>
  </sheetViews>
  <sheetFormatPr defaultColWidth="8.7109375"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Revision History</vt:lpstr>
      <vt:lpstr>Reference</vt:lpstr>
      <vt:lpstr>Stream Properties</vt:lpstr>
      <vt:lpstr>maintenance check list</vt:lpstr>
      <vt:lpstr>Data(Transposed)</vt:lpstr>
      <vt:lpstr>Data(Test)</vt:lpstr>
      <vt:lpstr>'Revision History'!Print_Area</vt:lpstr>
      <vt:lpstr>'Stream Properties'!Print_Area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Viktor Kalman</cp:lastModifiedBy>
  <cp:lastPrinted>2020-11-27T00:08:43Z</cp:lastPrinted>
  <dcterms:created xsi:type="dcterms:W3CDTF">2020-11-24T18:36:54Z</dcterms:created>
  <dcterms:modified xsi:type="dcterms:W3CDTF">2024-10-01T22:04:19Z</dcterms:modified>
</cp:coreProperties>
</file>