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1_kayser/1_time_driven/2-col_non-isothermal_no_axial_pressure_drop/1_simulation_inputs/"/>
    </mc:Choice>
  </mc:AlternateContent>
  <xr:revisionPtr revIDLastSave="0" documentId="13_ncr:1_{4D033BBB-E3FB-D74C-9EA6-1A90C4ECE108}" xr6:coauthVersionLast="47" xr6:coauthVersionMax="47" xr10:uidLastSave="{00000000-0000-0000-0000-000000000000}"/>
  <bookViews>
    <workbookView xWindow="-20" yWindow="0" windowWidth="28800" windowHeight="18000" tabRatio="818" activeTab="2" xr2:uid="{CB583278-6AF7-49E7-A969-6064EAB4A9B4}"/>
  </bookViews>
  <sheets>
    <sheet name="Revision History" sheetId="4" r:id="rId1"/>
    <sheet name="Reference" sheetId="2" state="hidden" r:id="rId2"/>
    <sheet name="Pellet Geometry" sheetId="42" r:id="rId3"/>
    <sheet name="Void Fractions" sheetId="51" r:id="rId4"/>
    <sheet name="Densities" sheetId="52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  <externalReference r:id="rId14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Isotherm'!$A$2:$J$15</definedName>
    <definedName name="_xlnm.Print_Area" localSheetId="6">'Adsorption Kinetics'!$A$2:$J$12</definedName>
    <definedName name="_xlnm.Print_Area" localSheetId="4">Densities!$A$2:$J$13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3" i="53" l="1"/>
  <c r="H12" i="53"/>
  <c r="H11" i="53"/>
  <c r="H10" i="53"/>
  <c r="H10" i="54"/>
  <c r="H11" i="54"/>
  <c r="J4" i="55" l="1"/>
  <c r="J2" i="55"/>
  <c r="A2" i="55"/>
  <c r="J4" i="54"/>
  <c r="J2" i="54"/>
  <c r="A2" i="54"/>
  <c r="J4" i="53"/>
  <c r="J2" i="53"/>
  <c r="A2" i="53"/>
  <c r="J4" i="52"/>
  <c r="J2" i="52"/>
  <c r="A2" i="52"/>
  <c r="I12" i="51"/>
  <c r="I11" i="51"/>
  <c r="J4" i="51"/>
  <c r="J2" i="51"/>
  <c r="A2" i="51"/>
  <c r="J4" i="42" l="1"/>
  <c r="J2" i="42"/>
  <c r="A2" i="4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tc={3A3B7318-ABF5-4964-8585-DC1B4485FC8D}</author>
    <author>tc={1F766DF8-4F4C-4CAC-A34A-0EE77796A689}</author>
    <author>tc={68B40326-A7EC-49C3-B1AC-5659608B8029}</author>
  </authors>
  <commentList>
    <comment ref="G9" authorId="0" shapeId="0" xr:uid="{3A3B7318-ABF5-4964-8585-DC1B4485FC8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F766DF8-4F4C-4CAC-A34A-0EE77796A68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8B40326-A7EC-49C3-B1AC-5659608B802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tc={895B3EC1-A5D3-4C2B-B926-25E745C35296}</author>
    <author>tc={AE93204B-2197-4D7A-AA49-C466674EC8B1}</author>
    <author>tc={01885A0D-450B-4CFB-88F0-DA6EE067C610}</author>
  </authors>
  <commentList>
    <comment ref="G9" authorId="0" shapeId="0" xr:uid="{895B3EC1-A5D3-4C2B-B926-25E745C35296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AE93204B-2197-4D7A-AA49-C466674EC8B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1885A0D-450B-4CFB-88F0-DA6EE067C6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tc={0D7ACC8B-E136-46C9-A208-4FFB47F07F13}</author>
    <author>tc={524D07B7-3BCD-416A-945D-F50C138F908B}</author>
    <author>tc={4281EA63-03E4-4B12-A73F-12D7F0AB1692}</author>
  </authors>
  <commentList>
    <comment ref="G9" authorId="0" shapeId="0" xr:uid="{0D7ACC8B-E136-46C9-A208-4FFB47F07F1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24D07B7-3BCD-416A-945D-F50C138F908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4281EA63-03E4-4B12-A73F-12D7F0AB169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tc={4679A202-C379-4D4A-8302-C6FC8DA92DAA}</author>
    <author>tc={B18702AE-04BD-4837-92FE-1853D01A6067}</author>
    <author>tc={B37B49A5-2669-4E53-8AEC-AF01590ED202}</author>
  </authors>
  <commentList>
    <comment ref="G9" authorId="0" shapeId="0" xr:uid="{4679A202-C379-4D4A-8302-C6FC8DA92DA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B18702AE-04BD-4837-92FE-1853D01A606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37B49A5-2669-4E53-8AEC-AF01590ED20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tc={53F2771C-7CC0-44FC-9260-3189065E2D5A}</author>
    <author>tc={1CDAD62E-ED78-41AC-B275-04BA7975D617}</author>
    <author>tc={3A579B2F-9BC0-42C8-AF11-58091C0748DD}</author>
  </authors>
  <commentList>
    <comment ref="G9" authorId="0" shapeId="0" xr:uid="{53F2771C-7CC0-44FC-9260-3189065E2D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CDAD62E-ED78-41AC-B275-04BA7975D61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A579B2F-9BC0-42C8-AF11-58091C0748D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<sst xmlns="http://schemas.openxmlformats.org/spreadsheetml/2006/main" count="309" uniqueCount="164">
  <si>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</si>
  <si>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</si>
  <si>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</si>
  <si>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</si>
  <si>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</si>
  <si>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</si>
  <si>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</si>
  <si>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</si>
  <si>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</si>
  <si>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</si>
  <si>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</si>
  <si>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</si>
  <si>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</si>
  <si>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</si>
  <si>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</si>
  <si>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</si>
  <si>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</si>
  <si>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</si>
  <si>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</si>
  <si>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</si>
  <si>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</si>
  <si>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</si>
  <si>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mol-gas/kg-solid</t>
  </si>
  <si>
    <t>cc-gas/mol-gas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</si>
  <si>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</si>
  <si>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</si>
  <si>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</si>
  <si>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</si>
  <si>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</si>
  <si>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</si>
  <si>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</si>
  <si>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</si>
  <si>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</si>
  <si>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</si>
  <si>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</si>
  <si>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</si>
  <si>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</si>
  <si>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</si>
  <si>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</si>
  <si>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</si>
  <si>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</si>
  <si>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</si>
  <si>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</si>
  <si>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</si>
  <si>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</si>
  <si>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</si>
  <si>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</si>
  <si>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</si>
  <si>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</si>
  <si>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</si>
  <si>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</si>
  <si>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</si>
  <si>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</si>
  <si>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</si>
  <si>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</si>
  <si>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</si>
  <si>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</si>
  <si>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</si>
  <si>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</si>
  <si>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</si>
  <si>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</si>
  <si>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</si>
  <si>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</si>
  <si>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</si>
  <si>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</si>
  <si>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</si>
  <si>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</si>
  <si>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</si>
  <si>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skelDens</t>
  </si>
  <si>
    <t>pellDens</t>
  </si>
  <si>
    <t>bulkDens</t>
  </si>
  <si>
    <t>Test 1</t>
  </si>
  <si>
    <t>Test 2</t>
  </si>
  <si>
    <t>Step</t>
  </si>
  <si>
    <t>qSatC1</t>
  </si>
  <si>
    <t>bC1</t>
  </si>
  <si>
    <t>bC2</t>
  </si>
  <si>
    <t>qSatC2</t>
  </si>
  <si>
    <t>cm</t>
  </si>
  <si>
    <t>Saturation constant for component I; the first component is light key</t>
  </si>
  <si>
    <t>Henry's coefficient for component I; the first component is light key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</si>
  <si>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</si>
  <si>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</si>
  <si>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</si>
  <si>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</si>
  <si>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</si>
  <si>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</si>
  <si>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</si>
  <si>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</si>
  <si>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</si>
  <si>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</si>
  <si>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</si>
  <si>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</si>
  <si>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</si>
  <si>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</si>
  <si>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</si>
  <si>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</si>
  <si>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</si>
  <si>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Skeletal (solid) density: mass of adsorbent divided by volume of adsorbent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</si>
  <si>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</si>
  <si>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</si>
  <si>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</si>
  <si>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</si>
  <si>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</si>
  <si>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</si>
  <si>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</si>
  <si>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</si>
  <si>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</si>
  <si>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</si>
  <si>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</si>
  <si>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</si>
  <si>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</si>
  <si>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</si>
  <si>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</si>
  <si>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</si>
  <si>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</si>
  <si>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</si>
  <si>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</si>
  <si>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</si>
  <si>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</si>
  <si>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</si>
  <si>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</si>
  <si>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</si>
  <si>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</si>
  <si>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</si>
  <si>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</si>
  <si>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</si>
  <si>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</si>
  <si>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</si>
  <si>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</si>
  <si>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</si>
  <si>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</si>
  <si>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</si>
  <si>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</si>
  <si>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</si>
  <si>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</si>
  <si>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</si>
  <si>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</si>
  <si>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</si>
  <si>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Please provide a reference temperature for adsorption isotherm measurement.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</si>
  <si>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</si>
  <si>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</si>
  <si>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</si>
  <si>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</si>
  <si>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</si>
  <si>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</si>
  <si>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</si>
  <si>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</si>
  <si>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</si>
  <si>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</si>
  <si>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</si>
  <si>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</si>
  <si>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</si>
  <si>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</si>
  <si>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</si>
  <si>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</si>
  <si>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</si>
  <si>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</si>
  <si>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</si>
  <si>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</si>
  <si>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</si>
  <si>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Initial development of the "1.3_adsorbent_properties.xlsm" sheet.</t>
  </si>
  <si>
    <t>REV. NO.2 (9/14/2022)</t>
  </si>
  <si>
    <t>REV. NO.1 (6/8/2022)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</si>
</sst>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7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2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3" borderId="16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4" fillId="5" borderId="6" xfId="0" applyFont="1" applyFill="1" applyBorder="1" applyAlignment="1">
      <alignment horizontal="center" vertical="center"/>
    </xf>
    <xf numFmtId="0" fontId="4" fillId="3" borderId="15" xfId="0" applyFont="1" applyFill="1" applyBorder="1" applyAlignment="1">
      <alignment horizontal="left" vertical="center" wrapText="1" indent="1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3" fillId="6" borderId="0" xfId="1" applyFont="1" applyFill="1" applyAlignment="1">
      <alignment horizontal="left" vertical="center"/>
    </xf>
    <xf numFmtId="0" fontId="14" fillId="6" borderId="0" xfId="1" applyFont="1" applyFill="1" applyAlignment="1">
      <alignment vertical="center" wrapText="1"/>
    </xf>
    <xf numFmtId="0" fontId="14" fillId="6" borderId="0" xfId="1" applyFont="1" applyFill="1" applyAlignment="1">
      <alignment horizontal="center" vertical="center"/>
    </xf>
    <xf numFmtId="0" fontId="14" fillId="6" borderId="0" xfId="1" applyFont="1" applyFill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  <xf numFmtId="0" fontId="4" fillId="5" borderId="1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4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2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2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2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355165" y="1184087"/>
          <a:ext cx="4820052" cy="44843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aehunkim/Library/Containers/com.microsoft.Excel/Data/Documents/C:\Users\tkim333\Desktop\RAPID%20Model%20Release\v3.0\Tes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ference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D6B0A05-B7E1-4A67-9642-CDB68282612C}" name="Table193" displayName="Table193" ref="A9:J11" totalsRowShown="0" headerRowDxfId="138" dataDxfId="136" headerRowBorderDxfId="137" tableBorderDxfId="135" totalsRowBorderDxfId="134">
  <autoFilter ref="A9:J11" xr:uid="{B089C5C3-2CCE-4800-96CA-2131BB6E3E4F}"/>
  <tableColumns count="10">
    <tableColumn id="1" xr3:uid="{54ED77E6-049B-44D8-A807-69F6742011B3}" name="Variable" dataDxfId="133"/>
    <tableColumn id="4" xr3:uid="{679AD405-1464-4A07-A508-6E9E12586493}" name="Value" dataDxfId="132"/>
    <tableColumn id="5" xr3:uid="{C9BC8321-5233-466C-AF2C-D8502FC2FA6E}" name="Unit" dataDxfId="131"/>
    <tableColumn id="6" xr3:uid="{37D33612-3739-4CD7-8012-4E7F4E68F9BE}" name="Comparisons" dataDxfId="130"/>
    <tableColumn id="7" xr3:uid="{BBB88DDC-6E1A-437B-B17D-C1726D5BE96E}" name="Variable Type" dataDxfId="129"/>
    <tableColumn id="8" xr3:uid="{B714C653-9EE7-4B20-B610-CD0FE327788F}" name="Dependency" dataDxfId="128"/>
    <tableColumn id="12" xr3:uid="{CED2B126-682F-48D7-B404-980E4A4D207B}" name="Test 1" dataDxfId="127"/>
    <tableColumn id="10" xr3:uid="{B9D522E0-72C3-42E2-B2A2-BB09C3A78AC8}" name="Test 2" dataDxfId="126"/>
    <tableColumn id="2" xr3:uid="{E1B654DA-6284-4288-86A6-FCECFB5939A0}" name="Test 3" dataDxfId="125"/>
    <tableColumn id="9" xr3:uid="{4174BCBE-822B-4997-A4EF-7533BD87B785}" name="Description" dataDxfId="12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F07DAB5-0019-4DCA-8D22-D0B5D6058422}" name="Table19312" displayName="Table19312" ref="A9:J13" totalsRowShown="0" headerRowDxfId="109" dataDxfId="107" headerRowBorderDxfId="108" tableBorderDxfId="106" totalsRowBorderDxfId="105">
  <autoFilter ref="A9:J13" xr:uid="{B089C5C3-2CCE-4800-96CA-2131BB6E3E4F}"/>
  <tableColumns count="10">
    <tableColumn id="1" xr3:uid="{9A3D8CE9-7BCF-41C7-AAD3-4602942E8CB6}" name="Variable" dataDxfId="104"/>
    <tableColumn id="4" xr3:uid="{CF193B4D-7850-4CF2-835F-62CB833351B8}" name="Value" dataDxfId="103"/>
    <tableColumn id="5" xr3:uid="{3B9ACEA3-4B8E-4344-899D-BD53D3529ECC}" name="Unit" dataDxfId="102"/>
    <tableColumn id="6" xr3:uid="{3729ED72-6604-47FE-9C6D-0A45AD2890BD}" name="Comparisons" dataDxfId="101"/>
    <tableColumn id="7" xr3:uid="{C7F06FC5-6B5B-438B-8435-37EBE29CA2BD}" name="Variable Type" dataDxfId="100"/>
    <tableColumn id="8" xr3:uid="{73E5BB6A-BB1F-40FD-9255-4F2AD4D437C1}" name="Dependency" dataDxfId="99"/>
    <tableColumn id="12" xr3:uid="{50BA0342-6784-4F45-93E8-96267C138752}" name="Test 1" dataDxfId="98"/>
    <tableColumn id="10" xr3:uid="{CA0DB9CA-CC11-4788-801E-21C8DD84295E}" name="Test 2" dataDxfId="97"/>
    <tableColumn id="2" xr3:uid="{557CAAD0-13BC-4176-ADD2-2FE0BC005174}" name="Test 3" dataDxfId="96"/>
    <tableColumn id="9" xr3:uid="{49FAB5F2-E338-4C0D-BD56-467A62F972E8}" name="Description" dataDxfId="9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C443B00-C2DB-4930-935D-04CFA2F861DF}" name="Table1931213" displayName="Table1931213" ref="A9:J13" totalsRowShown="0" headerRowDxfId="86" dataDxfId="84" headerRowBorderDxfId="85" tableBorderDxfId="83" totalsRowBorderDxfId="82">
  <autoFilter ref="A9:J13" xr:uid="{B089C5C3-2CCE-4800-96CA-2131BB6E3E4F}"/>
  <tableColumns count="10">
    <tableColumn id="1" xr3:uid="{7F0B589E-BE74-43EC-A27F-081C1B15583D}" name="Variable" dataDxfId="81"/>
    <tableColumn id="4" xr3:uid="{479ECA9F-16E4-428D-80D2-FFA378EDA560}" name="Value" dataDxfId="80"/>
    <tableColumn id="5" xr3:uid="{E6E3F1EA-1A02-4C3C-AAFD-491F922564E2}" name="Unit" dataDxfId="79"/>
    <tableColumn id="6" xr3:uid="{7B71DA7B-439C-41C3-A894-D944C1D4798F}" name="Comparisons" dataDxfId="78"/>
    <tableColumn id="7" xr3:uid="{3144096D-A90A-4AA1-B453-FB78CD31642D}" name="Variable Type" dataDxfId="77"/>
    <tableColumn id="8" xr3:uid="{51348B03-C88F-41AD-9049-F3C7293EC272}" name="Dependency" dataDxfId="76"/>
    <tableColumn id="12" xr3:uid="{59F99AC1-18CA-4BFE-AFC1-22A46C532D6C}" name="Test 1" dataDxfId="75"/>
    <tableColumn id="10" xr3:uid="{ECD60C9F-40C9-481C-9E9A-8626A5270DBC}" name="Test 2" dataDxfId="74"/>
    <tableColumn id="2" xr3:uid="{0BD4BB6F-AD1B-4DA5-AEFF-0DD06F5B5FA7}" name="Test 3" dataDxfId="73"/>
    <tableColumn id="9" xr3:uid="{0B529C86-025B-4B75-B535-AEA8D990B77B}" name="Description" dataDxfId="7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15" totalsRowShown="0" headerRowDxfId="60" dataDxfId="58" headerRowBorderDxfId="59" tableBorderDxfId="57" totalsRowBorderDxfId="56">
  <autoFilter ref="A9:J15" xr:uid="{B089C5C3-2CCE-4800-96CA-2131BB6E3E4F}"/>
  <tableColumns count="10">
    <tableColumn id="1" xr3:uid="{281F5226-2025-4C6E-999C-A8F575CB206B}" name="Variable" dataDxfId="55"/>
    <tableColumn id="4" xr3:uid="{907AC290-8B5F-4AFA-8DCB-C690B3734F6B}" name="Value" dataDxfId="54"/>
    <tableColumn id="5" xr3:uid="{76BE4CFE-05C6-43DC-A13C-4BFE2A2E4F38}" name="Unit" dataDxfId="53"/>
    <tableColumn id="6" xr3:uid="{8061F981-FF76-4C8B-B572-12CB713F43CB}" name="Comparisons" dataDxfId="52"/>
    <tableColumn id="7" xr3:uid="{2BCD4B9F-F682-4298-A3AA-A5F92D2263C4}" name="Variable Type" dataDxfId="51"/>
    <tableColumn id="8" xr3:uid="{1CC9FBBF-69F8-429A-814B-71DBAFF37359}" name="Dependency" dataDxfId="50"/>
    <tableColumn id="12" xr3:uid="{D2543F4F-0C85-4145-B5BB-64C7DAAA0F12}" name="Test 1" dataDxfId="49"/>
    <tableColumn id="10" xr3:uid="{4C9832B7-0AD2-4777-AAFC-C60DE2F7DA3B}" name="Test 2" dataDxfId="48"/>
    <tableColumn id="2" xr3:uid="{E95041DF-C927-4C37-AF74-78F291F45F62}" name="Test 3" dataDxfId="47"/>
    <tableColumn id="9" xr3:uid="{F7EA5B65-C16E-4E6D-B23B-ACC0E861E56F}" name="Description" dataDxfId="4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2" totalsRowShown="0" headerRowDxfId="37" dataDxfId="35" headerRowBorderDxfId="36" tableBorderDxfId="34" totalsRowBorderDxfId="33">
  <autoFilter ref="A9:J12" xr:uid="{B089C5C3-2CCE-4800-96CA-2131BB6E3E4F}"/>
  <tableColumns count="10">
    <tableColumn id="1" xr3:uid="{44E0B3A5-6A4B-4795-9F7F-DFBC306A75AE}" name="Variable" dataDxfId="32"/>
    <tableColumn id="4" xr3:uid="{34601FCC-65BC-4521-A6D7-320915B57F27}" name="Value" dataDxfId="31"/>
    <tableColumn id="5" xr3:uid="{36AA1FCE-8527-4F3E-BCD1-98FD13692D02}" name="Unit" dataDxfId="30"/>
    <tableColumn id="6" xr3:uid="{12237314-E311-4D61-9218-5391943A2DF3}" name="Comparisons" dataDxfId="29"/>
    <tableColumn id="7" xr3:uid="{602D3377-1190-430C-923B-FDC8A407022D}" name="Variable Type" dataDxfId="28"/>
    <tableColumn id="8" xr3:uid="{10F3779F-E5E0-418C-9D45-01C039CD3A06}" name="Dependency" dataDxfId="27"/>
    <tableColumn id="12" xr3:uid="{69811E65-CA30-400A-95DC-3E2E433E9B45}" name="Test 1" dataDxfId="26"/>
    <tableColumn id="10" xr3:uid="{653CF00F-2786-4470-A0B5-63F5C3F8853F}" name="Test 2" dataDxfId="25"/>
    <tableColumn id="2" xr3:uid="{FB2088F6-6335-4325-9E72-FE87533BD5DC}" name="Test 3" dataDxfId="24"/>
    <tableColumn id="9" xr3:uid="{5B622A13-3DAF-4FB5-869E-E869B7C199FB}" name="Description" dataDxfId="2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DBE15C7C-7AE8-4197-9E17-CD007CF8C5FE}" name="Variable" dataDxfId="9"/>
    <tableColumn id="4" xr3:uid="{40508BC8-45BC-49EB-A17C-121430373278}" name="Value" dataDxfId="8"/>
    <tableColumn id="5" xr3:uid="{1CD86463-E067-4143-95C2-583D377FAAE6}" name="Unit" dataDxfId="7"/>
    <tableColumn id="6" xr3:uid="{1D18AAC5-0CB5-4DEB-B9B3-68FDCBC289FF}" name="Comparisons" dataDxfId="6"/>
    <tableColumn id="7" xr3:uid="{350A3D9D-FF88-48A6-9C9C-360DB7A75B19}" name="Variable Type" dataDxfId="5"/>
    <tableColumn id="8" xr3:uid="{C65F767F-A83E-4992-8442-9E9D0E9EE5C7}" name="Dependency" dataDxfId="4"/>
    <tableColumn id="12" xr3:uid="{CC077F18-CA37-4F98-A76A-E0D3A7D055BB}" name="Test 1" dataDxfId="3"/>
    <tableColumn id="10" xr3:uid="{F91A5AB3-846A-45A0-84A7-E06C47BD0B5C}" name="Test 2" dataDxfId="2"/>
    <tableColumn id="2" xr3:uid="{28BC6DC0-30C7-420F-8628-33D17D150141}" name="Test 3" dataDxfId="1"/>
    <tableColumn id="9" xr3:uid="{85DFE1D5-A6BC-434B-AF31-6872BC06B6FB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3A3B7318-ABF5-4964-8585-DC1B4485FC8D}">
    <text>place 1 if we want to keep the row when re-initializing. Otherwise, leave it as a blank.</text>
  </threadedComment>
  <threadedComment ref="H9" dT="2020-11-26T18:35:03.27" personId="{7F98AE94-13FB-49E1-9262-339C11E0EDB4}" id="{1F766DF8-4F4C-4CAC-A34A-0EE77796A689}">
    <text>supply a value greater than 1 if you want to duplicate the row</text>
  </threadedComment>
  <threadedComment ref="I9" dT="2020-11-28T01:53:47.29" personId="{7F98AE94-13FB-49E1-9262-339C11E0EDB4}" id="{68B40326-A7EC-49C3-B1AC-5659608B8029}">
    <text>1 means we need to have the variable specified; 0 means we need not have the variable specified</text>
  </threadedComment>
  <threadedComment ref="I9" dT="2020-11-28T01:56:42.32" personId="{7F98AE94-13FB-49E1-9262-339C11E0EDB4}" id="{5A585689-6153-4421-A598-3E38DFE22F5A}" parentId="{68B40326-A7EC-49C3-B1AC-5659608B8029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895B3EC1-A5D3-4C2B-B926-25E745C35296}">
    <text>place 1 if we want to keep the row when re-initializing. Otherwise, leave it as a blank.</text>
  </threadedComment>
  <threadedComment ref="H9" dT="2020-11-26T18:35:03.27" personId="{7F98AE94-13FB-49E1-9262-339C11E0EDB4}" id="{AE93204B-2197-4D7A-AA49-C466674EC8B1}">
    <text>supply a value greater than 1 if you want to duplicate the row</text>
  </threadedComment>
  <threadedComment ref="I9" dT="2020-11-28T01:53:47.29" personId="{7F98AE94-13FB-49E1-9262-339C11E0EDB4}" id="{01885A0D-450B-4CFB-88F0-DA6EE067C610}">
    <text>1 means we need to have the variable specified; 0 means we need not have the variable specified</text>
  </threadedComment>
  <threadedComment ref="I9" dT="2020-11-28T01:56:42.32" personId="{7F98AE94-13FB-49E1-9262-339C11E0EDB4}" id="{8BF64500-C648-4E78-BCFD-5A169C4CB200}" parentId="{01885A0D-450B-4CFB-88F0-DA6EE067C610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D7ACC8B-E136-46C9-A208-4FFB47F07F13}">
    <text>place 1 if we want to keep the row when re-initializing. Otherwise, leave it as a blank.</text>
  </threadedComment>
  <threadedComment ref="H9" dT="2020-11-26T18:35:03.27" personId="{7F98AE94-13FB-49E1-9262-339C11E0EDB4}" id="{524D07B7-3BCD-416A-945D-F50C138F908B}">
    <text>supply a value greater than 1 if you want to duplicate the row</text>
  </threadedComment>
  <threadedComment ref="I9" dT="2020-11-28T01:53:47.29" personId="{7F98AE94-13FB-49E1-9262-339C11E0EDB4}" id="{4281EA63-03E4-4B12-A73F-12D7F0AB1692}">
    <text>1 means we need to have the variable specified; 0 means we need not have the variable specified</text>
  </threadedComment>
  <threadedComment ref="I9" dT="2020-11-28T01:56:42.32" personId="{7F98AE94-13FB-49E1-9262-339C11E0EDB4}" id="{FCAF3CB8-E3FE-40C2-B2EB-CB1EA7AEE3DE}" parentId="{4281EA63-03E4-4B12-A73F-12D7F0AB1692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4679A202-C379-4D4A-8302-C6FC8DA92DAA}">
    <text>place 1 if we want to keep the row when re-initializing. Otherwise, leave it as a blank.</text>
  </threadedComment>
  <threadedComment ref="H9" dT="2020-11-26T18:35:03.27" personId="{7F98AE94-13FB-49E1-9262-339C11E0EDB4}" id="{B18702AE-04BD-4837-92FE-1853D01A6067}">
    <text>supply a value greater than 1 if you want to duplicate the row</text>
  </threadedComment>
  <threadedComment ref="I9" dT="2020-11-28T01:53:47.29" personId="{7F98AE94-13FB-49E1-9262-339C11E0EDB4}" id="{B37B49A5-2669-4E53-8AEC-AF01590ED202}">
    <text>1 means we need to have the variable specified; 0 means we need not have the variable specified</text>
  </threadedComment>
  <threadedComment ref="I9" dT="2020-11-28T01:56:42.32" personId="{7F98AE94-13FB-49E1-9262-339C11E0EDB4}" id="{1D676474-1260-4679-BCCA-60F5293DCAC9}" parentId="{B37B49A5-2669-4E53-8AEC-AF01590ED202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3F2771C-7CC0-44FC-9260-3189065E2D5A}">
    <text>place 1 if we want to keep the row when re-initializing. Otherwise, leave it as a blank.</text>
  </threadedComment>
  <threadedComment ref="H9" dT="2020-11-26T18:35:03.27" personId="{7F98AE94-13FB-49E1-9262-339C11E0EDB4}" id="{1CDAD62E-ED78-41AC-B275-04BA7975D617}">
    <text>supply a value greater than 1 if you want to duplicate the row</text>
  </threadedComment>
  <threadedComment ref="I9" dT="2020-11-28T01:53:47.29" personId="{7F98AE94-13FB-49E1-9262-339C11E0EDB4}" id="{3A579B2F-9BC0-42C8-AF11-58091C0748DD}">
    <text>1 means we need to have the variable specified; 0 means we need not have the variable specified</text>
  </threadedComment>
  <threadedComment ref="I9" dT="2020-11-28T01:56:42.32" personId="{7F98AE94-13FB-49E1-9262-339C11E0EDB4}" id="{DE318E44-FE7A-47CA-A355-08FA4AFF5517}" parentId="{3A579B2F-9BC0-42C8-AF11-58091C0748DD}">
    <text>Orange highlighted cells contain if then statement to allow the MATLAB® to check for the right inputs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baseColWidth="10" defaultColWidth="0" defaultRowHeight="15" zeroHeight="1" x14ac:dyDescent="0.2"/>
  <cols>
    <col min="1" max="2" width="3.33203125" style="37" hidden="1" customWidth="1"/>
    <col min="3" max="3" width="2.5" style="37" customWidth="1"/>
    <col min="4" max="4" width="13.83203125" style="37" customWidth="1"/>
    <col min="5" max="5" width="51.33203125" style="38" bestFit="1" customWidth="1"/>
    <col min="6" max="6" width="15.83203125" style="39" bestFit="1" customWidth="1"/>
    <col min="7" max="9" width="13.33203125" style="37" customWidth="1"/>
    <col min="10" max="10" width="48.83203125" style="37" customWidth="1"/>
    <col min="11" max="11" width="2.5" style="37" customWidth="1"/>
    <col min="12" max="12" width="0" style="37" hidden="1" customWidth="1"/>
    <col min="13" max="16384" width="9" style="37" hidden="1"/>
  </cols>
  <sheetData>
    <row r="3" spans="4:10" x14ac:dyDescent="0.2"/>
    <row r="4" spans="4:10" ht="19" x14ac:dyDescent="0.25">
      <c r="D4" s="55" t="s">
        <v>162</v>
      </c>
      <c r="E4" s="56"/>
      <c r="F4" s="57"/>
      <c r="G4" s="58"/>
      <c r="H4" s="58"/>
      <c r="I4" s="58"/>
      <c r="J4" s="40" t="s">
        <v>102</v>
      </c>
    </row>
    <row r="5" spans="4:10" ht="40" x14ac:dyDescent="0.2">
      <c r="D5" s="59" t="s">
        <v>41</v>
      </c>
      <c r="E5" s="59"/>
      <c r="F5" s="59"/>
      <c r="G5" s="59"/>
      <c r="H5" s="59"/>
      <c r="I5" s="59"/>
      <c r="J5" s="59"/>
    </row>
    <row r="6" spans="4:10" ht="20" x14ac:dyDescent="0.2">
      <c r="D6" s="49" t="s">
        <v>35</v>
      </c>
      <c r="E6" s="49" t="s">
        <v>158</v>
      </c>
      <c r="F6" s="49" t="s">
        <v>36</v>
      </c>
      <c r="G6" s="49" t="s">
        <v>37</v>
      </c>
      <c r="H6" s="49" t="s">
        <v>38</v>
      </c>
      <c r="I6" s="49" t="s">
        <v>39</v>
      </c>
      <c r="J6" s="49" t="s">
        <v>40</v>
      </c>
    </row>
    <row r="7" spans="4:10" ht="60" x14ac:dyDescent="0.2">
      <c r="D7" s="41">
        <v>1</v>
      </c>
      <c r="E7" s="42" t="s">
        <v>161</v>
      </c>
      <c r="F7" s="43">
        <v>44720</v>
      </c>
      <c r="G7" s="41" t="s">
        <v>42</v>
      </c>
      <c r="H7" s="41"/>
      <c r="I7" s="41"/>
      <c r="J7" s="42"/>
    </row>
    <row r="8" spans="4:10" ht="40" x14ac:dyDescent="0.2">
      <c r="D8" s="41">
        <v>2</v>
      </c>
      <c r="E8" s="42" t="s">
        <v>159</v>
      </c>
      <c r="F8" s="43">
        <v>44818</v>
      </c>
      <c r="G8" s="41" t="s">
        <v>42</v>
      </c>
      <c r="H8" s="41"/>
      <c r="I8" s="41"/>
      <c r="J8" s="42"/>
    </row>
    <row r="9" spans="4:10" ht="19" x14ac:dyDescent="0.2">
      <c r="D9" s="41">
        <v>3</v>
      </c>
      <c r="E9" s="42"/>
      <c r="F9" s="43"/>
      <c r="G9" s="41"/>
      <c r="H9" s="41"/>
      <c r="I9" s="41"/>
      <c r="J9" s="42"/>
    </row>
    <row r="10" spans="4:10" ht="19" x14ac:dyDescent="0.2">
      <c r="D10" s="41">
        <v>4</v>
      </c>
      <c r="E10" s="42"/>
      <c r="F10" s="43"/>
      <c r="G10" s="41"/>
      <c r="H10" s="41"/>
      <c r="I10" s="41"/>
      <c r="J10" s="42"/>
    </row>
    <row r="11" spans="4:10" ht="19" x14ac:dyDescent="0.2">
      <c r="D11" s="41">
        <v>5</v>
      </c>
      <c r="E11" s="42"/>
      <c r="F11" s="43"/>
      <c r="G11" s="41"/>
      <c r="H11" s="41"/>
      <c r="I11" s="41"/>
      <c r="J11" s="42"/>
    </row>
    <row r="12" spans="4:10" ht="19" x14ac:dyDescent="0.2">
      <c r="D12" s="41">
        <v>6</v>
      </c>
      <c r="E12" s="42"/>
      <c r="F12" s="43"/>
      <c r="G12" s="41"/>
      <c r="H12" s="41"/>
      <c r="I12" s="41"/>
      <c r="J12" s="42"/>
    </row>
    <row r="13" spans="4:10" ht="19" x14ac:dyDescent="0.2">
      <c r="D13" s="41">
        <v>7</v>
      </c>
      <c r="E13" s="42"/>
      <c r="F13" s="43"/>
      <c r="G13" s="41"/>
      <c r="H13" s="41"/>
      <c r="I13" s="41"/>
      <c r="J13" s="42"/>
    </row>
    <row r="14" spans="4:10" ht="19" x14ac:dyDescent="0.2">
      <c r="D14" s="41">
        <v>8</v>
      </c>
      <c r="E14" s="42"/>
      <c r="F14" s="43"/>
      <c r="G14" s="41"/>
      <c r="H14" s="41"/>
      <c r="I14" s="41"/>
      <c r="J14" s="42"/>
    </row>
    <row r="15" spans="4:10" ht="19" x14ac:dyDescent="0.2">
      <c r="D15" s="41">
        <v>9</v>
      </c>
      <c r="E15" s="42"/>
      <c r="F15" s="43"/>
      <c r="G15" s="41"/>
      <c r="H15" s="41"/>
      <c r="I15" s="41"/>
      <c r="J15" s="42"/>
    </row>
    <row r="16" spans="4:10" ht="19" x14ac:dyDescent="0.2">
      <c r="D16" s="41">
        <v>10</v>
      </c>
      <c r="E16" s="42"/>
      <c r="F16" s="43"/>
      <c r="G16" s="41"/>
      <c r="H16" s="41"/>
      <c r="I16" s="41"/>
      <c r="J16" s="44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43</v>
      </c>
      <c r="D1" t="s">
        <v>73</v>
      </c>
      <c r="E1" t="s">
        <v>82</v>
      </c>
      <c r="F1" t="s">
        <v>83</v>
      </c>
      <c r="G1" s="1" t="s">
        <v>84</v>
      </c>
      <c r="H1" s="1" t="s">
        <v>85</v>
      </c>
      <c r="I1" s="1" t="s">
        <v>86</v>
      </c>
      <c r="J1" s="7" t="s">
        <v>88</v>
      </c>
      <c r="K1" s="7" t="s">
        <v>6</v>
      </c>
      <c r="L1" t="s">
        <v>100</v>
      </c>
      <c r="M1" t="s">
        <v>95</v>
      </c>
      <c r="N1" t="s">
        <v>96</v>
      </c>
      <c r="O1" t="s">
        <v>101</v>
      </c>
      <c r="P1" t="s">
        <v>106</v>
      </c>
      <c r="Q1" t="s">
        <v>127</v>
      </c>
      <c r="R1" t="s">
        <v>135</v>
      </c>
      <c r="S1" t="s">
        <v>136</v>
      </c>
      <c r="T1" t="s">
        <v>147</v>
      </c>
      <c r="U1" t="s">
        <v>148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29</v>
      </c>
      <c r="C3" t="s">
        <v>44</v>
      </c>
      <c r="D3" t="s">
        <v>91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149</v>
      </c>
    </row>
    <row r="4" spans="1:21" x14ac:dyDescent="0.2">
      <c r="A4" t="s">
        <v>99</v>
      </c>
      <c r="B4" t="s">
        <v>26</v>
      </c>
      <c r="C4" t="s">
        <v>48</v>
      </c>
      <c r="D4" t="s">
        <v>92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150</v>
      </c>
    </row>
    <row r="5" spans="1:21" x14ac:dyDescent="0.2">
      <c r="A5" t="s">
        <v>10</v>
      </c>
      <c r="B5" t="s">
        <v>27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151</v>
      </c>
    </row>
    <row r="6" spans="1:21" x14ac:dyDescent="0.2">
      <c r="A6" t="s">
        <v>6</v>
      </c>
      <c r="B6" t="s">
        <v>28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152</v>
      </c>
    </row>
    <row r="7" spans="1:21" x14ac:dyDescent="0.2">
      <c r="A7" t="s">
        <v>9</v>
      </c>
      <c r="B7" t="s">
        <v>30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153</v>
      </c>
    </row>
    <row r="8" spans="1:21" x14ac:dyDescent="0.2">
      <c r="A8" t="s">
        <v>11</v>
      </c>
      <c r="B8" t="s">
        <v>31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U8" t="s">
        <v>154</v>
      </c>
    </row>
    <row r="9" spans="1:21" x14ac:dyDescent="0.2">
      <c r="B9" t="s">
        <v>107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U9" t="s">
        <v>155</v>
      </c>
    </row>
    <row r="10" spans="1:21" x14ac:dyDescent="0.2">
      <c r="B10" t="s">
        <v>32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145</v>
      </c>
    </row>
    <row r="12" spans="1:21" x14ac:dyDescent="0.2">
      <c r="B12" t="s">
        <v>108</v>
      </c>
      <c r="C12" t="s">
        <v>55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56</v>
      </c>
      <c r="J13">
        <v>1</v>
      </c>
    </row>
    <row r="14" spans="1:21" x14ac:dyDescent="0.2">
      <c r="B14" t="s">
        <v>25</v>
      </c>
      <c r="C14" t="s">
        <v>57</v>
      </c>
      <c r="J14">
        <v>2</v>
      </c>
    </row>
    <row r="15" spans="1:21" x14ac:dyDescent="0.2">
      <c r="B15" t="s">
        <v>15</v>
      </c>
      <c r="C15" t="s">
        <v>58</v>
      </c>
    </row>
    <row r="16" spans="1:21" x14ac:dyDescent="0.2">
      <c r="B16" t="s">
        <v>62</v>
      </c>
      <c r="C16" t="s">
        <v>59</v>
      </c>
      <c r="J16" t="s">
        <v>146</v>
      </c>
    </row>
    <row r="17" spans="2:10" x14ac:dyDescent="0.2">
      <c r="B17" t="s">
        <v>18</v>
      </c>
      <c r="C17" t="s">
        <v>60</v>
      </c>
      <c r="J17" t="s">
        <v>8</v>
      </c>
    </row>
    <row r="18" spans="2:10" x14ac:dyDescent="0.2">
      <c r="B18" t="s">
        <v>19</v>
      </c>
      <c r="C18" t="s">
        <v>61</v>
      </c>
      <c r="J18">
        <v>1</v>
      </c>
    </row>
    <row r="19" spans="2:10" x14ac:dyDescent="0.2">
      <c r="C19" t="s">
        <v>33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46</v>
      </c>
      <c r="J21">
        <v>4</v>
      </c>
    </row>
    <row r="22" spans="2:10" x14ac:dyDescent="0.2">
      <c r="C22" t="s">
        <v>45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1ECFA-696E-4B6A-B180-950A892EEA66}">
  <sheetPr codeName="Sheet13">
    <tabColor rgb="FFFFFF00"/>
  </sheetPr>
  <dimension ref="A2:K11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N2" sqref="K1:N104857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60" t="s">
        <v>34</v>
      </c>
      <c r="B3" s="60"/>
      <c r="C3" s="60"/>
      <c r="D3" s="60"/>
      <c r="E3" s="60"/>
      <c r="F3" s="60"/>
      <c r="G3" s="60"/>
      <c r="H3" s="60"/>
      <c r="I3" s="60"/>
      <c r="J3" s="60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1" t="str">
        <f>IF(COUNTIF(Table193[Test 3],1)=COUNTA(Table193[Value]),"Ready","Not Ready")</f>
        <v>Ready</v>
      </c>
    </row>
    <row r="5" spans="1:10" ht="14.5" customHeight="1" x14ac:dyDescent="0.2">
      <c r="A5" s="17"/>
      <c r="B5" s="18"/>
      <c r="C5" s="51"/>
      <c r="D5" s="51"/>
      <c r="E5" s="51"/>
      <c r="F5" s="51"/>
      <c r="G5" s="19"/>
      <c r="H5" s="51"/>
      <c r="I5" s="51"/>
      <c r="J5" s="62"/>
    </row>
    <row r="6" spans="1:10" ht="14.5" customHeight="1" x14ac:dyDescent="0.2">
      <c r="A6" s="17"/>
      <c r="B6" s="18"/>
      <c r="C6" s="51"/>
      <c r="D6" s="51"/>
      <c r="E6" s="51"/>
      <c r="F6" s="51"/>
      <c r="G6" s="19"/>
      <c r="H6" s="51"/>
      <c r="I6" s="51"/>
      <c r="J6" s="62"/>
    </row>
    <row r="7" spans="1:10" ht="14.5" customHeight="1" x14ac:dyDescent="0.2">
      <c r="A7" s="17"/>
      <c r="B7" s="18"/>
      <c r="C7" s="51"/>
      <c r="D7" s="51"/>
      <c r="E7" s="51"/>
      <c r="F7" s="51"/>
      <c r="G7" s="19"/>
      <c r="H7" s="51"/>
      <c r="I7" s="51"/>
      <c r="J7" s="62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3"/>
    </row>
    <row r="9" spans="1:10" ht="14.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67</v>
      </c>
      <c r="F9" s="31" t="s">
        <v>43</v>
      </c>
      <c r="G9" s="31" t="s">
        <v>71</v>
      </c>
      <c r="H9" s="30" t="s">
        <v>72</v>
      </c>
      <c r="I9" s="32" t="s">
        <v>87</v>
      </c>
      <c r="J9" s="32" t="s">
        <v>12</v>
      </c>
    </row>
    <row r="10" spans="1:10" ht="32" x14ac:dyDescent="0.2">
      <c r="A10" s="45" t="s">
        <v>156</v>
      </c>
      <c r="B10" s="46">
        <v>0.2</v>
      </c>
      <c r="C10" s="36" t="s">
        <v>78</v>
      </c>
      <c r="D10" s="1" t="s">
        <v>26</v>
      </c>
      <c r="E10" s="1" t="s">
        <v>7</v>
      </c>
      <c r="F10" s="2" t="s">
        <v>52</v>
      </c>
      <c r="G10" s="1">
        <v>1</v>
      </c>
      <c r="H10" s="1">
        <v>1</v>
      </c>
      <c r="I10" s="6">
        <v>1</v>
      </c>
      <c r="J10" s="48" t="s">
        <v>157</v>
      </c>
    </row>
    <row r="11" spans="1:10" ht="16" x14ac:dyDescent="0.2">
      <c r="A11" s="8" t="s">
        <v>93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94</v>
      </c>
    </row>
  </sheetData>
  <sheetProtection selectLockedCells="1"/>
  <mergeCells count="2">
    <mergeCell ref="A3:J3"/>
    <mergeCell ref="J4:J8"/>
  </mergeCells>
  <conditionalFormatting sqref="B11">
    <cfRule type="expression" dxfId="146" priority="4">
      <formula>IF(AND($B11&lt;&gt;"",$I11=0),1,0)</formula>
    </cfRule>
    <cfRule type="expression" dxfId="145" priority="5">
      <formula>IF($B11&lt;&gt;"",1,0)</formula>
    </cfRule>
    <cfRule type="expression" dxfId="144" priority="6">
      <formula>$I11=0</formula>
    </cfRule>
  </conditionalFormatting>
  <conditionalFormatting sqref="B10">
    <cfRule type="expression" dxfId="143" priority="1">
      <formula>IF(AND($B10&lt;&gt;"",$I10=0),1,0)</formula>
    </cfRule>
    <cfRule type="expression" dxfId="142" priority="2">
      <formula>IF($B10&lt;&gt;"",1,0)</formula>
    </cfRule>
    <cfRule type="expression" dxfId="141" priority="3">
      <formula>$I10=0</formula>
    </cfRule>
  </conditionalFormatting>
  <conditionalFormatting sqref="J4">
    <cfRule type="expression" dxfId="140" priority="7">
      <formula>IF(COUNTA($B$10:$B$11)&lt;&gt;COUNTIF($I$10:$I$11,1),1,0)</formula>
    </cfRule>
    <cfRule type="expression" dxfId="139" priority="8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91DEBA3-67CA-434F-82BF-C9DDD3C39F57}">
          <x14:formula1>
            <xm:f>Reference!$B$2:$B$18</xm:f>
          </x14:formula1>
          <xm:sqref>D10:D11</xm:sqref>
        </x14:dataValidation>
        <x14:dataValidation type="list" allowBlank="1" showInputMessage="1" showErrorMessage="1" xr:uid="{B56FEF31-6A27-4468-BFC2-95E5980EC452}">
          <x14:formula1>
            <xm:f>Reference!$C$2:$C$23</xm:f>
          </x14:formula1>
          <xm:sqref>F11</xm:sqref>
        </x14:dataValidation>
        <x14:dataValidation type="list" allowBlank="1" showInputMessage="1" showErrorMessage="1" xr:uid="{C2310D43-E6B3-4AF7-8210-DB988D2A0EFF}">
          <x14:formula1>
            <xm:f>Reference!$A$2:$A$8</xm:f>
          </x14:formula1>
          <xm:sqref>E10:E11</xm:sqref>
        </x14:dataValidation>
        <x14:dataValidation type="list" allowBlank="1" showInputMessage="1" showErrorMessage="1" xr:uid="{7188B3FA-FD6C-4DA6-B8CC-9407C4E95FD3}">
          <x14:formula1>
            <xm:f>'/Users/taehunkim/Library/Containers/com.microsoft.Excel/Data/Documents/C:\Users\tkim333\Desktop\RAPID Model Release\v3.0\[Test.xlsm]Reference'!#REF!</xm:f>
          </x14:formula1>
          <xm:sqref>F10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D8E8B-2D0E-4DF8-81B0-1A1C5B6463BB}">
  <sheetPr codeName="Sheet20">
    <tabColor rgb="FFFFFF0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60" t="s">
        <v>34</v>
      </c>
      <c r="B3" s="60"/>
      <c r="C3" s="60"/>
      <c r="D3" s="60"/>
      <c r="E3" s="60"/>
      <c r="F3" s="60"/>
      <c r="G3" s="60"/>
      <c r="H3" s="60"/>
      <c r="I3" s="60"/>
      <c r="J3" s="60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1" t="str">
        <f>IF(COUNTIF(Table19312[Test 3],1)=COUNTA(Table19312[Value]),"Ready","Not Ready")</f>
        <v>Ready</v>
      </c>
    </row>
    <row r="5" spans="1:10" ht="14.5" customHeight="1" x14ac:dyDescent="0.2">
      <c r="A5" s="17"/>
      <c r="B5" s="18"/>
      <c r="C5" s="51"/>
      <c r="D5" s="51"/>
      <c r="E5" s="51"/>
      <c r="F5" s="51"/>
      <c r="G5" s="19"/>
      <c r="H5" s="51"/>
      <c r="I5" s="51"/>
      <c r="J5" s="62"/>
    </row>
    <row r="6" spans="1:10" ht="14.5" customHeight="1" x14ac:dyDescent="0.2">
      <c r="A6" s="17"/>
      <c r="B6" s="18"/>
      <c r="C6" s="51"/>
      <c r="D6" s="51"/>
      <c r="E6" s="51"/>
      <c r="F6" s="51"/>
      <c r="G6" s="19"/>
      <c r="H6" s="51"/>
      <c r="I6" s="51"/>
      <c r="J6" s="62"/>
    </row>
    <row r="7" spans="1:10" ht="14.5" customHeight="1" x14ac:dyDescent="0.2">
      <c r="A7" s="17"/>
      <c r="B7" s="18"/>
      <c r="C7" s="51"/>
      <c r="D7" s="51"/>
      <c r="E7" s="51"/>
      <c r="F7" s="51"/>
      <c r="G7" s="19"/>
      <c r="H7" s="51"/>
      <c r="I7" s="51"/>
      <c r="J7" s="62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3"/>
    </row>
    <row r="9" spans="1:10" ht="14.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67</v>
      </c>
      <c r="F9" s="31" t="s">
        <v>43</v>
      </c>
      <c r="G9" s="31" t="s">
        <v>71</v>
      </c>
      <c r="H9" s="30" t="s">
        <v>72</v>
      </c>
      <c r="I9" s="32" t="s">
        <v>87</v>
      </c>
      <c r="J9" s="32" t="s">
        <v>12</v>
      </c>
    </row>
    <row r="10" spans="1:10" ht="80" x14ac:dyDescent="0.2">
      <c r="A10" s="50" t="s">
        <v>128</v>
      </c>
      <c r="B10" s="33">
        <v>1</v>
      </c>
      <c r="C10" s="36" t="s">
        <v>3</v>
      </c>
      <c r="D10" s="1" t="s">
        <v>26</v>
      </c>
      <c r="E10" s="1" t="s">
        <v>99</v>
      </c>
      <c r="F10" s="2" t="s">
        <v>44</v>
      </c>
      <c r="G10" s="1">
        <v>1</v>
      </c>
      <c r="H10" s="1">
        <v>1</v>
      </c>
      <c r="I10" s="6">
        <v>1</v>
      </c>
      <c r="J10" s="5" t="s">
        <v>140</v>
      </c>
    </row>
    <row r="11" spans="1:10" ht="16" x14ac:dyDescent="0.2">
      <c r="A11" s="4" t="s">
        <v>143</v>
      </c>
      <c r="B11" s="33"/>
      <c r="C11" s="2" t="s">
        <v>3</v>
      </c>
      <c r="D11" s="1" t="s">
        <v>26</v>
      </c>
      <c r="E11" s="1" t="s">
        <v>7</v>
      </c>
      <c r="F11" s="2" t="s">
        <v>33</v>
      </c>
      <c r="G11" s="1">
        <v>1</v>
      </c>
      <c r="H11" s="1">
        <v>1</v>
      </c>
      <c r="I11" s="47">
        <f>IF($B$10=0,0,IF($B$10=1,0,IF($B$10=2,1,IF($B$10=3,1,0))))</f>
        <v>0</v>
      </c>
      <c r="J11" s="5" t="s">
        <v>141</v>
      </c>
    </row>
    <row r="12" spans="1:10" ht="16" x14ac:dyDescent="0.2">
      <c r="A12" s="4" t="s">
        <v>144</v>
      </c>
      <c r="B12" s="35"/>
      <c r="C12" s="2" t="s">
        <v>3</v>
      </c>
      <c r="D12" s="1" t="s">
        <v>26</v>
      </c>
      <c r="E12" s="1" t="s">
        <v>7</v>
      </c>
      <c r="F12" s="2" t="s">
        <v>33</v>
      </c>
      <c r="G12" s="1">
        <v>1</v>
      </c>
      <c r="H12" s="1">
        <v>1</v>
      </c>
      <c r="I12" s="47">
        <f>IF($B$10=0,0,IF($B$10=1,0,IF($B$10=2,0,IF($B$10=3,1,0))))</f>
        <v>0</v>
      </c>
      <c r="J12" s="5" t="s">
        <v>142</v>
      </c>
    </row>
    <row r="13" spans="1:10" ht="16" x14ac:dyDescent="0.2">
      <c r="A13" s="8" t="s">
        <v>93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94</v>
      </c>
    </row>
  </sheetData>
  <sheetProtection selectLockedCells="1"/>
  <mergeCells count="2">
    <mergeCell ref="A3:J3"/>
    <mergeCell ref="J4:J8"/>
  </mergeCells>
  <conditionalFormatting sqref="B13">
    <cfRule type="expression" dxfId="123" priority="13">
      <formula>IF(AND($B13&lt;&gt;"",$I13=0),1,0)</formula>
    </cfRule>
    <cfRule type="expression" dxfId="122" priority="14">
      <formula>IF($B13&lt;&gt;"",1,0)</formula>
    </cfRule>
    <cfRule type="expression" dxfId="121" priority="15">
      <formula>$I13=0</formula>
    </cfRule>
  </conditionalFormatting>
  <conditionalFormatting sqref="B12">
    <cfRule type="expression" dxfId="120" priority="1">
      <formula>IF(AND($B12&lt;&gt;"",$I12=0),1,0)</formula>
    </cfRule>
    <cfRule type="expression" dxfId="119" priority="2">
      <formula>IF($B12&lt;&gt;"",1,0)</formula>
    </cfRule>
    <cfRule type="expression" dxfId="118" priority="3">
      <formula>$I12=0</formula>
    </cfRule>
  </conditionalFormatting>
  <conditionalFormatting sqref="J4">
    <cfRule type="expression" dxfId="117" priority="16">
      <formula>IF(COUNTA($B$10:$B$13)&lt;&gt;COUNTIF($I$10:$I$13,1),1,0)</formula>
    </cfRule>
    <cfRule type="expression" dxfId="116" priority="17">
      <formula>IF(COUNTA($B$10:$B$13)=COUNTIF($I$10:$I$13,1),1,0)</formula>
    </cfRule>
  </conditionalFormatting>
  <conditionalFormatting sqref="B10">
    <cfRule type="expression" dxfId="115" priority="7">
      <formula>IF(AND($B10&lt;&gt;"",$I10=0),1,0)</formula>
    </cfRule>
    <cfRule type="expression" dxfId="114" priority="8">
      <formula>IF($B10&lt;&gt;"",1,0)</formula>
    </cfRule>
    <cfRule type="expression" dxfId="113" priority="9">
      <formula>$I10=0</formula>
    </cfRule>
  </conditionalFormatting>
  <conditionalFormatting sqref="B11">
    <cfRule type="expression" dxfId="112" priority="4">
      <formula>IF(AND($B11&lt;&gt;"",$I11=0),1,0)</formula>
    </cfRule>
    <cfRule type="expression" dxfId="111" priority="5">
      <formula>IF($B11&lt;&gt;"",1,0)</formula>
    </cfRule>
    <cfRule type="expression" dxfId="110" priority="6">
      <formula>$I11=0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E7F8BDE5-DC00-4BE4-8115-5847E571D2AF}">
          <x14:formula1>
            <xm:f>'/Users/taehunkim/Library/Containers/com.microsoft.Excel/Data/Documents/C:\Users\tkim333\Desktop\RAPID Model Release\v3.0\[Test.xlsm]Reference'!#REF!</xm:f>
          </x14:formula1>
          <xm:sqref>F10:F12</xm:sqref>
        </x14:dataValidation>
        <x14:dataValidation type="list" allowBlank="1" showInputMessage="1" showErrorMessage="1" xr:uid="{B06CEC21-CA65-4508-8115-97DE2FD1B24F}">
          <x14:formula1>
            <xm:f>Reference!$A$2:$A$8</xm:f>
          </x14:formula1>
          <xm:sqref>E10:E13</xm:sqref>
        </x14:dataValidation>
        <x14:dataValidation type="list" allowBlank="1" showInputMessage="1" showErrorMessage="1" xr:uid="{D1E065D8-04D7-462A-AC55-AB0DEF0185B2}">
          <x14:formula1>
            <xm:f>Reference!$C$2:$C$23</xm:f>
          </x14:formula1>
          <xm:sqref>F13</xm:sqref>
        </x14:dataValidation>
        <x14:dataValidation type="list" allowBlank="1" showInputMessage="1" showErrorMessage="1" xr:uid="{6902BB46-AA58-4F68-BF8B-BA711EF9587C}">
          <x14:formula1>
            <xm:f>Reference!$B$2:$B$18</xm:f>
          </x14:formula1>
          <xm:sqref>D10:D13</xm:sqref>
        </x14:dataValidation>
        <x14:dataValidation type="list" allowBlank="1" showInputMessage="1" showErrorMessage="1" xr:uid="{BE64D888-DE10-6B49-966C-861AF58C3A49}">
          <x14:formula1>
            <xm:f>Reference!$Q$2:$Q$6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571D6-37EC-4235-B53C-B37785B21324}">
  <sheetPr codeName="Sheet21">
    <tabColor rgb="FFFFFF0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3" sqref="B13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60" t="s">
        <v>34</v>
      </c>
      <c r="B3" s="60"/>
      <c r="C3" s="60"/>
      <c r="D3" s="60"/>
      <c r="E3" s="60"/>
      <c r="F3" s="60"/>
      <c r="G3" s="60"/>
      <c r="H3" s="60"/>
      <c r="I3" s="60"/>
      <c r="J3" s="60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1" t="str">
        <f>IF(COUNTIF(Table1931213[Test 3],1)=COUNTA(Table1931213[Value]),"Ready","Not Ready")</f>
        <v>Ready</v>
      </c>
    </row>
    <row r="5" spans="1:10" ht="14.5" customHeight="1" x14ac:dyDescent="0.2">
      <c r="A5" s="17"/>
      <c r="B5" s="18"/>
      <c r="C5" s="51"/>
      <c r="D5" s="51"/>
      <c r="E5" s="51"/>
      <c r="F5" s="51"/>
      <c r="G5" s="19"/>
      <c r="H5" s="51"/>
      <c r="I5" s="51"/>
      <c r="J5" s="62"/>
    </row>
    <row r="6" spans="1:10" ht="14.5" customHeight="1" x14ac:dyDescent="0.2">
      <c r="A6" s="17"/>
      <c r="B6" s="18"/>
      <c r="C6" s="51"/>
      <c r="D6" s="51"/>
      <c r="E6" s="51"/>
      <c r="F6" s="51"/>
      <c r="G6" s="19"/>
      <c r="H6" s="51"/>
      <c r="I6" s="51"/>
      <c r="J6" s="62"/>
    </row>
    <row r="7" spans="1:10" ht="14.5" customHeight="1" x14ac:dyDescent="0.2">
      <c r="A7" s="17"/>
      <c r="B7" s="18"/>
      <c r="C7" s="51"/>
      <c r="D7" s="51"/>
      <c r="E7" s="51"/>
      <c r="F7" s="51"/>
      <c r="G7" s="19"/>
      <c r="H7" s="51"/>
      <c r="I7" s="51"/>
      <c r="J7" s="62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3"/>
    </row>
    <row r="9" spans="1:10" ht="14.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67</v>
      </c>
      <c r="F9" s="31" t="s">
        <v>43</v>
      </c>
      <c r="G9" s="31" t="s">
        <v>71</v>
      </c>
      <c r="H9" s="30" t="s">
        <v>72</v>
      </c>
      <c r="I9" s="32" t="s">
        <v>87</v>
      </c>
      <c r="J9" s="32" t="s">
        <v>12</v>
      </c>
    </row>
    <row r="10" spans="1:10" ht="32" x14ac:dyDescent="0.2">
      <c r="A10" s="4" t="s">
        <v>68</v>
      </c>
      <c r="B10" s="35">
        <v>1.552E-3</v>
      </c>
      <c r="C10" s="2" t="s">
        <v>21</v>
      </c>
      <c r="D10" s="1" t="s">
        <v>26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98</v>
      </c>
    </row>
    <row r="11" spans="1:10" ht="32" x14ac:dyDescent="0.2">
      <c r="A11" s="4" t="s">
        <v>69</v>
      </c>
      <c r="B11" s="35">
        <v>1.552E-3</v>
      </c>
      <c r="C11" s="2" t="s">
        <v>21</v>
      </c>
      <c r="D11" s="1" t="s">
        <v>26</v>
      </c>
      <c r="E11" s="1" t="s">
        <v>7</v>
      </c>
      <c r="F11" s="2" t="s">
        <v>44</v>
      </c>
      <c r="G11" s="1">
        <v>1</v>
      </c>
      <c r="H11" s="1">
        <v>1</v>
      </c>
      <c r="I11" s="6">
        <v>1</v>
      </c>
      <c r="J11" s="5" t="s">
        <v>126</v>
      </c>
    </row>
    <row r="12" spans="1:10" ht="32" x14ac:dyDescent="0.2">
      <c r="A12" s="4" t="s">
        <v>70</v>
      </c>
      <c r="B12" s="35">
        <v>8.0999999999999996E-4</v>
      </c>
      <c r="C12" s="2" t="s">
        <v>21</v>
      </c>
      <c r="D12" s="1" t="s">
        <v>26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97</v>
      </c>
    </row>
    <row r="13" spans="1:10" ht="16" x14ac:dyDescent="0.2">
      <c r="A13" s="8" t="s">
        <v>93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94</v>
      </c>
    </row>
  </sheetData>
  <sheetProtection selectLockedCells="1"/>
  <mergeCells count="2">
    <mergeCell ref="A3:J3"/>
    <mergeCell ref="J4:J8"/>
  </mergeCells>
  <conditionalFormatting sqref="B13">
    <cfRule type="expression" dxfId="94" priority="13">
      <formula>IF(AND($B13&lt;&gt;"",$I13=0),1,0)</formula>
    </cfRule>
    <cfRule type="expression" dxfId="93" priority="14">
      <formula>IF($B13&lt;&gt;"",1,0)</formula>
    </cfRule>
    <cfRule type="expression" dxfId="92" priority="15">
      <formula>$I13=0</formula>
    </cfRule>
  </conditionalFormatting>
  <conditionalFormatting sqref="J4">
    <cfRule type="expression" dxfId="91" priority="16">
      <formula>IF(COUNTA($B$10:$B$13)&lt;&gt;COUNTIF($I$10:$I$13,1),1,0)</formula>
    </cfRule>
    <cfRule type="expression" dxfId="90" priority="17">
      <formula>IF(COUNTA($B$10:$B$13)=COUNTIF($I$10:$I$13,1),1,0)</formula>
    </cfRule>
  </conditionalFormatting>
  <conditionalFormatting sqref="B10:B12">
    <cfRule type="expression" dxfId="89" priority="1">
      <formula>IF(AND($B10&lt;&gt;"",$I10=0),1,0)</formula>
    </cfRule>
    <cfRule type="expression" dxfId="88" priority="2">
      <formula>IF($B10&lt;&gt;"",1,0)</formula>
    </cfRule>
    <cfRule type="expression" dxfId="87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5075F242-5F6D-4921-AE2A-8BA7972511B7}">
          <x14:formula1>
            <xm:f>Reference!$B$2:$B$18</xm:f>
          </x14:formula1>
          <xm:sqref>D10:D13</xm:sqref>
        </x14:dataValidation>
        <x14:dataValidation type="list" allowBlank="1" showInputMessage="1" showErrorMessage="1" xr:uid="{1AF0276F-A4F0-4B0A-9917-614A44F989FF}">
          <x14:formula1>
            <xm:f>Reference!$C$2:$C$23</xm:f>
          </x14:formula1>
          <xm:sqref>F13</xm:sqref>
        </x14:dataValidation>
        <x14:dataValidation type="list" allowBlank="1" showInputMessage="1" showErrorMessage="1" xr:uid="{9E4C816E-83E4-4B52-9EB1-AF5A23126C13}">
          <x14:formula1>
            <xm:f>Reference!$A$2:$A$8</xm:f>
          </x14:formula1>
          <xm:sqref>E10:E13</xm:sqref>
        </x14:dataValidation>
        <x14:dataValidation type="list" allowBlank="1" showInputMessage="1" showErrorMessage="1" xr:uid="{E06ACB21-9368-4FA9-AE9E-2591FC06E76D}">
          <x14:formula1>
            <xm:f>'/Users/taehunkim/Library/Containers/com.microsoft.Excel/Data/Documents/C:\Users\tkim333\Desktop\RAPID Model Release\v3.0\[Test.xlsm]Reference'!#REF!</xm:f>
          </x14:formula1>
          <xm:sqref>F10:F12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FFFF00"/>
  </sheetPr>
  <dimension ref="A2:K15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9" sqref="B9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60" t="s">
        <v>34</v>
      </c>
      <c r="B3" s="60"/>
      <c r="C3" s="60"/>
      <c r="D3" s="60"/>
      <c r="E3" s="60"/>
      <c r="F3" s="60"/>
      <c r="G3" s="60"/>
      <c r="H3" s="60"/>
      <c r="I3" s="60"/>
      <c r="J3" s="60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1" t="str">
        <f>IF(COUNTIF(Table193121314[Test 3],1)=COUNTA(Table193121314[Value]),"Ready","Not Ready")</f>
        <v>Ready</v>
      </c>
    </row>
    <row r="5" spans="1:10" ht="14.5" customHeight="1" x14ac:dyDescent="0.2">
      <c r="A5" s="17"/>
      <c r="B5" s="18"/>
      <c r="C5" s="51"/>
      <c r="D5" s="51"/>
      <c r="E5" s="51"/>
      <c r="F5" s="51"/>
      <c r="G5" s="19"/>
      <c r="H5" s="51"/>
      <c r="I5" s="51"/>
      <c r="J5" s="62"/>
    </row>
    <row r="6" spans="1:10" ht="14.5" customHeight="1" x14ac:dyDescent="0.2">
      <c r="A6" s="17"/>
      <c r="B6" s="18"/>
      <c r="C6" s="51"/>
      <c r="D6" s="51"/>
      <c r="E6" s="51"/>
      <c r="F6" s="51"/>
      <c r="G6" s="19"/>
      <c r="H6" s="51"/>
      <c r="I6" s="51"/>
      <c r="J6" s="62"/>
    </row>
    <row r="7" spans="1:10" ht="14.5" customHeight="1" x14ac:dyDescent="0.2">
      <c r="A7" s="17"/>
      <c r="B7" s="18"/>
      <c r="C7" s="51"/>
      <c r="D7" s="51"/>
      <c r="E7" s="51"/>
      <c r="F7" s="51"/>
      <c r="G7" s="19"/>
      <c r="H7" s="51"/>
      <c r="I7" s="51"/>
      <c r="J7" s="62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3"/>
    </row>
    <row r="9" spans="1:10" ht="14.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67</v>
      </c>
      <c r="F9" s="31" t="s">
        <v>43</v>
      </c>
      <c r="G9" s="31" t="s">
        <v>71</v>
      </c>
      <c r="H9" s="30" t="s">
        <v>72</v>
      </c>
      <c r="I9" s="32" t="s">
        <v>87</v>
      </c>
      <c r="J9" s="32" t="s">
        <v>12</v>
      </c>
    </row>
    <row r="10" spans="1:10" ht="32" x14ac:dyDescent="0.2">
      <c r="A10" s="4" t="s">
        <v>74</v>
      </c>
      <c r="B10" s="33">
        <v>2903.4751548481281</v>
      </c>
      <c r="C10" s="2" t="s">
        <v>22</v>
      </c>
      <c r="D10" s="1" t="s">
        <v>26</v>
      </c>
      <c r="E10" s="1" t="s">
        <v>7</v>
      </c>
      <c r="F10" s="2" t="s">
        <v>5</v>
      </c>
      <c r="G10" s="1">
        <v>1</v>
      </c>
      <c r="H10" s="66">
        <f>[2]Initialization!$B$10</f>
        <v>2</v>
      </c>
      <c r="I10" s="6">
        <v>1</v>
      </c>
      <c r="J10" s="5" t="s">
        <v>79</v>
      </c>
    </row>
    <row r="11" spans="1:10" ht="32" x14ac:dyDescent="0.2">
      <c r="A11" s="4" t="s">
        <v>77</v>
      </c>
      <c r="B11" s="33">
        <v>5311.235039356332</v>
      </c>
      <c r="C11" s="2" t="s">
        <v>22</v>
      </c>
      <c r="D11" s="1" t="s">
        <v>26</v>
      </c>
      <c r="E11" s="1" t="s">
        <v>7</v>
      </c>
      <c r="F11" s="2" t="s">
        <v>5</v>
      </c>
      <c r="G11" s="1"/>
      <c r="H11" s="66">
        <f>[2]Initialization!$B$10</f>
        <v>2</v>
      </c>
      <c r="I11" s="6">
        <v>1</v>
      </c>
      <c r="J11" s="5" t="s">
        <v>79</v>
      </c>
    </row>
    <row r="12" spans="1:10" ht="32" x14ac:dyDescent="0.2">
      <c r="A12" s="4" t="s">
        <v>75</v>
      </c>
      <c r="B12" s="33">
        <v>1</v>
      </c>
      <c r="C12" s="2" t="s">
        <v>23</v>
      </c>
      <c r="D12" s="1" t="s">
        <v>26</v>
      </c>
      <c r="E12" s="1" t="s">
        <v>7</v>
      </c>
      <c r="F12" s="2" t="s">
        <v>5</v>
      </c>
      <c r="G12" s="1">
        <v>1</v>
      </c>
      <c r="H12" s="66">
        <f>[2]Initialization!$B$10</f>
        <v>2</v>
      </c>
      <c r="I12" s="6">
        <v>1</v>
      </c>
      <c r="J12" s="5" t="s">
        <v>80</v>
      </c>
    </row>
    <row r="13" spans="1:10" ht="32" x14ac:dyDescent="0.2">
      <c r="A13" s="4" t="s">
        <v>76</v>
      </c>
      <c r="B13" s="33">
        <v>1</v>
      </c>
      <c r="C13" s="2" t="s">
        <v>23</v>
      </c>
      <c r="D13" s="1" t="s">
        <v>26</v>
      </c>
      <c r="E13" s="1" t="s">
        <v>7</v>
      </c>
      <c r="F13" s="2" t="s">
        <v>5</v>
      </c>
      <c r="G13" s="1"/>
      <c r="H13" s="66">
        <f>[2]Initialization!$B$10</f>
        <v>2</v>
      </c>
      <c r="I13" s="6">
        <v>1</v>
      </c>
      <c r="J13" s="5" t="s">
        <v>80</v>
      </c>
    </row>
    <row r="14" spans="1:10" ht="32" x14ac:dyDescent="0.2">
      <c r="A14" s="50" t="s">
        <v>138</v>
      </c>
      <c r="B14" s="33">
        <v>318.14999999999998</v>
      </c>
      <c r="C14" s="36" t="s">
        <v>20</v>
      </c>
      <c r="D14" s="1" t="s">
        <v>26</v>
      </c>
      <c r="E14" s="1" t="s">
        <v>7</v>
      </c>
      <c r="F14" s="2" t="s">
        <v>51</v>
      </c>
      <c r="G14" s="1">
        <v>1</v>
      </c>
      <c r="H14" s="1">
        <v>1</v>
      </c>
      <c r="I14" s="6">
        <v>1</v>
      </c>
      <c r="J14" s="5" t="s">
        <v>139</v>
      </c>
    </row>
    <row r="15" spans="1:10" ht="16" x14ac:dyDescent="0.2">
      <c r="A15" s="8" t="s">
        <v>93</v>
      </c>
      <c r="B15" s="34"/>
      <c r="C15" s="9"/>
      <c r="D15" s="10"/>
      <c r="E15" s="10"/>
      <c r="F15" s="9"/>
      <c r="G15" s="10">
        <v>1</v>
      </c>
      <c r="H15" s="10">
        <v>1</v>
      </c>
      <c r="I15" s="11">
        <v>0</v>
      </c>
      <c r="J15" s="12" t="s">
        <v>94</v>
      </c>
    </row>
  </sheetData>
  <sheetProtection selectLockedCells="1"/>
  <mergeCells count="2">
    <mergeCell ref="A3:J3"/>
    <mergeCell ref="J4:J8"/>
  </mergeCells>
  <conditionalFormatting sqref="B15">
    <cfRule type="expression" dxfId="71" priority="10">
      <formula>IF(AND($B15&lt;&gt;"",$I15=0),1,0)</formula>
    </cfRule>
    <cfRule type="expression" dxfId="70" priority="11">
      <formula>IF($B15&lt;&gt;"",1,0)</formula>
    </cfRule>
    <cfRule type="expression" dxfId="69" priority="12">
      <formula>$I15=0</formula>
    </cfRule>
  </conditionalFormatting>
  <conditionalFormatting sqref="J4">
    <cfRule type="expression" dxfId="68" priority="13">
      <formula>IF(COUNTA($B$10:$B$15)&lt;&gt;COUNTIF($I$10:$I$15,1),1,0)</formula>
    </cfRule>
    <cfRule type="expression" dxfId="67" priority="14">
      <formula>IF(COUNTA($B$10:$B$15)=COUNTIF($I$10:$I$15,1),1,0)</formula>
    </cfRule>
  </conditionalFormatting>
  <conditionalFormatting sqref="B10">
    <cfRule type="expression" dxfId="66" priority="1">
      <formula>IF(AND($B10&lt;&gt;"",$I10=0),1,0)</formula>
    </cfRule>
    <cfRule type="expression" dxfId="65" priority="2">
      <formula>IF($B10&lt;&gt;"",1,0)</formula>
    </cfRule>
    <cfRule type="expression" dxfId="64" priority="3">
      <formula>$I10=0</formula>
    </cfRule>
  </conditionalFormatting>
  <conditionalFormatting sqref="B11:B14">
    <cfRule type="expression" dxfId="63" priority="4">
      <formula>IF(AND($B11&lt;&gt;"",$I11=0),1,0)</formula>
    </cfRule>
    <cfRule type="expression" dxfId="62" priority="5">
      <formula>IF($B11&lt;&gt;"",1,0)</formula>
    </cfRule>
    <cfRule type="expression" dxfId="61" priority="6">
      <formula>$I11=0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67D23E1-AFEF-49C1-88F0-E58E53A95302}">
          <x14:formula1>
            <xm:f>Reference!$A$2:$A$8</xm:f>
          </x14:formula1>
          <xm:sqref>E10:E15</xm:sqref>
        </x14:dataValidation>
        <x14:dataValidation type="list" allowBlank="1" showInputMessage="1" showErrorMessage="1" xr:uid="{8863D019-CADF-4701-A458-7B1A2A91D616}">
          <x14:formula1>
            <xm:f>Reference!$C$2:$C$23</xm:f>
          </x14:formula1>
          <xm:sqref>F10:F15</xm:sqref>
        </x14:dataValidation>
        <x14:dataValidation type="list" allowBlank="1" showInputMessage="1" showErrorMessage="1" xr:uid="{2C619053-4F6C-42E7-A7E2-3EA9F2EEA009}">
          <x14:formula1>
            <xm:f>Reference!$B$2:$B$18</xm:f>
          </x14:formula1>
          <xm:sqref>D10:D15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FFFF0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1" sqref="B11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60" t="s">
        <v>34</v>
      </c>
      <c r="B3" s="60"/>
      <c r="C3" s="60"/>
      <c r="D3" s="60"/>
      <c r="E3" s="60"/>
      <c r="F3" s="60"/>
      <c r="G3" s="60"/>
      <c r="H3" s="60"/>
      <c r="I3" s="60"/>
      <c r="J3" s="60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1" t="str">
        <f>IF(COUNTIF(Table19312131415[Test 3],1)=COUNTA(Table19312131415[Value]),"Ready","Not Ready")</f>
        <v>Ready</v>
      </c>
    </row>
    <row r="5" spans="1:10" ht="14.5" customHeight="1" x14ac:dyDescent="0.2">
      <c r="A5" s="17"/>
      <c r="B5" s="18"/>
      <c r="C5" s="51"/>
      <c r="D5" s="51"/>
      <c r="E5" s="51"/>
      <c r="F5" s="51"/>
      <c r="G5" s="19"/>
      <c r="H5" s="51"/>
      <c r="I5" s="51"/>
      <c r="J5" s="62"/>
    </row>
    <row r="6" spans="1:10" ht="14.5" customHeight="1" x14ac:dyDescent="0.2">
      <c r="A6" s="17"/>
      <c r="B6" s="18"/>
      <c r="C6" s="51"/>
      <c r="D6" s="51"/>
      <c r="E6" s="51"/>
      <c r="F6" s="51"/>
      <c r="G6" s="19"/>
      <c r="H6" s="51"/>
      <c r="I6" s="51"/>
      <c r="J6" s="62"/>
    </row>
    <row r="7" spans="1:10" ht="14.5" customHeight="1" x14ac:dyDescent="0.2">
      <c r="A7" s="17"/>
      <c r="B7" s="18"/>
      <c r="C7" s="51"/>
      <c r="D7" s="51"/>
      <c r="E7" s="51"/>
      <c r="F7" s="51"/>
      <c r="G7" s="19"/>
      <c r="H7" s="51"/>
      <c r="I7" s="51"/>
      <c r="J7" s="62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3"/>
    </row>
    <row r="9" spans="1:10" ht="14.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67</v>
      </c>
      <c r="F9" s="31" t="s">
        <v>43</v>
      </c>
      <c r="G9" s="31" t="s">
        <v>71</v>
      </c>
      <c r="H9" s="30" t="s">
        <v>72</v>
      </c>
      <c r="I9" s="32" t="s">
        <v>87</v>
      </c>
      <c r="J9" s="32" t="s">
        <v>12</v>
      </c>
    </row>
    <row r="10" spans="1:10" ht="32" x14ac:dyDescent="0.2">
      <c r="A10" s="4" t="s">
        <v>89</v>
      </c>
      <c r="B10" s="33">
        <v>62</v>
      </c>
      <c r="C10" s="2" t="s">
        <v>24</v>
      </c>
      <c r="D10" s="1" t="s">
        <v>25</v>
      </c>
      <c r="E10" s="1" t="s">
        <v>7</v>
      </c>
      <c r="F10" s="2" t="s">
        <v>5</v>
      </c>
      <c r="G10" s="1">
        <v>1</v>
      </c>
      <c r="H10" s="66">
        <f>[2]Initialization!$B$10</f>
        <v>2</v>
      </c>
      <c r="I10" s="6">
        <v>1</v>
      </c>
      <c r="J10" s="5" t="s">
        <v>81</v>
      </c>
    </row>
    <row r="11" spans="1:10" ht="32" x14ac:dyDescent="0.2">
      <c r="A11" s="4" t="s">
        <v>90</v>
      </c>
      <c r="B11" s="33">
        <v>19.7</v>
      </c>
      <c r="C11" s="2" t="s">
        <v>24</v>
      </c>
      <c r="D11" s="1" t="s">
        <v>25</v>
      </c>
      <c r="E11" s="1" t="s">
        <v>7</v>
      </c>
      <c r="F11" s="2" t="s">
        <v>5</v>
      </c>
      <c r="G11" s="1"/>
      <c r="H11" s="66">
        <f>[2]Initialization!$B$10</f>
        <v>2</v>
      </c>
      <c r="I11" s="6">
        <v>1</v>
      </c>
      <c r="J11" s="5" t="s">
        <v>81</v>
      </c>
    </row>
    <row r="12" spans="1:10" ht="16" x14ac:dyDescent="0.2">
      <c r="A12" s="8" t="s">
        <v>93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94</v>
      </c>
    </row>
  </sheetData>
  <sheetProtection selectLockedCells="1"/>
  <mergeCells count="2">
    <mergeCell ref="A3:J3"/>
    <mergeCell ref="J4:J8"/>
  </mergeCells>
  <conditionalFormatting sqref="B12">
    <cfRule type="expression" dxfId="45" priority="10">
      <formula>IF(AND($B12&lt;&gt;"",$I12=0),1,0)</formula>
    </cfRule>
    <cfRule type="expression" dxfId="44" priority="11">
      <formula>IF($B12&lt;&gt;"",1,0)</formula>
    </cfRule>
    <cfRule type="expression" dxfId="43" priority="12">
      <formula>$I12=0</formula>
    </cfRule>
  </conditionalFormatting>
  <conditionalFormatting sqref="B10:B11">
    <cfRule type="expression" dxfId="42" priority="1">
      <formula>IF(AND($B10&lt;&gt;"",$I10=0),1,0)</formula>
    </cfRule>
    <cfRule type="expression" dxfId="41" priority="2">
      <formula>IF($B10&lt;&gt;"",1,0)</formula>
    </cfRule>
    <cfRule type="expression" dxfId="40" priority="3">
      <formula>$I10=0</formula>
    </cfRule>
  </conditionalFormatting>
  <conditionalFormatting sqref="J4">
    <cfRule type="expression" dxfId="39" priority="2052">
      <formula>IF(COUNTA($B$10:$B$12)&lt;&gt;COUNTIF($I$10:$I$12,1),1,0)</formula>
    </cfRule>
    <cfRule type="expression" dxfId="38" priority="205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Reference!$B$2:$B$18</xm:f>
          </x14:formula1>
          <xm:sqref>D10:D12</xm:sqref>
        </x14:dataValidation>
        <x14:dataValidation type="list" allowBlank="1" showInputMessage="1" showErrorMessage="1" xr:uid="{7E754697-311E-4CEA-8C2C-0E1E589C4B72}">
          <x14:formula1>
            <xm:f>Reference!$C$2:$C$23</xm:f>
          </x14:formula1>
          <xm:sqref>F10:F12</xm:sqref>
        </x14:dataValidation>
        <x14:dataValidation type="list" allowBlank="1" showInputMessage="1" showErrorMessage="1" xr:uid="{C55EAF3C-B7AD-4F6A-ABF3-644333524B15}">
          <x14:formula1>
            <xm:f>Reference!$A$2:$A$8</xm:f>
          </x14:formula1>
          <xm:sqref>E10:E12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FFFF0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60" t="s">
        <v>34</v>
      </c>
      <c r="B3" s="60"/>
      <c r="C3" s="60"/>
      <c r="D3" s="60"/>
      <c r="E3" s="60"/>
      <c r="F3" s="60"/>
      <c r="G3" s="60"/>
      <c r="H3" s="60"/>
      <c r="I3" s="60"/>
      <c r="J3" s="60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1" t="str">
        <f>IF(COUNTIF(Table1931213141516[Test 3],1)=COUNTA(Table1931213141516[Value]),"Ready","Not Ready")</f>
        <v>Ready</v>
      </c>
    </row>
    <row r="5" spans="1:10" ht="14.5" customHeight="1" x14ac:dyDescent="0.2">
      <c r="A5" s="17"/>
      <c r="B5" s="18"/>
      <c r="C5" s="51"/>
      <c r="D5" s="51"/>
      <c r="E5" s="51"/>
      <c r="F5" s="51"/>
      <c r="G5" s="19"/>
      <c r="H5" s="51"/>
      <c r="I5" s="51"/>
      <c r="J5" s="62"/>
    </row>
    <row r="6" spans="1:10" ht="14.5" customHeight="1" x14ac:dyDescent="0.2">
      <c r="A6" s="17"/>
      <c r="B6" s="18"/>
      <c r="C6" s="51"/>
      <c r="D6" s="51"/>
      <c r="E6" s="51"/>
      <c r="F6" s="51"/>
      <c r="G6" s="19"/>
      <c r="H6" s="51"/>
      <c r="I6" s="51"/>
      <c r="J6" s="62"/>
    </row>
    <row r="7" spans="1:10" ht="14.5" customHeight="1" x14ac:dyDescent="0.2">
      <c r="A7" s="17"/>
      <c r="B7" s="18"/>
      <c r="C7" s="51"/>
      <c r="D7" s="51"/>
      <c r="E7" s="51"/>
      <c r="F7" s="51"/>
      <c r="G7" s="19"/>
      <c r="H7" s="51"/>
      <c r="I7" s="51"/>
      <c r="J7" s="62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3"/>
    </row>
    <row r="9" spans="1:10" ht="14.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67</v>
      </c>
      <c r="F9" s="31" t="s">
        <v>43</v>
      </c>
      <c r="G9" s="31" t="s">
        <v>71</v>
      </c>
      <c r="H9" s="30" t="s">
        <v>72</v>
      </c>
      <c r="I9" s="32" t="s">
        <v>87</v>
      </c>
      <c r="J9" s="32" t="s">
        <v>12</v>
      </c>
    </row>
    <row r="10" spans="1:10" ht="32" x14ac:dyDescent="0.2">
      <c r="A10" s="50" t="s">
        <v>133</v>
      </c>
      <c r="B10" s="33">
        <v>920.9</v>
      </c>
      <c r="C10" s="36" t="s">
        <v>137</v>
      </c>
      <c r="D10" s="1" t="s">
        <v>26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134</v>
      </c>
    </row>
    <row r="11" spans="1:10" ht="16" x14ac:dyDescent="0.2">
      <c r="A11" s="8" t="s">
        <v>93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94</v>
      </c>
    </row>
  </sheetData>
  <sheetProtection selectLockedCells="1"/>
  <mergeCells count="2">
    <mergeCell ref="A3:J3"/>
    <mergeCell ref="J4:J8"/>
  </mergeCells>
  <conditionalFormatting sqref="B11">
    <cfRule type="expression" dxfId="22" priority="7">
      <formula>IF(AND($B11&lt;&gt;"",$I11=0),1,0)</formula>
    </cfRule>
    <cfRule type="expression" dxfId="21" priority="8">
      <formula>IF($B11&lt;&gt;"",1,0)</formula>
    </cfRule>
    <cfRule type="expression" dxfId="20" priority="9">
      <formula>$I11=0</formula>
    </cfRule>
  </conditionalFormatting>
  <conditionalFormatting sqref="B10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054">
      <formula>IF(COUNTA($B$10:$B$11)&lt;&gt;COUNTIF($I$10:$I$11,1),1,0)</formula>
    </cfRule>
    <cfRule type="expression" dxfId="15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zoomScaleNormal="100" zoomScaleSheetLayoutView="55" workbookViewId="0">
      <selection activeCell="C53" sqref="C53"/>
    </sheetView>
  </sheetViews>
  <sheetFormatPr baseColWidth="10" defaultColWidth="0" defaultRowHeight="14.5" customHeight="1" zeroHeight="1" x14ac:dyDescent="0.2"/>
  <cols>
    <col min="1" max="2" width="8.83203125" style="52" customWidth="1"/>
    <col min="3" max="3" width="13.1640625" style="52" customWidth="1"/>
    <col min="4" max="4" width="13.5" style="52" customWidth="1"/>
    <col min="5" max="7" width="8.83203125" style="52" customWidth="1"/>
    <col min="8" max="8" width="14.83203125" style="52" customWidth="1"/>
    <col min="9" max="9" width="11.6640625" style="52" customWidth="1"/>
    <col min="10" max="10" width="10.33203125" style="52" customWidth="1"/>
    <col min="11" max="11" width="33.6640625" style="52" customWidth="1"/>
    <col min="12" max="12" width="40.83203125" style="52" customWidth="1"/>
    <col min="13" max="18" width="8.83203125" style="52" customWidth="1"/>
    <col min="19" max="48" width="0" style="52" hidden="1" customWidth="1"/>
    <col min="49" max="16384" width="8.83203125" style="52" hidden="1"/>
  </cols>
  <sheetData>
    <row r="1" spans="1:18" ht="14.5" customHeight="1" x14ac:dyDescent="0.2">
      <c r="A1" s="26" t="s">
        <v>163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102</v>
      </c>
    </row>
    <row r="2" spans="1:18" ht="15" x14ac:dyDescent="0.2">
      <c r="A2" s="64" t="s">
        <v>109</v>
      </c>
      <c r="B2" s="65"/>
      <c r="C2" s="65"/>
      <c r="D2" s="65"/>
      <c r="E2" s="65"/>
      <c r="F2" s="65"/>
      <c r="G2" s="65"/>
      <c r="H2" s="65"/>
      <c r="I2" s="65"/>
      <c r="J2" s="65"/>
      <c r="K2" s="65"/>
      <c r="L2" s="65"/>
      <c r="M2" s="65"/>
      <c r="N2" s="65"/>
      <c r="O2" s="65"/>
      <c r="P2" s="65"/>
      <c r="Q2" s="65"/>
      <c r="R2" s="65"/>
    </row>
    <row r="3" spans="1:18" ht="15" x14ac:dyDescent="0.2">
      <c r="A3" s="25"/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</row>
    <row r="4" spans="1:18" ht="15" x14ac:dyDescent="0.2">
      <c r="A4" s="24" t="s">
        <v>113</v>
      </c>
      <c r="B4" s="53"/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</row>
    <row r="5" spans="1:18" ht="15" x14ac:dyDescent="0.2">
      <c r="A5" s="24"/>
      <c r="B5" s="53" t="s">
        <v>114</v>
      </c>
      <c r="C5" s="53"/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  <c r="R5" s="53"/>
    </row>
    <row r="6" spans="1:18" ht="15" x14ac:dyDescent="0.2">
      <c r="A6" s="24"/>
      <c r="B6" s="53" t="s">
        <v>115</v>
      </c>
      <c r="C6" s="53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  <c r="R6" s="53"/>
    </row>
    <row r="7" spans="1:18" ht="15" x14ac:dyDescent="0.2">
      <c r="A7" s="24"/>
      <c r="B7" s="53"/>
      <c r="C7" s="53"/>
      <c r="D7" s="53"/>
      <c r="E7" s="53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</row>
    <row r="8" spans="1:18" ht="15" x14ac:dyDescent="0.2">
      <c r="A8" s="24"/>
      <c r="B8" s="53"/>
      <c r="C8" s="53"/>
      <c r="D8" s="53"/>
      <c r="E8" s="53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</row>
    <row r="9" spans="1:18" ht="15" x14ac:dyDescent="0.2">
      <c r="A9" s="24"/>
      <c r="B9" s="53"/>
      <c r="C9" s="53"/>
      <c r="D9" s="53"/>
      <c r="E9" s="53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</row>
    <row r="10" spans="1:18" ht="15" x14ac:dyDescent="0.2">
      <c r="A10" s="24"/>
      <c r="B10" s="53" t="s">
        <v>124</v>
      </c>
      <c r="C10" s="53"/>
      <c r="D10" s="5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</row>
    <row r="11" spans="1:18" ht="15" x14ac:dyDescent="0.2">
      <c r="A11" s="24"/>
      <c r="B11" s="53"/>
      <c r="C11" s="53"/>
      <c r="D11" s="53"/>
      <c r="E11" s="53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</row>
    <row r="12" spans="1:18" ht="15" x14ac:dyDescent="0.2">
      <c r="A12" s="24"/>
      <c r="B12" s="53"/>
      <c r="C12" s="53"/>
      <c r="D12" s="53"/>
      <c r="E12" s="53"/>
      <c r="F12" s="53"/>
      <c r="G12" s="53"/>
      <c r="H12" s="53"/>
      <c r="I12" s="53"/>
      <c r="J12" s="53"/>
      <c r="K12" s="53"/>
      <c r="L12" s="53"/>
      <c r="M12" s="53"/>
      <c r="N12" s="53"/>
      <c r="O12" s="53"/>
      <c r="P12" s="53"/>
      <c r="Q12" s="53"/>
      <c r="R12" s="53"/>
    </row>
    <row r="13" spans="1:18" ht="15" x14ac:dyDescent="0.2">
      <c r="A13" s="24"/>
      <c r="B13" s="53"/>
      <c r="C13" s="53"/>
      <c r="D13" s="53"/>
      <c r="E13" s="53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</row>
    <row r="14" spans="1:18" ht="15" x14ac:dyDescent="0.2">
      <c r="A14" s="24"/>
      <c r="B14" s="53"/>
      <c r="C14" s="53"/>
      <c r="D14" s="53"/>
      <c r="E14" s="53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</row>
    <row r="15" spans="1:18" ht="15" x14ac:dyDescent="0.2">
      <c r="A15" s="24" t="s">
        <v>110</v>
      </c>
      <c r="B15" s="53"/>
      <c r="C15" s="53"/>
      <c r="D15" s="53"/>
      <c r="E15" s="53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</row>
    <row r="16" spans="1:18" ht="15" x14ac:dyDescent="0.2">
      <c r="A16" s="24" t="s">
        <v>111</v>
      </c>
      <c r="B16" s="53"/>
      <c r="C16" s="53"/>
      <c r="D16" s="53"/>
      <c r="E16" s="53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</row>
    <row r="17" spans="1:18" ht="15" x14ac:dyDescent="0.2">
      <c r="A17" s="24"/>
      <c r="B17" s="53"/>
      <c r="C17" s="53"/>
      <c r="D17" s="53"/>
      <c r="E17" s="53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</row>
    <row r="18" spans="1:18" ht="15" x14ac:dyDescent="0.2">
      <c r="A18" s="24"/>
      <c r="B18" s="53"/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</row>
    <row r="19" spans="1:18" ht="15" x14ac:dyDescent="0.2">
      <c r="A19" s="24"/>
      <c r="B19" s="53"/>
      <c r="C19" s="53"/>
      <c r="D19" s="53"/>
      <c r="E19" s="53"/>
      <c r="F19" s="53"/>
      <c r="G19" s="53"/>
      <c r="H19" s="53"/>
      <c r="I19" s="53"/>
      <c r="J19" s="53"/>
      <c r="K19" s="53"/>
      <c r="L19" s="53"/>
      <c r="M19" s="53"/>
      <c r="N19" s="53"/>
      <c r="O19" s="53"/>
      <c r="P19" s="53"/>
      <c r="Q19" s="53"/>
      <c r="R19" s="53"/>
    </row>
    <row r="20" spans="1:18" ht="15" x14ac:dyDescent="0.2">
      <c r="A20" s="24"/>
      <c r="B20" s="53"/>
      <c r="C20" s="53"/>
      <c r="D20" s="53"/>
      <c r="E20" s="53"/>
      <c r="F20" s="53"/>
      <c r="G20" s="53"/>
      <c r="H20" s="53"/>
      <c r="I20" s="53"/>
      <c r="J20" s="53"/>
      <c r="K20" s="53"/>
      <c r="L20" s="53"/>
      <c r="M20" s="53"/>
      <c r="N20" s="53"/>
      <c r="O20" s="53"/>
      <c r="P20" s="53"/>
      <c r="Q20" s="53"/>
      <c r="R20" s="53"/>
    </row>
    <row r="21" spans="1:18" ht="15" x14ac:dyDescent="0.2">
      <c r="A21" s="24"/>
      <c r="B21" s="53"/>
      <c r="C21" s="53"/>
      <c r="D21" s="53"/>
      <c r="E21" s="53"/>
      <c r="F21" s="53"/>
      <c r="G21" s="53"/>
      <c r="H21" s="53"/>
      <c r="I21" s="53"/>
      <c r="J21" s="53"/>
      <c r="K21" s="53"/>
      <c r="L21" s="53"/>
      <c r="M21" s="53"/>
      <c r="N21" s="53"/>
      <c r="O21" s="53"/>
      <c r="P21" s="53"/>
      <c r="Q21" s="53"/>
      <c r="R21" s="53"/>
    </row>
    <row r="22" spans="1:18" ht="15" x14ac:dyDescent="0.2">
      <c r="A22" s="24"/>
      <c r="B22" s="53"/>
      <c r="C22" s="53"/>
      <c r="D22" s="53"/>
      <c r="E22" s="53"/>
      <c r="F22" s="53"/>
      <c r="G22" s="53"/>
      <c r="H22" s="53"/>
      <c r="I22" s="53"/>
      <c r="J22" s="53"/>
      <c r="K22" s="53"/>
      <c r="L22" s="53"/>
      <c r="M22" s="53"/>
      <c r="N22" s="53"/>
      <c r="O22" s="53"/>
      <c r="P22" s="53"/>
      <c r="Q22" s="53"/>
      <c r="R22" s="53"/>
    </row>
    <row r="23" spans="1:18" ht="15" x14ac:dyDescent="0.2">
      <c r="A23" s="24" t="s">
        <v>117</v>
      </c>
      <c r="B23" s="53"/>
      <c r="C23" s="53"/>
      <c r="D23" s="53"/>
      <c r="E23" s="53"/>
      <c r="F23" s="53"/>
      <c r="G23" s="53"/>
      <c r="H23" s="53"/>
      <c r="I23" s="53"/>
      <c r="J23" s="53"/>
      <c r="K23" s="53"/>
      <c r="L23" s="53"/>
      <c r="M23" s="53"/>
      <c r="N23" s="53"/>
      <c r="O23" s="53"/>
      <c r="P23" s="53"/>
      <c r="Q23" s="53"/>
      <c r="R23" s="53"/>
    </row>
    <row r="24" spans="1:18" ht="15" x14ac:dyDescent="0.2">
      <c r="A24" s="24" t="s">
        <v>118</v>
      </c>
      <c r="B24" s="53"/>
      <c r="C24" s="53"/>
      <c r="D24" s="53"/>
      <c r="E24" s="53"/>
      <c r="F24" s="53"/>
      <c r="G24" s="53"/>
      <c r="H24" s="53"/>
      <c r="I24" s="53"/>
      <c r="J24" s="53"/>
      <c r="K24" s="53"/>
      <c r="L24" s="53"/>
      <c r="M24" s="53"/>
      <c r="N24" s="53"/>
      <c r="O24" s="53"/>
      <c r="P24" s="53"/>
      <c r="Q24" s="53"/>
      <c r="R24" s="53"/>
    </row>
    <row r="25" spans="1:18" ht="15" x14ac:dyDescent="0.2">
      <c r="A25" s="24"/>
      <c r="B25" s="53"/>
      <c r="C25" s="53"/>
      <c r="D25" s="53"/>
      <c r="E25" s="53"/>
      <c r="F25" s="53"/>
      <c r="G25" s="53"/>
      <c r="H25" s="53"/>
      <c r="I25" s="53"/>
      <c r="J25" s="53"/>
      <c r="K25" s="53"/>
      <c r="L25" s="53"/>
      <c r="M25" s="53"/>
      <c r="N25" s="53"/>
      <c r="O25" s="53"/>
      <c r="P25" s="53"/>
      <c r="Q25" s="53"/>
      <c r="R25" s="53"/>
    </row>
    <row r="26" spans="1:18" ht="15" x14ac:dyDescent="0.2">
      <c r="A26" s="24"/>
      <c r="B26" s="53"/>
      <c r="C26" s="53"/>
      <c r="D26" s="53"/>
      <c r="E26" s="53"/>
      <c r="F26" s="53"/>
      <c r="G26" s="53"/>
      <c r="H26" s="53"/>
      <c r="I26" s="53"/>
      <c r="J26" s="53"/>
      <c r="K26" s="53"/>
      <c r="L26" s="53"/>
      <c r="M26" s="53"/>
      <c r="N26" s="53"/>
      <c r="O26" s="53"/>
      <c r="P26" s="53"/>
      <c r="Q26" s="53"/>
      <c r="R26" s="53"/>
    </row>
    <row r="27" spans="1:18" ht="15" x14ac:dyDescent="0.2">
      <c r="A27" s="24"/>
      <c r="B27" s="53"/>
      <c r="C27" s="53"/>
      <c r="D27" s="53"/>
      <c r="E27" s="53"/>
      <c r="F27" s="53"/>
      <c r="G27" s="53"/>
      <c r="H27" s="53"/>
      <c r="I27" s="53"/>
      <c r="J27" s="53"/>
      <c r="K27" s="53"/>
      <c r="L27" s="53"/>
      <c r="M27" s="53"/>
      <c r="N27" s="53"/>
      <c r="O27" s="53"/>
      <c r="P27" s="53"/>
      <c r="Q27" s="53"/>
      <c r="R27" s="53"/>
    </row>
    <row r="28" spans="1:18" ht="15" x14ac:dyDescent="0.2">
      <c r="A28" s="24"/>
      <c r="B28" s="53"/>
      <c r="C28" s="53"/>
      <c r="D28" s="53"/>
      <c r="E28" s="53"/>
      <c r="F28" s="53"/>
      <c r="G28" s="53"/>
      <c r="H28" s="53"/>
      <c r="I28" s="53"/>
      <c r="J28" s="53"/>
      <c r="K28" s="53"/>
      <c r="L28" s="53"/>
      <c r="M28" s="53"/>
      <c r="N28" s="53"/>
      <c r="O28" s="53"/>
      <c r="P28" s="53"/>
      <c r="Q28" s="53"/>
      <c r="R28" s="53"/>
    </row>
    <row r="29" spans="1:18" ht="15" x14ac:dyDescent="0.2">
      <c r="A29" s="24"/>
      <c r="B29" s="53"/>
      <c r="C29" s="53"/>
      <c r="D29" s="53"/>
      <c r="E29" s="53"/>
      <c r="F29" s="53"/>
      <c r="G29" s="53"/>
      <c r="H29" s="53"/>
      <c r="I29" s="53"/>
      <c r="J29" s="53"/>
      <c r="K29" s="53"/>
      <c r="L29" s="53"/>
      <c r="M29" s="53"/>
      <c r="N29" s="53"/>
      <c r="O29" s="53"/>
      <c r="P29" s="53"/>
      <c r="Q29" s="53"/>
      <c r="R29" s="53"/>
    </row>
    <row r="30" spans="1:18" ht="15" x14ac:dyDescent="0.2">
      <c r="A30" s="24"/>
      <c r="B30" s="53"/>
      <c r="C30" s="53"/>
      <c r="D30" s="53"/>
      <c r="E30" s="53"/>
      <c r="F30" s="53"/>
      <c r="G30" s="53"/>
      <c r="H30" s="53"/>
      <c r="I30" s="53"/>
      <c r="J30" s="53"/>
      <c r="K30" s="53"/>
      <c r="L30" s="53"/>
      <c r="M30" s="53"/>
      <c r="N30" s="53"/>
      <c r="O30" s="53"/>
      <c r="P30" s="53"/>
      <c r="Q30" s="53"/>
      <c r="R30" s="53"/>
    </row>
    <row r="31" spans="1:18" ht="15" x14ac:dyDescent="0.2">
      <c r="A31" s="24"/>
      <c r="B31" s="53"/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53"/>
      <c r="Q31" s="53"/>
      <c r="R31" s="53"/>
    </row>
    <row r="32" spans="1:18" ht="15" x14ac:dyDescent="0.2">
      <c r="A32" s="24" t="s">
        <v>122</v>
      </c>
      <c r="B32" s="53"/>
      <c r="C32" s="53"/>
      <c r="D32" s="53"/>
      <c r="E32" s="53"/>
      <c r="F32" s="53"/>
      <c r="G32" s="53"/>
      <c r="H32" s="53"/>
      <c r="I32" s="53"/>
      <c r="J32" s="53"/>
      <c r="K32" s="53"/>
      <c r="L32" s="53"/>
      <c r="M32" s="53"/>
      <c r="N32" s="53"/>
      <c r="O32" s="53"/>
      <c r="P32" s="53"/>
      <c r="Q32" s="53"/>
      <c r="R32" s="53"/>
    </row>
    <row r="33" spans="1:18" ht="15" x14ac:dyDescent="0.2">
      <c r="A33" s="24" t="s">
        <v>123</v>
      </c>
      <c r="B33" s="53"/>
      <c r="C33" s="53"/>
      <c r="D33" s="53"/>
      <c r="E33" s="53"/>
      <c r="F33" s="53"/>
      <c r="G33" s="53"/>
      <c r="H33" s="53"/>
      <c r="I33" s="53"/>
      <c r="J33" s="53"/>
      <c r="K33" s="53"/>
      <c r="L33" s="53"/>
      <c r="M33" s="53"/>
      <c r="N33" s="53"/>
      <c r="O33" s="53"/>
      <c r="P33" s="53"/>
      <c r="Q33" s="53"/>
      <c r="R33" s="53"/>
    </row>
    <row r="34" spans="1:18" ht="15" x14ac:dyDescent="0.2">
      <c r="A34" s="24"/>
      <c r="B34" s="53"/>
      <c r="C34" s="53"/>
      <c r="D34" s="53"/>
      <c r="E34" s="53"/>
      <c r="F34" s="53"/>
      <c r="G34" s="53"/>
      <c r="H34" s="53"/>
      <c r="I34" s="53"/>
      <c r="J34" s="53"/>
      <c r="K34" s="53"/>
      <c r="L34" s="53"/>
      <c r="M34" s="53"/>
      <c r="N34" s="53"/>
      <c r="O34" s="53"/>
      <c r="P34" s="53"/>
      <c r="Q34" s="53"/>
      <c r="R34" s="53"/>
    </row>
    <row r="35" spans="1:18" ht="15" x14ac:dyDescent="0.2">
      <c r="A35" s="24"/>
      <c r="B35" s="53"/>
      <c r="C35" s="53"/>
      <c r="D35" s="53"/>
      <c r="E35" s="53"/>
      <c r="F35" s="53"/>
      <c r="G35" s="53"/>
      <c r="H35" s="53"/>
      <c r="I35" s="53"/>
      <c r="J35" s="53"/>
      <c r="K35" s="53"/>
      <c r="L35" s="53"/>
      <c r="M35" s="53"/>
      <c r="N35" s="53"/>
      <c r="O35" s="53"/>
      <c r="P35" s="53"/>
      <c r="Q35" s="53"/>
      <c r="R35" s="53"/>
    </row>
    <row r="36" spans="1:18" ht="15" x14ac:dyDescent="0.2">
      <c r="A36" s="24"/>
      <c r="B36" s="53"/>
      <c r="C36" s="53"/>
      <c r="D36" s="53"/>
      <c r="E36" s="53"/>
      <c r="F36" s="53"/>
      <c r="G36" s="53"/>
      <c r="H36" s="53"/>
      <c r="I36" s="53"/>
      <c r="J36" s="53"/>
      <c r="K36" s="53"/>
      <c r="L36" s="53"/>
      <c r="M36" s="53"/>
      <c r="N36" s="53"/>
      <c r="O36" s="53"/>
      <c r="P36" s="53"/>
      <c r="Q36" s="53"/>
      <c r="R36" s="53"/>
    </row>
    <row r="37" spans="1:18" ht="15" x14ac:dyDescent="0.2">
      <c r="A37" s="24"/>
      <c r="B37" s="53"/>
      <c r="C37" s="53"/>
      <c r="D37" s="53"/>
      <c r="E37" s="53"/>
      <c r="F37" s="53"/>
      <c r="G37" s="53"/>
      <c r="H37" s="53"/>
      <c r="I37" s="53"/>
      <c r="J37" s="53"/>
      <c r="K37" s="53"/>
      <c r="L37" s="53"/>
      <c r="M37" s="53"/>
      <c r="N37" s="53"/>
      <c r="O37" s="53"/>
      <c r="P37" s="53"/>
      <c r="Q37" s="53"/>
      <c r="R37" s="53"/>
    </row>
    <row r="38" spans="1:18" ht="15" x14ac:dyDescent="0.2">
      <c r="A38" s="24"/>
      <c r="B38" s="53"/>
      <c r="C38" s="53"/>
      <c r="D38" s="53"/>
      <c r="E38" s="53"/>
      <c r="F38" s="53"/>
      <c r="G38" s="53"/>
      <c r="H38" s="53"/>
      <c r="I38" s="53"/>
      <c r="J38" s="53"/>
      <c r="K38" s="53"/>
      <c r="L38" s="53"/>
      <c r="M38" s="53"/>
      <c r="N38" s="53"/>
      <c r="O38" s="53"/>
      <c r="P38" s="53"/>
      <c r="Q38" s="53"/>
      <c r="R38" s="53"/>
    </row>
    <row r="39" spans="1:18" ht="15" x14ac:dyDescent="0.2">
      <c r="A39" s="24"/>
      <c r="B39" s="53"/>
      <c r="C39" s="53"/>
      <c r="D39" s="53"/>
      <c r="E39" s="53"/>
      <c r="F39" s="53"/>
      <c r="G39" s="53"/>
      <c r="H39" s="53"/>
      <c r="I39" s="53"/>
      <c r="J39" s="53"/>
      <c r="K39" s="53"/>
      <c r="L39" s="53"/>
      <c r="M39" s="53"/>
      <c r="N39" s="53"/>
      <c r="O39" s="53"/>
      <c r="P39" s="53"/>
      <c r="Q39" s="53"/>
      <c r="R39" s="53"/>
    </row>
    <row r="40" spans="1:18" ht="15" x14ac:dyDescent="0.2">
      <c r="A40" s="24"/>
      <c r="B40" s="53"/>
      <c r="C40" s="53"/>
      <c r="D40" s="53"/>
      <c r="E40" s="53"/>
      <c r="F40" s="53"/>
      <c r="G40" s="53"/>
      <c r="H40" s="53"/>
      <c r="I40" s="53"/>
      <c r="J40" s="53"/>
      <c r="K40" s="53"/>
      <c r="L40" s="53"/>
      <c r="M40" s="53"/>
      <c r="N40" s="53"/>
      <c r="O40" s="53"/>
      <c r="P40" s="53"/>
      <c r="Q40" s="53"/>
      <c r="R40" s="53"/>
    </row>
    <row r="41" spans="1:18" ht="15" x14ac:dyDescent="0.2">
      <c r="A41" s="24"/>
      <c r="B41" s="53"/>
      <c r="C41" s="53"/>
      <c r="D41" s="53"/>
      <c r="E41" s="53"/>
      <c r="F41" s="53"/>
      <c r="G41" s="53"/>
      <c r="H41" s="53"/>
      <c r="I41" s="53"/>
      <c r="J41" s="53"/>
      <c r="K41" s="53"/>
      <c r="L41" s="53"/>
      <c r="M41" s="53"/>
      <c r="N41" s="53"/>
      <c r="O41" s="53"/>
      <c r="P41" s="53"/>
      <c r="Q41" s="53"/>
      <c r="R41" s="53"/>
    </row>
    <row r="42" spans="1:18" ht="15" x14ac:dyDescent="0.2">
      <c r="A42" s="24"/>
      <c r="B42" s="54"/>
      <c r="C42" s="53"/>
      <c r="D42" s="53"/>
      <c r="E42" s="53"/>
      <c r="F42" s="53"/>
      <c r="G42" s="53"/>
      <c r="H42" s="53"/>
      <c r="I42" s="53"/>
      <c r="J42" s="53"/>
      <c r="K42" s="53"/>
      <c r="L42" s="53"/>
      <c r="M42" s="53"/>
      <c r="N42" s="53"/>
      <c r="O42" s="53"/>
      <c r="P42" s="53"/>
      <c r="Q42" s="53"/>
      <c r="R42" s="53"/>
    </row>
    <row r="43" spans="1:18" ht="15" x14ac:dyDescent="0.2">
      <c r="A43" s="24" t="s">
        <v>116</v>
      </c>
      <c r="B43" s="54"/>
      <c r="C43" s="53"/>
      <c r="D43" s="53"/>
      <c r="E43" s="53"/>
      <c r="F43" s="53"/>
      <c r="G43" s="53"/>
      <c r="H43" s="53"/>
      <c r="I43" s="53"/>
      <c r="J43" s="53"/>
      <c r="K43" s="53"/>
      <c r="L43" s="53"/>
      <c r="M43" s="53"/>
      <c r="N43" s="53"/>
      <c r="O43" s="53"/>
      <c r="P43" s="53"/>
      <c r="Q43" s="53"/>
      <c r="R43" s="53"/>
    </row>
    <row r="44" spans="1:18" ht="15" x14ac:dyDescent="0.2">
      <c r="A44" s="24" t="s">
        <v>112</v>
      </c>
      <c r="B44" s="54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</row>
    <row r="45" spans="1:18" ht="15" x14ac:dyDescent="0.2">
      <c r="A45" s="24"/>
      <c r="B45" s="54"/>
      <c r="C45" s="53"/>
      <c r="D45" s="53"/>
      <c r="E45" s="53"/>
      <c r="F45" s="53"/>
      <c r="G45" s="53"/>
      <c r="H45" s="53"/>
      <c r="I45" s="53"/>
      <c r="J45" s="53"/>
      <c r="K45" s="53"/>
      <c r="L45" s="53"/>
      <c r="M45" s="53"/>
      <c r="N45" s="53"/>
      <c r="O45" s="53"/>
      <c r="P45" s="53"/>
      <c r="Q45" s="53"/>
      <c r="R45" s="53"/>
    </row>
    <row r="46" spans="1:18" ht="15" x14ac:dyDescent="0.2">
      <c r="A46" s="24" t="s">
        <v>160</v>
      </c>
      <c r="B46" s="54"/>
      <c r="C46" s="53"/>
      <c r="D46" s="53"/>
      <c r="E46" s="53"/>
      <c r="F46" s="53"/>
      <c r="G46" s="53"/>
      <c r="H46" s="53"/>
      <c r="I46" s="53"/>
      <c r="J46" s="53"/>
      <c r="K46" s="53"/>
      <c r="L46" s="53"/>
      <c r="M46" s="53"/>
      <c r="N46" s="53"/>
      <c r="O46" s="53"/>
      <c r="P46" s="53"/>
      <c r="Q46" s="53"/>
      <c r="R46" s="53"/>
    </row>
    <row r="47" spans="1:18" ht="15" x14ac:dyDescent="0.2">
      <c r="A47" s="24" t="s">
        <v>119</v>
      </c>
      <c r="B47" s="54"/>
      <c r="C47" s="53"/>
      <c r="D47" s="53"/>
      <c r="E47" s="53"/>
      <c r="F47" s="53"/>
      <c r="G47" s="53"/>
      <c r="H47" s="53"/>
      <c r="I47" s="53"/>
      <c r="J47" s="53"/>
      <c r="K47" s="53"/>
      <c r="L47" s="53"/>
      <c r="M47" s="53"/>
      <c r="N47" s="53"/>
      <c r="O47" s="53"/>
      <c r="P47" s="53"/>
      <c r="Q47" s="53"/>
      <c r="R47" s="53"/>
    </row>
    <row r="48" spans="1:18" ht="15" x14ac:dyDescent="0.2">
      <c r="A48" s="24"/>
      <c r="B48" s="54"/>
      <c r="C48" s="53"/>
      <c r="D48" s="53"/>
      <c r="E48" s="53"/>
      <c r="F48" s="53"/>
      <c r="G48" s="53"/>
      <c r="H48" s="53"/>
      <c r="I48" s="53"/>
      <c r="J48" s="53"/>
      <c r="K48" s="53"/>
      <c r="L48" s="53"/>
      <c r="M48" s="53"/>
      <c r="N48" s="53"/>
      <c r="O48" s="53"/>
      <c r="P48" s="53"/>
      <c r="Q48" s="53"/>
      <c r="R48" s="53"/>
    </row>
    <row r="49" spans="1:18" ht="15" x14ac:dyDescent="0.2">
      <c r="A49" s="24" t="s">
        <v>121</v>
      </c>
      <c r="B49" s="54"/>
      <c r="C49" s="53"/>
      <c r="D49" s="53"/>
      <c r="E49" s="53"/>
      <c r="F49" s="53"/>
      <c r="G49" s="53"/>
      <c r="H49" s="53"/>
      <c r="I49" s="53"/>
      <c r="J49" s="53"/>
      <c r="K49" s="53"/>
      <c r="L49" s="53"/>
      <c r="M49" s="53"/>
      <c r="N49" s="53"/>
      <c r="O49" s="53"/>
      <c r="P49" s="53"/>
      <c r="Q49" s="53"/>
      <c r="R49" s="53"/>
    </row>
    <row r="50" spans="1:18" ht="15" x14ac:dyDescent="0.2">
      <c r="A50" s="24" t="s">
        <v>120</v>
      </c>
      <c r="B50" s="54"/>
      <c r="C50" s="53"/>
      <c r="D50" s="53"/>
      <c r="E50" s="53"/>
      <c r="F50" s="53"/>
      <c r="G50" s="53"/>
      <c r="H50" s="53"/>
      <c r="I50" s="53"/>
      <c r="J50" s="53"/>
      <c r="K50" s="53"/>
      <c r="L50" s="53"/>
      <c r="M50" s="53"/>
      <c r="N50" s="53"/>
      <c r="O50" s="53"/>
      <c r="P50" s="53"/>
      <c r="Q50" s="53"/>
      <c r="R50" s="53"/>
    </row>
    <row r="51" spans="1:18" ht="15" x14ac:dyDescent="0.2">
      <c r="A51" s="24"/>
      <c r="B51" s="53"/>
      <c r="C51" s="53"/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</row>
    <row r="52" spans="1:18" ht="15" x14ac:dyDescent="0.2">
      <c r="A52" s="24"/>
      <c r="B52" s="53"/>
      <c r="C52" s="53"/>
      <c r="D52" s="53"/>
      <c r="E52" s="53"/>
      <c r="F52" s="53"/>
      <c r="G52" s="53"/>
      <c r="H52" s="53"/>
      <c r="I52" s="53"/>
      <c r="J52" s="53"/>
      <c r="K52" s="53"/>
      <c r="L52" s="53"/>
      <c r="M52" s="53"/>
      <c r="N52" s="53"/>
      <c r="O52" s="53"/>
      <c r="P52" s="53"/>
      <c r="Q52" s="53"/>
      <c r="R52" s="53"/>
    </row>
    <row r="53" spans="1:18" ht="15" x14ac:dyDescent="0.2">
      <c r="A53" s="24"/>
      <c r="B53" s="53"/>
      <c r="C53" s="53"/>
      <c r="D53" s="53"/>
      <c r="E53" s="53"/>
      <c r="F53" s="53"/>
      <c r="G53" s="53"/>
      <c r="H53" s="53"/>
      <c r="I53" s="53"/>
      <c r="J53" s="53"/>
      <c r="K53" s="53"/>
      <c r="L53" s="53"/>
      <c r="M53" s="53"/>
      <c r="N53" s="53"/>
      <c r="O53" s="53"/>
      <c r="P53" s="53"/>
      <c r="Q53" s="53"/>
      <c r="R53" s="53"/>
    </row>
    <row r="54" spans="1:18" ht="15" x14ac:dyDescent="0.2">
      <c r="A54" s="24"/>
      <c r="B54" s="53" t="s">
        <v>125</v>
      </c>
      <c r="C54" s="53"/>
      <c r="D54" s="53"/>
      <c r="E54" s="53"/>
      <c r="F54" s="53"/>
      <c r="G54" s="53"/>
      <c r="H54" s="53"/>
      <c r="I54" s="53"/>
      <c r="J54" s="53"/>
      <c r="K54" s="53"/>
      <c r="L54" s="53"/>
      <c r="M54" s="53"/>
      <c r="N54" s="53"/>
      <c r="O54" s="53"/>
      <c r="P54" s="53"/>
      <c r="Q54" s="53"/>
      <c r="R54" s="53"/>
    </row>
    <row r="55" spans="1:18" ht="15" x14ac:dyDescent="0.2">
      <c r="A55" s="24"/>
      <c r="B55" s="53"/>
      <c r="C55" s="53" t="s">
        <v>129</v>
      </c>
      <c r="D55" s="53"/>
      <c r="E55" s="53"/>
      <c r="F55" s="53"/>
      <c r="G55" s="53"/>
      <c r="H55" s="53"/>
      <c r="I55" s="53"/>
      <c r="J55" s="53"/>
      <c r="K55" s="53"/>
      <c r="L55" s="53"/>
      <c r="M55" s="53"/>
      <c r="N55" s="53"/>
      <c r="O55" s="53"/>
      <c r="P55" s="53"/>
      <c r="Q55" s="53"/>
      <c r="R55" s="53"/>
    </row>
    <row r="56" spans="1:18" ht="15" x14ac:dyDescent="0.2">
      <c r="A56" s="24"/>
      <c r="B56" s="53"/>
      <c r="C56" s="53"/>
      <c r="D56" s="53" t="s">
        <v>130</v>
      </c>
      <c r="E56" s="53"/>
      <c r="F56" s="53"/>
      <c r="G56" s="53"/>
      <c r="H56" s="53"/>
      <c r="I56" s="53"/>
      <c r="J56" s="53"/>
      <c r="K56" s="53"/>
      <c r="L56" s="53"/>
      <c r="M56" s="53"/>
      <c r="N56" s="53"/>
      <c r="O56" s="53"/>
      <c r="P56" s="53"/>
      <c r="Q56" s="53"/>
      <c r="R56" s="53"/>
    </row>
    <row r="57" spans="1:18" ht="15" x14ac:dyDescent="0.2">
      <c r="A57" s="24"/>
      <c r="B57" s="53"/>
      <c r="C57" s="53"/>
      <c r="D57" s="53" t="s">
        <v>131</v>
      </c>
      <c r="E57" s="53"/>
      <c r="F57" s="53"/>
      <c r="G57" s="53"/>
      <c r="H57" s="53"/>
      <c r="I57" s="53"/>
      <c r="J57" s="53"/>
      <c r="K57" s="53"/>
      <c r="L57" s="53"/>
      <c r="M57" s="53"/>
      <c r="N57" s="53"/>
      <c r="O57" s="53"/>
      <c r="P57" s="53"/>
      <c r="Q57" s="53"/>
      <c r="R57" s="53"/>
    </row>
    <row r="58" spans="1:18" ht="15" x14ac:dyDescent="0.2">
      <c r="A58" s="24"/>
      <c r="B58" s="53"/>
      <c r="C58" s="53" t="s">
        <v>132</v>
      </c>
      <c r="D58" s="53"/>
      <c r="E58" s="53"/>
      <c r="F58" s="53"/>
      <c r="G58" s="53"/>
      <c r="H58" s="53"/>
      <c r="I58" s="53"/>
      <c r="J58" s="53"/>
      <c r="K58" s="53"/>
      <c r="L58" s="53"/>
      <c r="M58" s="53"/>
      <c r="N58" s="53"/>
      <c r="O58" s="53"/>
      <c r="P58" s="53"/>
      <c r="Q58" s="53"/>
      <c r="R58" s="53"/>
    </row>
    <row r="59" spans="1:18" ht="15" x14ac:dyDescent="0.2">
      <c r="A59" s="24"/>
      <c r="B59" s="53"/>
      <c r="C59" s="53"/>
      <c r="D59" s="53"/>
      <c r="E59" s="53"/>
      <c r="F59" s="53"/>
      <c r="G59" s="53"/>
      <c r="H59" s="53"/>
      <c r="I59" s="53"/>
      <c r="J59" s="53"/>
      <c r="K59" s="53"/>
      <c r="L59" s="53"/>
      <c r="M59" s="53"/>
      <c r="N59" s="53"/>
      <c r="O59" s="53"/>
      <c r="P59" s="53"/>
      <c r="Q59" s="53"/>
      <c r="R59" s="53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105</v>
      </c>
    </row>
    <row r="2" spans="1:1" x14ac:dyDescent="0.2">
      <c r="A2" t="s">
        <v>103</v>
      </c>
    </row>
    <row r="3" spans="1:1" x14ac:dyDescent="0.2">
      <c r="A3" t="s">
        <v>104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"/>
  <sheetViews>
    <sheetView topLeftCell="CF1" workbookViewId="0">
      <selection activeCell="CM2" sqref="CM2"/>
    </sheetView>
  </sheetViews>
  <sheetFormatPr baseColWidth="10" defaultColWidth="8.83203125" defaultRowHeight="1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"/>
  <sheetViews>
    <sheetView topLeftCell="CC1" workbookViewId="0">
      <selection activeCell="CR2" sqref="CR2"/>
    </sheetView>
  </sheetViews>
  <sheetFormatPr baseColWidth="10" defaultColWidth="8.83203125" defaultRowHeight="1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2022-09-14T20:01:07Z</dcterms:modified>
</cp:coreProperties>
</file>