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2-col_non-isothermal_no_axial_pressure_drop\1_simulation_inputs\"/>
    </mc:Choice>
  </mc:AlternateContent>
  <xr:revisionPtr revIDLastSave="0" documentId="13_ncr:1_{8B6C70CD-1EF8-46D4-A031-F5AC2875FAE6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44" l="1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3" i="43" a="1"/>
  <c r="I13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<sst xmlns="http://schemas.openxmlformats.org/spreadsheetml/2006/main" count="340" uniqueCount="153">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</sst>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102" dataDxfId="100" headerRowBorderDxfId="101" tableBorderDxfId="99" totalsRowBorderDxfId="98">
  <autoFilter ref="A8:J11" xr:uid="{B089C5C3-2CCE-4800-96CA-2131BB6E3E4F}"/>
  <tableColumns count="10">
    <tableColumn id="1" xr3:uid="{01DA0223-22CE-CB4E-9C47-1047FC8A078F}" name="Variable" dataDxfId="97"/>
    <tableColumn id="4" xr3:uid="{110051F6-3772-A341-9694-7D507809966D}" name="Value" dataDxfId="96"/>
    <tableColumn id="5" xr3:uid="{28A9A765-BB6C-1F4D-B83A-3F0DF09B60A5}" name="Unit" dataDxfId="95"/>
    <tableColumn id="6" xr3:uid="{D749D5D3-E113-0E44-ADF2-A62ECDA49D26}" name="Comparisons" dataDxfId="94"/>
    <tableColumn id="7" xr3:uid="{5E3ABE4C-42C0-D042-94C1-90F16FB3EE78}" name="Variable Type" dataDxfId="93"/>
    <tableColumn id="8" xr3:uid="{7A3DFEE5-7571-1D4F-82D9-2EA2D749032E}" name="Dependency" dataDxfId="92"/>
    <tableColumn id="12" xr3:uid="{2812E4DB-5B84-3049-9318-1F1305A00F4E}" name="Test 1" dataDxfId="91"/>
    <tableColumn id="10" xr3:uid="{76346A87-EAD5-A449-81A6-627159FF804B}" name="Test 2" dataDxfId="90"/>
    <tableColumn id="2" xr3:uid="{FCB7C8A7-1F69-8D4F-9A22-DEFF7CE28A77}" name="Test 3" dataDxfId="89"/>
    <tableColumn id="9" xr3:uid="{5FBD1044-5112-184F-873E-D3AF026E12E8}" name="Description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87" dataDxfId="85" headerRowBorderDxfId="86" tableBorderDxfId="84" totalsRowBorderDxfId="83">
  <autoFilter ref="A8:J12" xr:uid="{B089C5C3-2CCE-4800-96CA-2131BB6E3E4F}"/>
  <tableColumns count="10">
    <tableColumn id="1" xr3:uid="{EB070D1A-267D-FC4E-86FA-AB6400FB112F}" name="Variable" dataDxfId="82"/>
    <tableColumn id="4" xr3:uid="{6BA1C583-FB05-7A40-9383-4EE3D7EBB5A6}" name="Value" dataDxfId="81"/>
    <tableColumn id="5" xr3:uid="{8E37F76F-9A12-F34E-9CC2-95A754375792}" name="Unit" dataDxfId="80"/>
    <tableColumn id="6" xr3:uid="{7D44E20B-F716-7A42-A266-3EC48E78C0BB}" name="Comparisons" dataDxfId="79"/>
    <tableColumn id="7" xr3:uid="{ED87C482-6AF6-F24B-ADC4-B7D1E2FA62B5}" name="Variable Type" dataDxfId="78"/>
    <tableColumn id="8" xr3:uid="{AF4C12D0-D409-4C40-A0CB-670FFF5D7D14}" name="Dependency" dataDxfId="77"/>
    <tableColumn id="12" xr3:uid="{E4463107-7A12-8843-AA11-7F3315B04820}" name="Test 1" dataDxfId="76"/>
    <tableColumn id="10" xr3:uid="{952C86A5-160A-6B44-92F4-DA9050108B20}" name="Test 2" dataDxfId="75"/>
    <tableColumn id="2" xr3:uid="{94373CB7-B657-BC41-A812-5EE2BC744030}" name="Test 3" dataDxfId="74"/>
    <tableColumn id="9" xr3:uid="{CCDF193B-8D61-CC44-8377-03024848C399}" name="Description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72" dataDxfId="70" headerRowBorderDxfId="71" tableBorderDxfId="69" totalsRowBorderDxfId="68">
  <autoFilter ref="A8:J11" xr:uid="{B089C5C3-2CCE-4800-96CA-2131BB6E3E4F}"/>
  <tableColumns count="10">
    <tableColumn id="1" xr3:uid="{732501C0-E026-284D-B155-9A33B2B17600}" name="Variable" dataDxfId="67"/>
    <tableColumn id="4" xr3:uid="{CB111A13-20F0-9247-A014-A93122AA9E1C}" name="Value" dataDxfId="66"/>
    <tableColumn id="5" xr3:uid="{ED2D8929-C2F5-374F-B8C9-4B3472CD90F4}" name="Unit" dataDxfId="65"/>
    <tableColumn id="6" xr3:uid="{198489CA-F45F-7646-81E3-E760607C7908}" name="Comparisons" dataDxfId="64"/>
    <tableColumn id="7" xr3:uid="{DD70562F-3B71-254A-8B18-3EE4CB0322EF}" name="Variable Type" dataDxfId="63"/>
    <tableColumn id="8" xr3:uid="{E9A76945-4B8A-2D47-866C-77B1639DE62B}" name="Dependency" dataDxfId="62"/>
    <tableColumn id="12" xr3:uid="{F70FC7F1-1958-E74C-846F-D01FE0A82638}" name="Test 1" dataDxfId="61"/>
    <tableColumn id="10" xr3:uid="{62D2D5D5-C9D1-BE42-8772-B460D2095377}" name="Test 2" dataDxfId="60"/>
    <tableColumn id="2" xr3:uid="{B86B77BE-9293-DC45-96B3-E49A6C6240F0}" name="Test 3" dataDxfId="59"/>
    <tableColumn id="9" xr3:uid="{1526814F-49FB-AA4E-B917-7CCB80188409}" name="Description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7" dataDxfId="55" headerRowBorderDxfId="56" tableBorderDxfId="54" totalsRowBorderDxfId="53">
  <autoFilter ref="A8:J16" xr:uid="{B089C5C3-2CCE-4800-96CA-2131BB6E3E4F}"/>
  <tableColumns count="10">
    <tableColumn id="1" xr3:uid="{649A7866-80DF-41E6-B30C-D79515D3A794}" name="Variable" dataDxfId="52"/>
    <tableColumn id="4" xr3:uid="{1B7C9099-8547-4DD7-A9E2-B725774B3278}" name="Value" dataDxfId="51"/>
    <tableColumn id="5" xr3:uid="{DE8E51CF-F39A-49BE-8ADB-006A27BF49D1}" name="Unit" dataDxfId="50"/>
    <tableColumn id="6" xr3:uid="{1E18E5A8-84AE-4BCE-A03C-6EB014B6C0A8}" name="Comparisons" dataDxfId="49"/>
    <tableColumn id="7" xr3:uid="{27BDE7AA-390E-4E0E-B228-55927BB9787E}" name="Variable Type" dataDxfId="48"/>
    <tableColumn id="8" xr3:uid="{01F08440-7AF0-4C09-89BF-A8CA2A509379}" name="Dependency" dataDxfId="47"/>
    <tableColumn id="12" xr3:uid="{A8F75C8D-4415-418C-8B4C-053532C2C537}" name="Test 1" dataDxfId="46"/>
    <tableColumn id="10" xr3:uid="{C8785F39-41F6-4DF0-A4EE-89820B845800}" name="Test 2" dataDxfId="45"/>
    <tableColumn id="2" xr3:uid="{FEF9A6BC-BB9A-4929-BA3A-474EB9BB7CF1}" name="Test 3" dataDxfId="44"/>
    <tableColumn id="9" xr3:uid="{99B9FDBF-9DA8-4356-865C-410432D0F6B7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42" dataDxfId="40" headerRowBorderDxfId="41" tableBorderDxfId="39" totalsRowBorderDxfId="38">
  <autoFilter ref="A8:J13" xr:uid="{B089C5C3-2CCE-4800-96CA-2131BB6E3E4F}"/>
  <tableColumns count="10">
    <tableColumn id="1" xr3:uid="{3E862B60-96F3-4457-8596-3DCA37BD39D6}" name="Variable" dataDxfId="37"/>
    <tableColumn id="4" xr3:uid="{664B7B39-0A9C-4666-8675-DB2C0B5C05DC}" name="Value" dataDxfId="36"/>
    <tableColumn id="5" xr3:uid="{0D5B0BC8-30B6-4778-A5F9-DAE48CF1B50B}" name="Unit" dataDxfId="35"/>
    <tableColumn id="6" xr3:uid="{EB5AFC2B-0570-478F-900A-245CE1E2ACC4}" name="Comparisons" dataDxfId="34"/>
    <tableColumn id="7" xr3:uid="{DD0B2A4A-5D8A-4AC0-8DD1-DDC1EE553BCC}" name="Variable Type" dataDxfId="33"/>
    <tableColumn id="8" xr3:uid="{4715F5BD-270D-4CA4-A95C-8CF1A5273635}" name="Dependency" dataDxfId="32"/>
    <tableColumn id="12" xr3:uid="{5B091011-3849-4251-9869-40293301771A}" name="Test 1" dataDxfId="31"/>
    <tableColumn id="10" xr3:uid="{794FDB6F-AB9D-42B3-A19B-E1E54E1B62D6}" name="Test 2" dataDxfId="30"/>
    <tableColumn id="2" xr3:uid="{1750D95A-F5C8-483F-95EC-EDCC8913D886}" name="Test 3" dataDxfId="29"/>
    <tableColumn id="9" xr3:uid="{443478B3-66F2-447E-9CA5-5D827478F1B2}" name="Description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152</v>
      </c>
    </row>
    <row r="10" spans="1:10" ht="259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o7GKP1oVOsWmQVSM3XldQmMbXICsoGbsIK+6H7PoicVP5L5YJafvEsgaIwdImJkCwf1UOb7yCbrhAmDjQDM/Dg==" saltValue="6pF3s5unY/1LsTrVeRlGbw==" spinCount="100000" sheet="1" objects="1" scenarios="1" selectLockedCells="1"/>
  <mergeCells count="2">
    <mergeCell ref="A2:J2"/>
    <mergeCell ref="J3:J7"/>
  </mergeCells>
  <conditionalFormatting sqref="B9:B11">
    <cfRule type="expression" dxfId="27" priority="1">
      <formula>IF(AND($B9&lt;&gt;"",$I9=0),1,0)</formula>
    </cfRule>
    <cfRule type="expression" dxfId="26" priority="2">
      <formula>IF($B9&lt;&gt;"",1,0)</formula>
    </cfRule>
    <cfRule type="expression" dxfId="25" priority="3">
      <formula>$I9=0</formula>
    </cfRule>
  </conditionalFormatting>
  <conditionalFormatting sqref="J3">
    <cfRule type="expression" dxfId="24" priority="2419">
      <formula>IF(COUNTA($B$9:$B$11)&lt;&gt;COUNTIF($I$9:$I$11,1),1,0)</formula>
    </cfRule>
    <cfRule type="expression" dxfId="23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QCHnhyNFxiZrpViiDU7ZSsQ2CDcb/aWNcRzRbNjkuxLsUXGtOeaZFKbOw4DEGY6M512aO+WyGcFsu20qSgolrQ==" saltValue="fXmSgtXt1OwHArestZ/9rQ==" spinCount="100000" sheet="1" objects="1" scenarios="1" selectLockedCells="1"/>
  <mergeCells count="2">
    <mergeCell ref="A2:J2"/>
    <mergeCell ref="J3:J7"/>
  </mergeCells>
  <conditionalFormatting sqref="B9:B12">
    <cfRule type="expression" dxfId="22" priority="1">
      <formula>IF(AND($B9&lt;&gt;"",$I9=0),1,0)</formula>
    </cfRule>
    <cfRule type="expression" dxfId="21" priority="2">
      <formula>IF($B9&lt;&gt;"",1,0)</formula>
    </cfRule>
    <cfRule type="expression" dxfId="20" priority="3">
      <formula>$I9=0</formula>
    </cfRule>
  </conditionalFormatting>
  <conditionalFormatting sqref="J3">
    <cfRule type="expression" dxfId="1" priority="2440">
      <formula>IF(COUNTA($B$9:$B$12)&lt;&gt;COUNTIF($I$9:$I$12,1),1,0)</formula>
    </cfRule>
    <cfRule type="expression" dxfId="0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uPRBY8XEQ2n7/my3tVnVZy971tgo7U+KaHwG1PeRM6fmeRRiZzf8s4mrBS5OiCkAXXUyYXmVnpcluq3/KD+PhQ==" saltValue="hzu/1PKufzreC/nqVA5gAw==" spinCount="100000" sheet="1" objects="1" scenarios="1" selectLockedCells="1"/>
  <mergeCells count="2">
    <mergeCell ref="A2:J2"/>
    <mergeCell ref="J3:J7"/>
  </mergeCells>
  <conditionalFormatting sqref="B11">
    <cfRule type="expression" dxfId="19" priority="4">
      <formula>IF(AND($B11&lt;&gt;"",$I11=0),1,0)</formula>
    </cfRule>
    <cfRule type="expression" dxfId="18" priority="5">
      <formula>IF($B11&lt;&gt;"",1,0)</formula>
    </cfRule>
    <cfRule type="expression" dxfId="17" priority="6">
      <formula>$I11=0</formula>
    </cfRule>
  </conditionalFormatting>
  <conditionalFormatting sqref="B9:B10">
    <cfRule type="expression" dxfId="16" priority="1">
      <formula>IF(AND($B9&lt;&gt;"",$I9=0),1,0)</formula>
    </cfRule>
    <cfRule type="expression" dxfId="15" priority="2">
      <formula>IF($B9&lt;&gt;"",1,0)</formula>
    </cfRule>
    <cfRule type="expression" dxfId="14" priority="3">
      <formula>$I9=0</formula>
    </cfRule>
  </conditionalFormatting>
  <conditionalFormatting sqref="J3">
    <cfRule type="expression" dxfId="13" priority="2432">
      <formula>IF(COUNTA($B$9:$B$11)&lt;&gt;COUNTIF($I$9:$I$11,1),1,0)</formula>
    </cfRule>
    <cfRule type="expression" dxfId="12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Not 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>
        <v>3.1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>
        <v>0.47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gSs86t2PkyjfLT6cdfgpjuWNF5F6j/XN92AkuSDK8BmKyFIv1cT5PG4U9Q5seyO99YzleWcLD5prB+xMJXtlng==" saltValue="JE67Wep0FfCoJhzi7n2pgw==" spinCount="100000" sheet="1" objects="1" scenarios="1" selectLockedCells="1"/>
  <mergeCells count="2">
    <mergeCell ref="A2:J2"/>
    <mergeCell ref="J3:J7"/>
  </mergeCells>
  <conditionalFormatting sqref="B9:B16">
    <cfRule type="expression" dxfId="11" priority="7">
      <formula>IF(AND($B9&lt;&gt;"",$I9=0),1,0)</formula>
    </cfRule>
    <cfRule type="expression" dxfId="10" priority="8">
      <formula>IF($B9&lt;&gt;"",1,0)</formula>
    </cfRule>
    <cfRule type="expression" dxfId="9" priority="9">
      <formula>$I9=0</formula>
    </cfRule>
  </conditionalFormatting>
  <conditionalFormatting sqref="J3">
    <cfRule type="expression" dxfId="8" priority="2411">
      <formula>IF(COUNTA($B$9:$B$16)&lt;&gt;COUNTIF($I$9:$I$16,1),1,0)</formula>
    </cfRule>
    <cfRule type="expression" dxfId="7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28.8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6" priority="1">
      <formula>IF(AND($B9&lt;&gt;"",$I9=0),1,0)</formula>
    </cfRule>
    <cfRule type="expression" dxfId="5" priority="2">
      <formula>IF($B9&lt;&gt;"",1,0)</formula>
    </cfRule>
    <cfRule type="expression" dxfId="4" priority="3">
      <formula>$I9=0</formula>
    </cfRule>
  </conditionalFormatting>
  <conditionalFormatting sqref="J3">
    <cfRule type="expression" dxfId="3" priority="2291">
      <formula>IF(COUNTA($B$9:$B$13)&lt;&gt;COUNTIF($I$9:$I$13,1),1,0)</formula>
    </cfRule>
    <cfRule type="expression" dxfId="2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topLeftCell="CF1" workbookViewId="0">
      <selection activeCell="CM2" sqref="CM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3.1</v>
      </c>
      <c r="M2">
        <v>3.0856051519999999</v>
      </c>
      <c r="N2">
        <v>0.47649581499999999</v>
      </c>
      <c r="O2">
        <v>0.47</v>
      </c>
      <c r="P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2022-10-03T17:05:10Z</dcterms:modified>
</cp:coreProperties>
</file>