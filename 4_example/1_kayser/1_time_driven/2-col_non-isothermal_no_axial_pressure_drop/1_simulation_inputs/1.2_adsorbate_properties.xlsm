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B81E84AA-502E-7A4B-8D03-623492BEB788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3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Initialization!$A$9:$J$10</definedName>
    <definedName name="_xlnm._FilterDatabase" localSheetId="3" hidden="1">'Physical Properties'!$A$9:$J$9</definedName>
    <definedName name="_xlnm._FilterDatabase" localSheetId="4" hidden="1">'Thermodynamic Properties'!$A$9:$J$9</definedName>
    <definedName name="_xlnm.Print_Area" localSheetId="2">Initialization!$A$2:$J$13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7" i="44" l="1"/>
  <c r="H16" i="44"/>
  <c r="H15" i="44"/>
  <c r="H14" i="44"/>
  <c r="H13" i="44"/>
  <c r="H12" i="44"/>
  <c r="H11" i="44"/>
  <c r="H10" i="44"/>
  <c r="J4" i="44"/>
  <c r="J2" i="44"/>
  <c r="A2" i="44"/>
  <c r="H11" i="43" l="1"/>
  <c r="H10" i="43"/>
  <c r="J4" i="43"/>
  <c r="J2" i="43"/>
  <c r="A2" i="43"/>
  <c r="H12" i="40"/>
  <c r="H11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tc={929E74D4-E828-45A7-B400-EB49F90082D7}</author>
    <author>tc={5CF684AC-E434-4C54-AB68-3C5C687E62EA}</author>
    <author>tc={17D4D9AE-2BE9-4366-9717-B638233BD7B8}</author>
  </authors>
  <commentList>
    <comment ref="G9" authorId="0" shapeId="0" xr:uid="{929E74D4-E828-45A7-B400-EB49F90082D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CF684AC-E434-4C54-AB68-3C5C687E62EA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7D4D9AE-2BE9-4366-9717-B638233BD7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<sst xmlns="http://schemas.openxmlformats.org/spreadsheetml/2006/main" count="278" uniqueCount="138">
  <si>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</si>
  <si>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</si>
  <si>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</si>
  <si>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</si>
  <si>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</si>
  <si>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</si>
  <si>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</si>
  <si>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</si>
  <si>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</si>
  <si>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</si>
  <si>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</si>
  <si>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</si>
  <si>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</si>
  <si>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</si>
  <si>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</si>
  <si>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</si>
  <si>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</si>
  <si>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</si>
  <si>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</si>
  <si>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</si>
  <si>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</si>
  <si>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</si>
  <si>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</si>
  <si>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</si>
  <si>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</si>
  <si>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</si>
  <si>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</si>
  <si>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</si>
  <si>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</si>
  <si>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</si>
  <si>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</si>
  <si>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</si>
  <si>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</si>
  <si>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</si>
  <si>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</si>
  <si>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</si>
  <si>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</si>
  <si>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</si>
  <si>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</si>
  <si>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</si>
  <si>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</si>
  <si>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</si>
  <si>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</si>
  <si>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</si>
  <si>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</si>
  <si>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</si>
  <si>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</si>
  <si>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</si>
  <si>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</si>
  <si>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</si>
  <si>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</si>
  <si>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</si>
  <si>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</si>
  <si>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</si>
  <si>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</si>
  <si>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</si>
  <si>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</si>
  <si>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</si>
  <si>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</si>
  <si>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</si>
  <si>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</si>
  <si>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</si>
  <si>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</si>
  <si>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</si>
  <si>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</si>
  <si>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</si>
  <si>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</si>
  <si>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The number of components to be modeled in the system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</si>
  <si>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</si>
  <si>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</si>
  <si>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</si>
  <si>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</si>
  <si>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</si>
  <si>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</si>
  <si>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</si>
  <si>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</si>
  <si>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</si>
  <si>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</si>
  <si>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</si>
  <si>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</si>
  <si>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</si>
  <si>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</si>
  <si>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</si>
  <si>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</si>
  <si>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</si>
  <si>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</si>
  <si>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</si>
  <si>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</si>
  <si>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</si>
  <si>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</si>
  <si>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</si>
  <si>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</si>
  <si>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</si>
  <si>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</si>
  <si>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</si>
  <si>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</si>
  <si>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</si>
  <si>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</si>
  <si>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the isosteric heat of component i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</si>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</sst>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5" name="Button 1" hidden="1">
                <a:extLst>
                  <a:ext uri="{63B3BB69-23CF-44E3-9099-C40C66FF867C}">
                    <a14:compatExt spid="_x0000_s93185"/>
                  </a:ext>
                  <a:ext uri="{FF2B5EF4-FFF2-40B4-BE49-F238E27FC236}">
                    <a16:creationId xmlns:a16="http://schemas.microsoft.com/office/drawing/2014/main" id="{00000000-0008-0000-0300-0000016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6" name="Button 2" hidden="1">
                <a:extLst>
                  <a:ext uri="{63B3BB69-23CF-44E3-9099-C40C66FF867C}">
                    <a14:compatExt spid="_x0000_s93186"/>
                  </a:ext>
                  <a:ext uri="{FF2B5EF4-FFF2-40B4-BE49-F238E27FC236}">
                    <a16:creationId xmlns:a16="http://schemas.microsoft.com/office/drawing/2014/main" id="{00000000-0008-0000-0300-0000026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3187" name="Button 3" hidden="1">
                <a:extLst>
                  <a:ext uri="{63B3BB69-23CF-44E3-9099-C40C66FF867C}">
                    <a14:compatExt spid="_x0000_s93187"/>
                  </a:ext>
                  <a:ext uri="{FF2B5EF4-FFF2-40B4-BE49-F238E27FC236}">
                    <a16:creationId xmlns:a16="http://schemas.microsoft.com/office/drawing/2014/main" id="{00000000-0008-0000-0300-0000036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3" totalsRowShown="0" headerRowDxfId="87" dataDxfId="85" headerRowBorderDxfId="86" tableBorderDxfId="84" totalsRowBorderDxfId="83">
  <autoFilter ref="A9:J13" xr:uid="{B089C5C3-2CCE-4800-96CA-2131BB6E3E4F}"/>
  <tableColumns count="10">
    <tableColumn id="1" xr3:uid="{F0083DBC-BA3F-499A-AB41-58DC14E7EC9B}" name="Variable" dataDxfId="82"/>
    <tableColumn id="4" xr3:uid="{2D9C78CB-0A98-4E06-A17A-328F6643A2AB}" name="Value" dataDxfId="81"/>
    <tableColumn id="5" xr3:uid="{2D40A785-0BF0-4D20-A6A3-606AF3EAEA1D}" name="Unit" dataDxfId="80"/>
    <tableColumn id="6" xr3:uid="{47E47CE1-84EE-4BBF-AF16-7CD09E32C8D5}" name="Comparisons" dataDxfId="79"/>
    <tableColumn id="7" xr3:uid="{1E01755C-F10B-47AF-87D2-261FE9E5C304}" name="Variable Type" dataDxfId="78"/>
    <tableColumn id="8" xr3:uid="{A1508BC9-F251-4C78-AFE1-9780568F4570}" name="Dependency" dataDxfId="77"/>
    <tableColumn id="12" xr3:uid="{483B9187-B663-438A-A6C2-F92DD2C5981E}" name="Test 1" dataDxfId="76"/>
    <tableColumn id="10" xr3:uid="{B0989B53-E4FA-42D2-AC40-B81EF1952308}" name="Test 2" dataDxfId="75"/>
    <tableColumn id="2" xr3:uid="{3B51E6F8-78E0-4FDA-AE7D-0D8F50BB7A78}" name="Test 3" dataDxfId="74"/>
    <tableColumn id="9" xr3:uid="{87AE414E-FFE1-4067-A57C-04659EEE8430}" name="Description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F7B40-1AA3-41AC-A704-E9A2EA4B6DA9}" name="Table11082" displayName="Table11082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F761A014-5898-43B6-8962-5ADEAF531B15}" name="Variable" dataDxfId="56"/>
    <tableColumn id="4" xr3:uid="{092E9EC3-F229-4DDA-82A4-FEF727B01BBA}" name="Value" dataDxfId="55"/>
    <tableColumn id="5" xr3:uid="{DAA389FF-E9F8-46C7-B424-26EA71476045}" name="Unit" dataDxfId="54"/>
    <tableColumn id="6" xr3:uid="{B5C6175F-B0F2-4572-95FE-CC7E7F8A5C46}" name="Comparisons" dataDxfId="53"/>
    <tableColumn id="7" xr3:uid="{81EAB08F-9544-484F-A747-C71204EC7548}" name="Variable Type" dataDxfId="52"/>
    <tableColumn id="8" xr3:uid="{C85D126C-9B35-4517-868D-FC7A15E9F81E}" name="Dependency" dataDxfId="51"/>
    <tableColumn id="12" xr3:uid="{2D920673-EA96-443D-A8D6-73786BA4CE54}" name="Test 1" dataDxfId="50"/>
    <tableColumn id="10" xr3:uid="{4FEEF536-DBF7-444E-BD22-911521C38061}" name="Test 2" dataDxfId="49"/>
    <tableColumn id="2" xr3:uid="{866299F8-0E23-434D-9155-39F8FD7568A2}" name="Test 3" dataDxfId="48"/>
    <tableColumn id="9" xr3:uid="{52932718-A310-4ACC-9391-027634297042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929E74D4-E828-45A7-B400-EB49F90082D7}">
    <text>place 1 if we want to keep the row when re-initializing. Otherwise, leave it as a blank.</text>
  </threadedComment>
  <threadedComment ref="H9" dT="2020-11-26T18:35:03.27" personId="{7F98AE94-13FB-49E1-9262-339C11E0EDB4}" id="{5CF684AC-E434-4C54-AB68-3C5C687E62EA}">
    <text>supply a value greater than 1 if you want to duplicate the row</text>
  </threadedComment>
  <threadedComment ref="I9" dT="2020-11-28T01:53:47.29" personId="{7F98AE94-13FB-49E1-9262-339C11E0EDB4}" id="{17D4D9AE-2BE9-4366-9717-B638233BD7B8}">
    <text>1 means we need to have the variable specified; 0 means we need not have the variable specified</text>
  </threadedComment>
  <threadedComment ref="I9" dT="2020-11-28T01:56:42.32" personId="{7F98AE94-13FB-49E1-9262-339C11E0EDB4}" id="{84A66325-EC56-410D-9F90-7B5EAE1DD0CE}" parentId="{17D4D9AE-2BE9-4366-9717-B638233BD7B8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136</v>
      </c>
      <c r="E4" s="50"/>
      <c r="F4" s="51"/>
      <c r="G4" s="52"/>
      <c r="H4" s="52"/>
      <c r="I4" s="52"/>
      <c r="J4" s="36" t="s">
        <v>86</v>
      </c>
    </row>
    <row r="5" spans="4:10" ht="40" x14ac:dyDescent="0.2">
      <c r="D5" s="58" t="s">
        <v>36</v>
      </c>
      <c r="E5" s="58"/>
      <c r="F5" s="58"/>
      <c r="G5" s="58"/>
      <c r="H5" s="58"/>
      <c r="I5" s="58"/>
      <c r="J5" s="58"/>
    </row>
    <row r="6" spans="4:10" ht="20" x14ac:dyDescent="0.2">
      <c r="D6" s="46" t="s">
        <v>30</v>
      </c>
      <c r="E6" s="46" t="s">
        <v>130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135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133</v>
      </c>
      <c r="F8" s="39">
        <v>44818</v>
      </c>
      <c r="G8" s="37" t="s">
        <v>37</v>
      </c>
      <c r="H8" s="37"/>
      <c r="I8" s="37"/>
      <c r="J8" s="38"/>
    </row>
    <row r="9" spans="4:10" ht="19" x14ac:dyDescent="0.2">
      <c r="D9" s="37">
        <v>3</v>
      </c>
      <c r="E9" s="38"/>
      <c r="F9" s="39"/>
      <c r="G9" s="37"/>
      <c r="H9" s="37"/>
      <c r="I9" s="37"/>
      <c r="J9" s="38"/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93</v>
      </c>
      <c r="R1" t="s">
        <v>103</v>
      </c>
      <c r="S1" t="s">
        <v>104</v>
      </c>
      <c r="T1" t="s">
        <v>117</v>
      </c>
      <c r="U1" t="s">
        <v>118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119</v>
      </c>
    </row>
    <row r="4" spans="1:21" x14ac:dyDescent="0.2">
      <c r="A4" t="s">
        <v>83</v>
      </c>
      <c r="B4" t="s">
        <v>21</v>
      </c>
      <c r="C4" t="s">
        <v>43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120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121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122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123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124</v>
      </c>
    </row>
    <row r="9" spans="1:21" x14ac:dyDescent="0.2">
      <c r="B9" t="s">
        <v>91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125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115</v>
      </c>
    </row>
    <row r="12" spans="1:21" x14ac:dyDescent="0.2">
      <c r="B12" t="s">
        <v>92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116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67</v>
      </c>
    </row>
    <row r="11" spans="1:10" ht="32" x14ac:dyDescent="0.2">
      <c r="A11" s="4" t="s">
        <v>62</v>
      </c>
      <c r="B11" s="30" t="s">
        <v>69</v>
      </c>
      <c r="C11" s="2" t="s">
        <v>3</v>
      </c>
      <c r="D11" s="1" t="s">
        <v>22</v>
      </c>
      <c r="E11" s="1" t="s">
        <v>9</v>
      </c>
      <c r="F11" s="2" t="s">
        <v>5</v>
      </c>
      <c r="G11" s="1">
        <v>1</v>
      </c>
      <c r="H11" s="1">
        <f>Initialization!$B$10</f>
        <v>2</v>
      </c>
      <c r="I11" s="6">
        <v>1</v>
      </c>
      <c r="J11" s="5" t="s">
        <v>134</v>
      </c>
    </row>
    <row r="12" spans="1:10" ht="32" x14ac:dyDescent="0.2">
      <c r="A12" s="4" t="s">
        <v>63</v>
      </c>
      <c r="B12" s="30" t="s">
        <v>105</v>
      </c>
      <c r="C12" s="2" t="s">
        <v>3</v>
      </c>
      <c r="D12" s="1" t="s">
        <v>22</v>
      </c>
      <c r="E12" s="1" t="s">
        <v>9</v>
      </c>
      <c r="F12" s="2" t="s">
        <v>5</v>
      </c>
      <c r="G12" s="1"/>
      <c r="H12" s="1">
        <f>Initialization!$B$10</f>
        <v>2</v>
      </c>
      <c r="I12" s="6">
        <v>1</v>
      </c>
      <c r="J12" s="5" t="s">
        <v>134</v>
      </c>
    </row>
    <row r="13" spans="1:10" ht="16" x14ac:dyDescent="0.2">
      <c r="A13" s="8" t="s">
        <v>79</v>
      </c>
      <c r="B13" s="31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uU57JPL1jIMLQKhUJdyt5qQa3ddWgS/0xK022leBZktzg3+3CmVzRBISo5RM9FhEDrrFH0pBIWQR2UjwNl1NA==" saltValue="qCOY2u/HlLsr6812PaNHBQ==" spinCount="100000" sheet="1" objects="1" scenarios="1" selectLockedCells="1"/>
  <mergeCells count="2">
    <mergeCell ref="A3:J3"/>
    <mergeCell ref="J4:J8"/>
  </mergeCells>
  <conditionalFormatting sqref="B10 B13">
    <cfRule type="expression" dxfId="95" priority="7">
      <formula>IF(AND($B10&lt;&gt;"",$I10=0),1,0)</formula>
    </cfRule>
    <cfRule type="expression" dxfId="94" priority="8">
      <formula>IF($B10&lt;&gt;"",1,0)</formula>
    </cfRule>
    <cfRule type="expression" dxfId="93" priority="9">
      <formula>$I10=0</formula>
    </cfRule>
  </conditionalFormatting>
  <conditionalFormatting sqref="J4">
    <cfRule type="expression" dxfId="92" priority="59">
      <formula>IF(COUNTA($B$10:$B$13)&lt;&gt;COUNTIF($I$10:$I$13,1),1,0)</formula>
    </cfRule>
    <cfRule type="expression" dxfId="91" priority="60">
      <formula>IF(COUNTA($B$10:$B$13)=COUNTIF($I$10:$I$13,1),1,0)</formula>
    </cfRule>
  </conditionalFormatting>
  <conditionalFormatting sqref="B11:B12">
    <cfRule type="expression" dxfId="90" priority="1">
      <formula>IF(AND($B11&lt;&gt;"",$I11=0),1,0)</formula>
    </cfRule>
    <cfRule type="expression" dxfId="89" priority="2">
      <formula>IF($B11&lt;&gt;"",1,0)</formula>
    </cfRule>
    <cfRule type="expression" dxfId="8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F10:F13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D10:D13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3ADF9-A464-4A92-813E-AD8B9C56604F}">
  <sheetPr codeName="Sheet22">
    <tabColor rgb="FF00B050"/>
  </sheetPr>
  <dimension ref="A1:K12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7" t="s">
        <v>126</v>
      </c>
      <c r="B10" s="30">
        <v>16</v>
      </c>
      <c r="C10" s="32" t="s">
        <v>127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128</v>
      </c>
    </row>
    <row r="11" spans="1:10" ht="16" x14ac:dyDescent="0.2">
      <c r="A11" s="47" t="s">
        <v>129</v>
      </c>
      <c r="B11" s="30">
        <v>14</v>
      </c>
      <c r="C11" s="32" t="s">
        <v>127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128</v>
      </c>
    </row>
    <row r="12" spans="1:10" ht="16" x14ac:dyDescent="0.2">
      <c r="A12" s="8" t="s">
        <v>79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80</v>
      </c>
    </row>
  </sheetData>
  <sheetProtection algorithmName="SHA-512" hashValue="F4AHut1hWbihY8zLkVHKv5DGBCDnqg1dASJSJYr199HkZL6Uo5mck1040LhDiT1vMu8Zni5mdXRqIQMsOfiz/g==" saltValue="s47NSCDnkM9uGfB7/kKDhA==" spinCount="100000" sheet="1" objects="1" scenarios="1" selectLockedCells="1"/>
  <mergeCells count="2">
    <mergeCell ref="A3:J3"/>
    <mergeCell ref="J4:J8"/>
  </mergeCells>
  <conditionalFormatting sqref="B12">
    <cfRule type="expression" dxfId="72" priority="70">
      <formula>IF(AND($B12&lt;&gt;"",$I12=0),1,0)</formula>
    </cfRule>
    <cfRule type="expression" dxfId="71" priority="71">
      <formula>IF($B12&lt;&gt;"",1,0)</formula>
    </cfRule>
    <cfRule type="expression" dxfId="70" priority="72">
      <formula>$I12=0</formula>
    </cfRule>
  </conditionalFormatting>
  <conditionalFormatting sqref="B10">
    <cfRule type="expression" dxfId="69" priority="31">
      <formula>IF(AND($B10&lt;&gt;"",$I10=0),1,0)</formula>
    </cfRule>
    <cfRule type="expression" dxfId="68" priority="32">
      <formula>IF($B10&lt;&gt;"",1,0)</formula>
    </cfRule>
    <cfRule type="expression" dxfId="67" priority="33">
      <formula>$I10=0</formula>
    </cfRule>
  </conditionalFormatting>
  <conditionalFormatting sqref="B11">
    <cfRule type="expression" dxfId="66" priority="1">
      <formula>IF(AND($B11&lt;&gt;"",$I11=0),1,0)</formula>
    </cfRule>
    <cfRule type="expression" dxfId="65" priority="2">
      <formula>IF($B11&lt;&gt;"",1,0)</formula>
    </cfRule>
    <cfRule type="expression" dxfId="64" priority="3">
      <formula>$I11=0</formula>
    </cfRule>
  </conditionalFormatting>
  <conditionalFormatting sqref="J4">
    <cfRule type="expression" dxfId="63" priority="483">
      <formula>IF(COUNTA($B$10:$B$12)&lt;&gt;COUNTIF($I$10:$I$12,1),1,0)</formula>
    </cfRule>
    <cfRule type="expression" dxfId="62" priority="48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01DBF3-8D0D-4BCA-99B0-5D15ACD8947F}">
          <x14:formula1>
            <xm:f>Reference!$A$2:$A$8</xm:f>
          </x14:formula1>
          <xm:sqref>E10:E12</xm:sqref>
        </x14:dataValidation>
        <x14:dataValidation type="list" allowBlank="1" showInputMessage="1" showErrorMessage="1" xr:uid="{A4921C89-B3EA-4D7B-BAC3-164FE95120DE}">
          <x14:formula1>
            <xm:f>Reference!$B$2:$B$18</xm:f>
          </x14:formula1>
          <xm:sqref>D10:D12</xm:sqref>
        </x14:dataValidation>
        <x14:dataValidation type="list" allowBlank="1" showInputMessage="1" showErrorMessage="1" xr:uid="{7022346E-A8F2-4B1E-A19E-DABE09A7337F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59" t="s">
        <v>29</v>
      </c>
      <c r="B3" s="59"/>
      <c r="C3" s="59"/>
      <c r="D3" s="59"/>
      <c r="E3" s="59"/>
      <c r="F3" s="59"/>
      <c r="G3" s="59"/>
      <c r="H3" s="59"/>
      <c r="I3" s="59"/>
      <c r="J3" s="59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1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1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1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75</v>
      </c>
      <c r="J9" s="29" t="s">
        <v>12</v>
      </c>
    </row>
    <row r="10" spans="1:10" ht="16" x14ac:dyDescent="0.2">
      <c r="A10" s="4" t="s">
        <v>94</v>
      </c>
      <c r="B10" s="30">
        <v>14000</v>
      </c>
      <c r="C10" s="2" t="s">
        <v>96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">
        <v>1</v>
      </c>
      <c r="J10" s="5" t="s">
        <v>98</v>
      </c>
    </row>
    <row r="11" spans="1:10" ht="16" x14ac:dyDescent="0.2">
      <c r="A11" s="4" t="s">
        <v>95</v>
      </c>
      <c r="B11" s="30">
        <v>20340</v>
      </c>
      <c r="C11" s="2" t="s">
        <v>96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">
        <v>1</v>
      </c>
      <c r="J11" s="5" t="s">
        <v>98</v>
      </c>
    </row>
    <row r="12" spans="1:10" ht="32" x14ac:dyDescent="0.2">
      <c r="A12" s="4" t="s">
        <v>108</v>
      </c>
      <c r="B12" s="30">
        <v>29.370999999999999</v>
      </c>
      <c r="C12" s="2" t="s">
        <v>97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106</v>
      </c>
    </row>
    <row r="13" spans="1:10" ht="32" x14ac:dyDescent="0.2">
      <c r="A13" s="4" t="s">
        <v>109</v>
      </c>
      <c r="B13" s="30">
        <v>29.129000000000001</v>
      </c>
      <c r="C13" s="2" t="s">
        <v>97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106</v>
      </c>
    </row>
    <row r="14" spans="1:10" ht="32" x14ac:dyDescent="0.2">
      <c r="A14" s="47" t="s">
        <v>110</v>
      </c>
      <c r="B14" s="30">
        <v>21.056999999999999</v>
      </c>
      <c r="C14" s="2" t="s">
        <v>97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107</v>
      </c>
    </row>
    <row r="15" spans="1:10" ht="32" x14ac:dyDescent="0.2">
      <c r="A15" s="47" t="s">
        <v>111</v>
      </c>
      <c r="B15" s="30">
        <v>20.815000000000001</v>
      </c>
      <c r="C15" s="2" t="s">
        <v>97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107</v>
      </c>
    </row>
    <row r="16" spans="1:10" ht="32" x14ac:dyDescent="0.2">
      <c r="A16" s="47" t="s">
        <v>113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112</v>
      </c>
    </row>
    <row r="17" spans="1:10" ht="32" x14ac:dyDescent="0.2">
      <c r="A17" s="47" t="s">
        <v>114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112</v>
      </c>
    </row>
    <row r="18" spans="1:10" ht="16" x14ac:dyDescent="0.2">
      <c r="A18" s="8" t="s">
        <v>79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80</v>
      </c>
    </row>
  </sheetData>
  <sheetProtection algorithmName="SHA-512" hashValue="T8GKNy7/x9MJQ8iV0elLBhJdGhK3N6afSXOjXsBRzB6lWv2xPXBCkjgu3CCjb3Mv6FzbUziuJ6v7Afo4lblUHQ==" saltValue="aySkDb8sLDyf9IUystEI5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137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86</v>
      </c>
    </row>
    <row r="2" spans="1:17" ht="15" x14ac:dyDescent="0.2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132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99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100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101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102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2</v>
      </c>
      <c r="B2" t="s">
        <v>69</v>
      </c>
      <c r="C2" t="s">
        <v>105</v>
      </c>
      <c r="E2">
        <v>16</v>
      </c>
      <c r="F2">
        <v>14</v>
      </c>
      <c r="H2">
        <v>14000</v>
      </c>
      <c r="I2">
        <v>20340</v>
      </c>
      <c r="J2">
        <v>29.370999999999999</v>
      </c>
      <c r="K2">
        <v>29.129000000000001</v>
      </c>
      <c r="L2">
        <v>21.056999999999999</v>
      </c>
      <c r="M2">
        <v>20.815000000000001</v>
      </c>
      <c r="N2">
        <v>1</v>
      </c>
      <c r="O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P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6" x14ac:dyDescent="0.2">
      <c r="A1" t="s">
        <v>5</v>
      </c>
      <c r="B1" t="s">
        <v>62</v>
      </c>
      <c r="C1" t="s">
        <v>63</v>
      </c>
      <c r="D1" t="s">
        <v>79</v>
      </c>
      <c r="E1" t="s">
        <v>126</v>
      </c>
      <c r="F1" t="s">
        <v>129</v>
      </c>
      <c r="G1" t="s">
        <v>79</v>
      </c>
      <c r="H1" t="s">
        <v>94</v>
      </c>
      <c r="I1" t="s">
        <v>95</v>
      </c>
      <c r="J1" t="s">
        <v>108</v>
      </c>
      <c r="K1" t="s">
        <v>109</v>
      </c>
      <c r="L1" t="s">
        <v>110</v>
      </c>
      <c r="M1" t="s">
        <v>111</v>
      </c>
      <c r="N1" t="s">
        <v>113</v>
      </c>
      <c r="O1" t="s">
        <v>114</v>
      </c>
      <c r="P1" t="s">
        <v>79</v>
      </c>
    </row>
    <row r="2" spans="1:16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2022-09-14T19:38:23Z</dcterms:modified>
</cp:coreProperties>
</file>