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76272D64-93DF-2049-9049-2460A63EBB31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Initialization" sheetId="22" r:id="rId3"/>
    <sheet name="Geometry" sheetId="40" r:id="rId4"/>
    <sheet name="Adsorber Packing" sheetId="41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3" l="1" a="1"/>
  <c r="I11" i="43" s="1"/>
  <c r="I14" i="43" a="1"/>
  <c r="I14" i="43" s="1"/>
  <c r="I13" i="43" l="1" a="1"/>
  <c r="I13" i="43" s="1"/>
  <c r="I10" i="43" a="1"/>
  <c r="I10" i="43" s="1"/>
  <c r="H10" i="22" l="1"/>
  <c r="H9" i="22"/>
  <c r="Q1" i="44"/>
  <c r="A1" i="44"/>
  <c r="J3" i="43"/>
  <c r="J1" i="43"/>
  <c r="A1" i="43"/>
  <c r="J3" i="42"/>
  <c r="J1" i="42"/>
  <c r="A1" i="42"/>
  <c r="J3" i="41"/>
  <c r="J1" i="41"/>
  <c r="A1" i="41"/>
  <c r="J3" i="40"/>
  <c r="J1" i="40"/>
  <c r="A1" i="40"/>
  <c r="J1" i="22" l="1"/>
  <c r="J3" i="22" l="1"/>
  <c r="A1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tc={E652796B-8466-4220-A8BE-EF50C3D6D6B9}</author>
    <author>tc={8AAAFA1E-2A22-4485-86C4-0A31CC8818DB}</author>
    <author>tc={569C7D1D-1B96-4A2D-8128-0D89BE316B8E}</author>
  </authors>
  <commentList>
    <comment ref="G8" authorId="0" shapeId="0" xr:uid="{E652796B-8466-4220-A8BE-EF50C3D6D6B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8AAAFA1E-2A22-4485-86C4-0A31CC8818D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569C7D1D-1B96-4A2D-8128-0D89BE316B8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tc={93F965E2-06AB-4688-AE64-7D035E18A84D}</author>
    <author>tc={D9050D71-A75A-4740-BDD5-E722DC26ACC6}</author>
    <author>tc={166A3969-E716-4658-8BE3-8C97E46BB89B}</author>
  </authors>
  <commentList>
    <comment ref="G8" authorId="0" shapeId="0" xr:uid="{93F965E2-06AB-4688-AE64-7D035E18A84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9050D71-A75A-4740-BDD5-E722DC26ACC6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66A3969-E716-4658-8BE3-8C97E46BB89B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tc={1BCDEAB6-02C5-42F9-8D23-6294D5D2D196}</author>
    <author>tc={0B40D3E0-8749-41E4-8892-40EC8BEC364E}</author>
    <author>tc={0D4D05CD-114F-49A8-9DD6-E5C0B9590623}</author>
  </authors>
  <commentList>
    <comment ref="G8" authorId="0" shapeId="0" xr:uid="{1BCDEAB6-02C5-42F9-8D23-6294D5D2D1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B40D3E0-8749-41E4-8892-40EC8BEC364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0D4D05CD-114F-49A8-9DD6-E5C0B959062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<sst xmlns="http://schemas.openxmlformats.org/spreadsheetml/2006/main" count="340" uniqueCount="153">
  <si>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</si>
  <si>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</si>
  <si>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</si>
  <si>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</si>
  <si>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</si>
  <si>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</si>
  <si>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</si>
  <si>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</si>
  <si>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</si>
  <si>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</si>
  <si>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</si>
  <si>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</si>
  <si>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</si>
  <si>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</si>
  <si>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</si>
  <si>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</si>
  <si>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</si>
  <si>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</si>
  <si>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</si>
  <si>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</si>
  <si>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</si>
  <si>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</si>
  <si>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</si>
  <si>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</si>
  <si>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</si>
  <si>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</si>
  <si>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</si>
  <si>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</si>
  <si>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</si>
  <si>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</si>
  <si>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</si>
  <si>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</si>
  <si>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</si>
  <si>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</si>
  <si>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</si>
  <si>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</si>
  <si>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</si>
  <si>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</si>
  <si>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</si>
  <si>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</si>
  <si>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</si>
  <si>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</si>
  <si>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</si>
  <si>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</si>
  <si>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</si>
  <si>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</si>
  <si>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</si>
  <si>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</si>
  <si>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</si>
  <si>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</si>
  <si>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</si>
  <si>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</si>
  <si>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</si>
  <si>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</si>
  <si>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</si>
  <si>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</si>
  <si>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</si>
  <si>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</si>
  <si>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</si>
  <si>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</si>
  <si>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</si>
  <si>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</si>
  <si>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</si>
  <si>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</si>
  <si>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</si>
  <si>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</si>
  <si>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</si>
  <si>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</si>
  <si>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</si>
  <si>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</si>
  <si>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</si>
  <si>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</si>
  <si>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</si>
  <si>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</si>
  <si>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</si>
  <si>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</si>
  <si>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</si>
  <si>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</si>
  <si>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</si>
  <si>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</si>
  <si>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</si>
  <si>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</si>
  <si>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</si>
  <si>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</si>
  <si>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</si>
  <si>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</si>
  <si>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</si>
  <si>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</si>
  <si>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</si>
  <si>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</si>
  <si>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</si>
  <si>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</si>
  <si>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</si>
  <si>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</si>
  <si>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</si>
  <si>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</si>
  <si>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</si>
  <si>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</si>
  <si>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</si>
  <si>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</si>
  <si>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</si>
  <si>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</si>
  <si>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</si>
  <si>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</si>
  <si>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</si>
  <si>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</si>
  <si>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</si>
  <si>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</si>
  <si>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</si>
  <si>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</si>
  <si>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</si>
  <si>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</si>
  <si>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</si>
  <si>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</si>
  <si>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</si>
  <si>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1 = saturation with a feed at a high pressure
2 = saturation with a raffinate product at a high pressure
3 = saturation with an extract product at a high pressure
4 = saturation with a feed at a low pressure
5 = saturation with a raffinate product at a low pressure
6 = saturation with an extract product at a low pressure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</si>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</sst>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3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3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3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4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4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4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C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  <sheetName val="PFD"/>
    </sheetNames>
    <sheetDataSet>
      <sheetData sheetId="0">
        <row r="4">
          <cell r="D4" t="str">
            <v>REV. NO.1 (6/8/2022)</v>
          </cell>
        </row>
      </sheetData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18E22-6B97-4050-BEA5-FD187B57FD53}" name="Table1102" displayName="Table1102" ref="A8:J11" totalsRowShown="0" headerRowDxfId="94" dataDxfId="92" headerRowBorderDxfId="93" tableBorderDxfId="91" totalsRowBorderDxfId="90">
  <autoFilter ref="A8:J11" xr:uid="{B089C5C3-2CCE-4800-96CA-2131BB6E3E4F}"/>
  <tableColumns count="10">
    <tableColumn id="1" xr3:uid="{DF90FBAE-2FE2-4EF6-B9EF-275B3796AEEB}" name="Variable" dataDxfId="89"/>
    <tableColumn id="4" xr3:uid="{0389FCE2-DF59-447F-B68F-108D6445084D}" name="Value" dataDxfId="88"/>
    <tableColumn id="5" xr3:uid="{F4EFCD46-6F61-4144-97AB-37E6D30AE6D4}" name="Unit" dataDxfId="87"/>
    <tableColumn id="6" xr3:uid="{13EC0408-58C5-4FDD-B561-294E8738DC68}" name="Comparisons" dataDxfId="86"/>
    <tableColumn id="7" xr3:uid="{BF1B3BF0-6191-44CC-AF6B-7F41972DEF86}" name="Variable Type" dataDxfId="85"/>
    <tableColumn id="8" xr3:uid="{38416F33-2817-41C6-8F60-9C8868DFD40F}" name="Dependency" dataDxfId="84"/>
    <tableColumn id="12" xr3:uid="{212A5270-D9C2-477A-8DBC-F77DAC062C67}" name="Test 1" dataDxfId="83"/>
    <tableColumn id="10" xr3:uid="{06FFA778-D744-477C-927B-1BAA2F4DD149}" name="Test 2" dataDxfId="82"/>
    <tableColumn id="2" xr3:uid="{C0032BA4-2111-4FE1-A6F7-8A96150C92AF}" name="Test 3" dataDxfId="81"/>
    <tableColumn id="9" xr3:uid="{87AA86BA-9226-4FD0-BE95-3F0C0D4637BF}" name="Description" dataDxfId="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DE77F-5B1B-417E-A77C-15A4813640F3}" name="Table110234" displayName="Table110234" ref="A8:J12" totalsRowShown="0" headerRowDxfId="74" dataDxfId="72" headerRowBorderDxfId="73" tableBorderDxfId="71" totalsRowBorderDxfId="70">
  <autoFilter ref="A8:J12" xr:uid="{B089C5C3-2CCE-4800-96CA-2131BB6E3E4F}"/>
  <tableColumns count="10">
    <tableColumn id="1" xr3:uid="{7E976C6B-50FF-4DF8-968D-BD2213457D8E}" name="Variable" dataDxfId="69"/>
    <tableColumn id="4" xr3:uid="{36EE36A9-EB3A-4D9F-87A6-29402D8F2BBF}" name="Value" dataDxfId="68"/>
    <tableColumn id="5" xr3:uid="{0BEBFFE1-D011-4506-B2BE-A23189C3171B}" name="Unit" dataDxfId="67"/>
    <tableColumn id="6" xr3:uid="{FD2D7E65-7CC1-4CB0-AC4F-8241F01D8137}" name="Comparisons" dataDxfId="66"/>
    <tableColumn id="7" xr3:uid="{1CAE321A-54EE-49C2-80B2-6E9ED68096B7}" name="Variable Type" dataDxfId="65"/>
    <tableColumn id="8" xr3:uid="{524D804C-F242-4918-942F-25C0E3FE4293}" name="Dependency" dataDxfId="64"/>
    <tableColumn id="12" xr3:uid="{246C8080-AD0A-42DE-9683-C493E6DBCF45}" name="Test 1" dataDxfId="63"/>
    <tableColumn id="10" xr3:uid="{EC07D584-71B2-4B20-A730-90845F6A7618}" name="Test 2" dataDxfId="62"/>
    <tableColumn id="2" xr3:uid="{BC4BD7F4-9059-4A16-AED5-A5500F840F0A}" name="Test 3" dataDxfId="61"/>
    <tableColumn id="9" xr3:uid="{E043131C-B524-4DE4-8666-7F2CB0974117}" name="Description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177B9D-B017-4424-8005-D13DEA9FDE3C}" name="Table110235" displayName="Table110235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9F0173FD-162A-43A8-B238-CB3C186D557E}" name="Variable" dataDxfId="49"/>
    <tableColumn id="4" xr3:uid="{93B43561-581D-43D1-9628-DBD5BACDCA75}" name="Value" dataDxfId="48"/>
    <tableColumn id="5" xr3:uid="{93068CD2-A433-4BAE-BA07-8B5B262A8175}" name="Unit" dataDxfId="47"/>
    <tableColumn id="6" xr3:uid="{C71F0136-1C7B-45D7-BD4F-FF50A9F828B9}" name="Comparisons" dataDxfId="46"/>
    <tableColumn id="7" xr3:uid="{094945F8-2D9D-4417-949D-B54D471BDD33}" name="Variable Type" dataDxfId="45"/>
    <tableColumn id="8" xr3:uid="{335D4B33-363E-4AC8-90F8-65784056E1CD}" name="Dependency" dataDxfId="44"/>
    <tableColumn id="12" xr3:uid="{A8ADB954-9430-4B28-AA5F-F57F0739046D}" name="Test 1" dataDxfId="43"/>
    <tableColumn id="10" xr3:uid="{35B1EC5E-AC9B-43DE-A22B-C20F1350F075}" name="Test 2" dataDxfId="42"/>
    <tableColumn id="2" xr3:uid="{72D4D093-B485-49CC-9E25-6B4F0CBBAF39}" name="Test 3" dataDxfId="41"/>
    <tableColumn id="9" xr3:uid="{39D8E831-0873-4135-8194-32EC426F366B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E652796B-8466-4220-A8BE-EF50C3D6D6B9}">
    <text>place 1 if we want to keep the row when re-initializing. Otherwise, leave it as a blank.</text>
  </threadedComment>
  <threadedComment ref="H8" dT="2020-11-26T18:35:03.27" personId="{7F98AE94-13FB-49E1-9262-339C11E0EDB4}" id="{8AAAFA1E-2A22-4485-86C4-0A31CC8818DB}">
    <text>supply a value greater than 1 if you want to duplicate the row</text>
  </threadedComment>
  <threadedComment ref="I8" dT="2020-11-28T01:53:47.29" personId="{7F98AE94-13FB-49E1-9262-339C11E0EDB4}" id="{569C7D1D-1B96-4A2D-8128-0D89BE316B8E}">
    <text>1 means we need to have the variable specified; 0 means we need not have the variable specified</text>
  </threadedComment>
  <threadedComment ref="I8" dT="2020-11-28T01:56:42.32" personId="{7F98AE94-13FB-49E1-9262-339C11E0EDB4}" id="{E3DE4135-48F9-401A-9397-2991093434F1}" parentId="{569C7D1D-1B96-4A2D-8128-0D89BE316B8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3F965E2-06AB-4688-AE64-7D035E18A84D}">
    <text>place 1 if we want to keep the row when re-initializing. Otherwise, leave it as a blank.</text>
  </threadedComment>
  <threadedComment ref="H8" dT="2020-11-26T18:35:03.27" personId="{7F98AE94-13FB-49E1-9262-339C11E0EDB4}" id="{D9050D71-A75A-4740-BDD5-E722DC26ACC6}">
    <text>supply a value greater than 1 if you want to duplicate the row</text>
  </threadedComment>
  <threadedComment ref="I8" dT="2020-11-28T01:53:47.29" personId="{7F98AE94-13FB-49E1-9262-339C11E0EDB4}" id="{166A3969-E716-4658-8BE3-8C97E46BB89B}">
    <text>1 means we need to have the variable specified; 0 means we need not have the variable specified</text>
  </threadedComment>
  <threadedComment ref="I8" dT="2020-11-28T01:56:42.32" personId="{7F98AE94-13FB-49E1-9262-339C11E0EDB4}" id="{50574FE6-0C57-44C3-B939-E4DFBAF77FEF}" parentId="{166A3969-E716-4658-8BE3-8C97E46BB89B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1BCDEAB6-02C5-42F9-8D23-6294D5D2D196}">
    <text>place 1 if we want to keep the row when re-initializing. Otherwise, leave it as a blank.</text>
  </threadedComment>
  <threadedComment ref="H8" dT="2020-11-26T18:35:03.27" personId="{7F98AE94-13FB-49E1-9262-339C11E0EDB4}" id="{0B40D3E0-8749-41E4-8892-40EC8BEC364E}">
    <text>supply a value greater than 1 if you want to duplicate the row</text>
  </threadedComment>
  <threadedComment ref="I8" dT="2020-11-28T01:53:47.29" personId="{7F98AE94-13FB-49E1-9262-339C11E0EDB4}" id="{0D4D05CD-114F-49A8-9DD6-E5C0B9590623}">
    <text>1 means we need to have the variable specified; 0 means we need not have the variable specified</text>
  </threadedComment>
  <threadedComment ref="I8" dT="2020-11-28T01:56:42.32" personId="{7F98AE94-13FB-49E1-9262-339C11E0EDB4}" id="{9797C057-0E43-4D2B-AC7C-F72D68CA5183}" parentId="{0D4D05CD-114F-49A8-9DD6-E5C0B9590623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152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5" t="s">
        <v>41</v>
      </c>
      <c r="E5" s="55"/>
      <c r="F5" s="55"/>
      <c r="G5" s="55"/>
      <c r="H5" s="55"/>
      <c r="I5" s="55"/>
      <c r="J5" s="55"/>
    </row>
    <row r="6" spans="4:10" ht="20" x14ac:dyDescent="0.2">
      <c r="D6" s="47" t="s">
        <v>35</v>
      </c>
      <c r="E6" s="47" t="s">
        <v>131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151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150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121</v>
      </c>
      <c r="U1" t="s">
        <v>122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123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124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125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126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127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128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129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24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117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32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BC0FE-BA67-4AA8-BC84-104EBCACDCEA}">
  <sheetPr codeName="Sheet13">
    <tabColor rgb="FF00B050"/>
  </sheetPr>
  <dimension ref="A1:XEY11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K1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69" width="8.83203125" style="3" hidden="1"/>
    <col min="16370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6" t="s">
        <v>34</v>
      </c>
      <c r="B2" s="57"/>
      <c r="C2" s="57"/>
      <c r="D2" s="57"/>
      <c r="E2" s="57"/>
      <c r="F2" s="57"/>
      <c r="G2" s="57"/>
      <c r="H2" s="57"/>
      <c r="I2" s="57"/>
      <c r="J2" s="58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59" t="str">
        <f>IF(COUNTIF(Table1102[Test 3],1)=COUNTA(Table1102[Value]),"Ready","Not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0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0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0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1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0" x14ac:dyDescent="0.2">
      <c r="A9" s="4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1">
        <f>[1]Initialization!$C$10</f>
        <v>2</v>
      </c>
      <c r="I9" s="6">
        <v>1</v>
      </c>
      <c r="J9" s="5" t="s">
        <v>115</v>
      </c>
    </row>
    <row r="10" spans="1:10" ht="160" x14ac:dyDescent="0.2">
      <c r="A10" s="4" t="s">
        <v>136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1">
        <f>[1]Initialization!$C$10</f>
        <v>2</v>
      </c>
      <c r="I10" s="6">
        <v>1</v>
      </c>
      <c r="J10" s="5" t="s">
        <v>115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ZUC1PSvnBFOUwkK/LNcjWsOGq0m29JskE3UUhaOmWsIxaKNbZnK5xicy+AgMXiQ99iUCUjoegeEF6VtS48ga4Q==" saltValue="4WMBftyFaq2RK0uroe29pQ==" spinCount="100000" sheet="1" objects="1" scenarios="1" selectLockedCells="1"/>
  <mergeCells count="2">
    <mergeCell ref="A2:J2"/>
    <mergeCell ref="J3:J7"/>
  </mergeCells>
  <conditionalFormatting sqref="B11">
    <cfRule type="expression" dxfId="102" priority="16">
      <formula>IF(AND($B11&lt;&gt;"",$I11=0),1,0)</formula>
    </cfRule>
    <cfRule type="expression" dxfId="101" priority="17">
      <formula>IF($B11&lt;&gt;"",1,0)</formula>
    </cfRule>
    <cfRule type="expression" dxfId="100" priority="18">
      <formula>$I11=0</formula>
    </cfRule>
  </conditionalFormatting>
  <conditionalFormatting sqref="B9:B10">
    <cfRule type="expression" dxfId="99" priority="13">
      <formula>IF(AND($B9&lt;&gt;"",$I9=0),1,0)</formula>
    </cfRule>
    <cfRule type="expression" dxfId="98" priority="14">
      <formula>IF($B9&lt;&gt;"",1,0)</formula>
    </cfRule>
    <cfRule type="expression" dxfId="97" priority="15">
      <formula>$I9=0</formula>
    </cfRule>
  </conditionalFormatting>
  <conditionalFormatting sqref="J3">
    <cfRule type="expression" dxfId="96" priority="2377">
      <formula>IF(COUNTA($B$9:$B$11)&lt;&gt;COUNTIF($I$9:$I$11,1),1,0)</formula>
    </cfRule>
    <cfRule type="expression" dxfId="95" priority="2378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0F78D8-7CBC-416B-BF8F-16F86E79595D}">
          <x14:formula1>
            <xm:f>Reference!$J$2:$J$7</xm:f>
          </x14:formula1>
          <xm:sqref>B9:B10</xm:sqref>
        </x14:dataValidation>
        <x14:dataValidation type="list" allowBlank="1" showInputMessage="1" showErrorMessage="1" xr:uid="{AB0DFED5-7007-40C4-A20A-4EB483A187A5}">
          <x14:formula1>
            <xm:f>Reference!$A$2:$A$8</xm:f>
          </x14:formula1>
          <xm:sqref>E9:E11</xm:sqref>
        </x14:dataValidation>
        <x14:dataValidation type="list" allowBlank="1" showInputMessage="1" showErrorMessage="1" xr:uid="{577DDA83-B2B6-4016-B2CF-1564CB9BE2F2}">
          <x14:formula1>
            <xm:f>Reference!$C$2:$C$23</xm:f>
          </x14:formula1>
          <xm:sqref>F9:F11</xm:sqref>
        </x14:dataValidation>
        <x14:dataValidation type="list" allowBlank="1" showInputMessage="1" showErrorMessage="1" xr:uid="{B5D072AB-35BF-448E-8A00-FA96E8BD689F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F8E-F005-450F-BBFC-F4694AF57EBE}">
  <sheetPr codeName="Sheet15">
    <tabColor rgb="FF00B050"/>
  </sheetPr>
  <dimension ref="A1:XEY12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K1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69" width="8.83203125" style="3" hidden="1"/>
    <col min="16370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6" t="s">
        <v>34</v>
      </c>
      <c r="B2" s="57"/>
      <c r="C2" s="57"/>
      <c r="D2" s="57"/>
      <c r="E2" s="57"/>
      <c r="F2" s="57"/>
      <c r="G2" s="57"/>
      <c r="H2" s="57"/>
      <c r="I2" s="57"/>
      <c r="J2" s="58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59" t="str">
        <f>IF(COUNTIF(Table110234[Test 3],1)=COUNTA(Table110234[Value]),"Ready","Not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0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0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0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1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130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9mkBZ+gfrkWR4XNMfEtwO9MyKsi7++DpH5zVqRauL1IIDNvM1qwDNKK5uOIHyE4Qlf+Yh234UNlA3kvgtxmnyw==" saltValue="NwT9Bd1DHyk95RBtlEbj1Q==" spinCount="100000" sheet="1" objects="1" scenarios="1" selectLockedCells="1"/>
  <mergeCells count="2">
    <mergeCell ref="A2:J2"/>
    <mergeCell ref="J3:J7"/>
  </mergeCells>
  <conditionalFormatting sqref="B9:B12">
    <cfRule type="expression" dxfId="79" priority="10">
      <formula>IF(AND($B9&lt;&gt;"",$I9=0),1,0)</formula>
    </cfRule>
    <cfRule type="expression" dxfId="78" priority="11">
      <formula>IF($B9&lt;&gt;"",1,0)</formula>
    </cfRule>
    <cfRule type="expression" dxfId="77" priority="12">
      <formula>$I9=0</formula>
    </cfRule>
  </conditionalFormatting>
  <conditionalFormatting sqref="J3">
    <cfRule type="expression" dxfId="76" priority="2375">
      <formula>IF(COUNTA($B$9:$B$12)&lt;&gt;COUNTIF($I$9:$I$12,1),1,0)</formula>
    </cfRule>
    <cfRule type="expression" dxfId="75" priority="2376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F31DE6-4912-4DCD-A0E5-0C265F1EB724}">
          <x14:formula1>
            <xm:f>Reference!$A$2:$A$8</xm:f>
          </x14:formula1>
          <xm:sqref>E9:E12</xm:sqref>
        </x14:dataValidation>
        <x14:dataValidation type="list" allowBlank="1" showInputMessage="1" showErrorMessage="1" xr:uid="{3932E0CC-9F50-4C78-84F5-6453D2CC68B1}">
          <x14:formula1>
            <xm:f>Reference!$C$2:$C$23</xm:f>
          </x14:formula1>
          <xm:sqref>F9:F12</xm:sqref>
        </x14:dataValidation>
        <x14:dataValidation type="list" allowBlank="1" showInputMessage="1" showErrorMessage="1" xr:uid="{6420389D-B013-470E-8111-F4BEC725F010}">
          <x14:formula1>
            <xm:f>Reference!$B$2:$B$18</xm:f>
          </x14:formula1>
          <xm:sqref>D9:D12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3AF4-BA8B-4712-A3DF-B04A77B60A6E}">
  <sheetPr codeName="Sheet17">
    <tabColor rgb="FF00B050"/>
  </sheetPr>
  <dimension ref="A1:XEY11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6" t="s">
        <v>34</v>
      </c>
      <c r="B2" s="57"/>
      <c r="C2" s="57"/>
      <c r="D2" s="57"/>
      <c r="E2" s="57"/>
      <c r="F2" s="57"/>
      <c r="G2" s="57"/>
      <c r="H2" s="57"/>
      <c r="I2" s="57"/>
      <c r="J2" s="58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59" t="str">
        <f>IF(COUNTIF(Table110235[Test 3],1)=COUNTA(Table110235[Value]),"Ready","Not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0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0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0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1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DL5gf4ck12+X7fzT9bzSTsM9h/hAGP6gzBTAxbhDW9WC4FDOC+j9QNd5wp8V2qvDS3RxajYxt9lraI5TGqNfFg==" saltValue="UbkRBUwZOh21rvA2Rv1jdQ==" spinCount="100000" sheet="1" objects="1" scenarios="1" selectLockedCells="1"/>
  <mergeCells count="2">
    <mergeCell ref="A2:J2"/>
    <mergeCell ref="J3:J7"/>
  </mergeCells>
  <conditionalFormatting sqref="B9:B11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270">
      <formula>IF(COUNTA($B$9:$B$11)&lt;&gt;COUNTIF($I$9:$I$11,1),1,0)</formula>
    </cfRule>
    <cfRule type="expression" dxfId="55" priority="2271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ACB9286-F010-48A8-8CF2-F910B3E76DAE}">
          <x14:formula1>
            <xm:f>'/Users/taehunkim/Library/Containers/com.microsoft.Excel/Data/Documents/C:\Users\tkim333\Desktop\RAPID Model Release\v3.0\[Test.xlsm]Reference'!#REF!</xm:f>
          </x14:formula1>
          <xm:sqref>E9:F9</xm:sqref>
        </x14:dataValidation>
        <x14:dataValidation type="list" allowBlank="1" showInputMessage="1" showErrorMessage="1" xr:uid="{F6CA7333-2F06-4650-9094-7998B86EE8FF}">
          <x14:formula1>
            <xm:f>Reference!$A$2:$A$8</xm:f>
          </x14:formula1>
          <xm:sqref>E10:E11</xm:sqref>
        </x14:dataValidation>
        <x14:dataValidation type="list" allowBlank="1" showInputMessage="1" showErrorMessage="1" xr:uid="{C1E2B3EE-5910-4826-870D-3F1B20513CBE}">
          <x14:formula1>
            <xm:f>Reference!$C$2:$C$23</xm:f>
          </x14:formula1>
          <xm:sqref>F10:F11</xm:sqref>
        </x14:dataValidation>
        <x14:dataValidation type="list" allowBlank="1" showInputMessage="1" showErrorMessage="1" xr:uid="{2B58CA7A-202B-4ED2-9294-A79968E7DB3D}">
          <x14:formula1>
            <xm:f>Reference!$B$2:$B$18</xm:f>
          </x14:formula1>
          <xm:sqref>D9:D11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6" t="s">
        <v>34</v>
      </c>
      <c r="B2" s="57"/>
      <c r="C2" s="57"/>
      <c r="D2" s="57"/>
      <c r="E2" s="57"/>
      <c r="F2" s="57"/>
      <c r="G2" s="57"/>
      <c r="H2" s="57"/>
      <c r="I2" s="57"/>
      <c r="J2" s="58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59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0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0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0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1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144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138</v>
      </c>
    </row>
    <row r="10" spans="1:10" ht="48" x14ac:dyDescent="0.2">
      <c r="A10" s="48" t="s">
        <v>146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IF([3]Initialization!$C$15=0,0,IF([3]Initialization!$C$15=1,1,Table1102367[]))</f>
        <v>1</v>
      </c>
      <c r="J10" s="5" t="s">
        <v>143</v>
      </c>
    </row>
    <row r="11" spans="1:10" ht="48" x14ac:dyDescent="0.2">
      <c r="A11" s="4" t="s">
        <v>149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IF([3]Initialization!$C$15=0,0,IF([3]Initialization!$C$15=1,1,Table1102367[]))</f>
        <v>1</v>
      </c>
      <c r="J11" s="5" t="s">
        <v>140</v>
      </c>
    </row>
    <row r="12" spans="1:10" ht="64" x14ac:dyDescent="0.2">
      <c r="A12" s="48" t="s">
        <v>145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139</v>
      </c>
    </row>
    <row r="13" spans="1:10" ht="48" x14ac:dyDescent="0.2">
      <c r="A13" s="48" t="s">
        <v>147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IF([3]Initialization!$C$15=0,0,IF([3]Initialization!$C$15=1,1,Table1102367[]))</f>
        <v>1</v>
      </c>
      <c r="J13" s="5" t="s">
        <v>142</v>
      </c>
    </row>
    <row r="14" spans="1:10" ht="48" x14ac:dyDescent="0.2">
      <c r="A14" s="4" t="s">
        <v>148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IF([3]Initialization!$C$15=0,0,IF([3]Initialization!$C$15=1,1,Table1102367[]))</f>
        <v>1</v>
      </c>
      <c r="J14" s="5" t="s">
        <v>141</v>
      </c>
    </row>
    <row r="15" spans="1:10" ht="48" x14ac:dyDescent="0.2">
      <c r="A15" s="4" t="s">
        <v>118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137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iNz1BMx0krHZiJw1a3QSmpqRoH40WwYQRccfiKiZN1YwFlZjeq0CM0gWfhRGlRjGQgBe/JlYgRZS2qUQIE5nUA==" saltValue="i9kwWBCrRmTGDzGsiwfRb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6" t="s">
        <v>34</v>
      </c>
      <c r="B2" s="57"/>
      <c r="C2" s="57"/>
      <c r="D2" s="57"/>
      <c r="E2" s="57"/>
      <c r="F2" s="57"/>
      <c r="G2" s="57"/>
      <c r="H2" s="57"/>
      <c r="I2" s="57"/>
      <c r="J2" s="58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59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0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0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0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1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32" x14ac:dyDescent="0.2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48" t="s">
        <v>119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120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oeo8+9AJVkpPxgxOYDqQ5SUk/2LHn5r1xkDRMVEg8BhX2b96erLLJnbIgllaF4wvBU/VW7lJiZJBqP5gPAdJmg==" saltValue="GonI7gZH3boH3vNwW6l16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8" sqref="A8:XFD34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'[4]Revision History'!D4</f>
        <v>REV. NO.1 (6/8/2022)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2" t="s">
        <v>132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133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134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135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136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144</v>
      </c>
      <c r="L1" t="s">
        <v>146</v>
      </c>
      <c r="M1" t="s">
        <v>149</v>
      </c>
      <c r="N1" t="s">
        <v>145</v>
      </c>
      <c r="O1" t="s">
        <v>147</v>
      </c>
      <c r="P1" t="s">
        <v>148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136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144</v>
      </c>
      <c r="L1" t="s">
        <v>146</v>
      </c>
      <c r="M1" t="s">
        <v>149</v>
      </c>
      <c r="N1" t="s">
        <v>145</v>
      </c>
      <c r="O1" t="s">
        <v>147</v>
      </c>
      <c r="P1" t="s">
        <v>148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2022-09-14T15:45:24Z</dcterms:modified>
</cp:coreProperties>
</file>