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1_kayser/1_time_driven/2-col_non-isothermal_axial_pressure_drop/1_simulation_inputs/"/>
    </mc:Choice>
  </mc:AlternateContent>
  <xr:revisionPtr revIDLastSave="0" documentId="13_ncr:1_{7A5B45A4-EC89-A844-B4E3-00DF0489B56F}" xr6:coauthVersionLast="47" xr6:coauthVersionMax="47" xr10:uidLastSave="{00000000-0000-0000-0000-000000000000}"/>
  <bookViews>
    <workbookView xWindow="0" yWindow="0" windowWidth="28800" windowHeight="18000" tabRatio="818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2" hidden="1">'Stream Properties'!$A$9:$J$10</definedName>
    <definedName name="_xlnm.Print_Area" localSheetId="0">'Revision History'!$C$3:$K$51</definedName>
    <definedName name="_xlnm.Print_Area" localSheetId="2">'Stream Properties'!$A$2:$J$15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2" i="39" l="1"/>
  <c r="H11" i="39"/>
  <c r="B12" i="39" l="1"/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G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<sst xmlns="http://schemas.openxmlformats.org/spreadsheetml/2006/main" count="172" uniqueCount="119">
  <si>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</si>
  <si>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</si>
  <si>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</si>
  <si>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</si>
  <si>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</si>
  <si>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</si>
  <si>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</si>
  <si>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</si>
  <si>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</si>
  <si>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</si>
  <si>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</si>
  <si>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</si>
  <si>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</si>
  <si>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</si>
  <si>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</si>
  <si>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</si>
  <si>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</si>
  <si>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</si>
  <si>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</si>
  <si>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</si>
  <si>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</si>
  <si>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</si>
  <si>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</si>
  <si>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</si>
  <si>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</si>
  <si>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</si>
  <si>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</si>
  <si>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</si>
  <si>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</si>
  <si>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</si>
  <si>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</si>
  <si>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</si>
  <si>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</si>
  <si>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</si>
  <si>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</si>
  <si>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</si>
  <si>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</si>
  <si>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</si>
  <si>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</si>
  <si>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</si>
  <si>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</si>
  <si>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</si>
  <si>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</si>
  <si>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</si>
  <si>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</si>
  <si>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</si>
  <si>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</si>
  <si>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</si>
  <si>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</si>
  <si>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</si>
  <si>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</si>
  <si>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</si>
  <si>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</si>
  <si>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</si>
  <si>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</si>
  <si>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</si>
  <si>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</si>
  <si>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</si>
  <si>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</si>
  <si>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</si>
  <si>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</si>
  <si>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</si>
  <si>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</si>
  <si>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</si>
  <si>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</si>
  <si>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</si>
  <si>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</si>
  <si>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yFeC1</t>
  </si>
  <si>
    <t>yFeC2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</si>
  <si>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</si>
  <si>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</si>
  <si>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</si>
  <si>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</si>
  <si>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</si>
  <si>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</si>
  <si>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</si>
  <si>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</si>
  <si>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</si>
  <si>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</si>
  <si>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</si>
  <si>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</si>
  <si>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</si>
  <si>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</si>
  <si>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</si>
  <si>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</si>
  <si>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</si>
  <si>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</si>
  <si>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</si>
  <si>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</si>
  <si>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</si>
  <si>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</si>
  <si>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</si>
  <si>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</si>
  <si>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</si>
  <si>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</si>
  <si>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</si>
  <si>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</si>
  <si>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tempFeed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</si>
  <si>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</si>
  <si>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</si>
  <si>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</si>
  <si>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</si>
  <si>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</si>
  <si>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</si>
  <si>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</si>
  <si>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</si>
  <si>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</si>
  <si>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densFeGas</t>
  </si>
  <si>
    <t>g/cm3</t>
  </si>
  <si>
    <t>Gas density of the feed gas mixture.</t>
  </si>
  <si>
    <t>viscFeGas</t>
  </si>
  <si>
    <t>Pa-sec</t>
  </si>
  <si>
    <t>Viscosity of the feed gas mixture.</t>
  </si>
  <si>
    <t>Purpose/Summary</t>
  </si>
  <si>
    <t>Finalized the spreadsheet for the v1.0 release</t>
  </si>
  <si>
    <t>The fixed feed mole fraction of ith component at a high pressure; the first component is the light key.</t>
  </si>
  <si>
    <t>The fixed temperature of the feed stream coming into the feed tank, after being compressed and passing through the heat exchanger.</t>
  </si>
  <si>
    <t>Initial development of the "2.1_feed_stream_properties.xlsm" sheet.</t>
  </si>
  <si>
    <t>REV. NO.2 (9/14/2022)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</si>
</sst>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  <sheetName val="PFD"/>
    </sheetNames>
    <sheetDataSet>
      <sheetData sheetId="0"/>
      <sheetData sheetId="1"/>
      <sheetData sheetId="2">
        <row r="10">
          <cell r="C10">
            <v>2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5" totalsRowShown="0" headerRowDxfId="14" dataDxfId="12" headerRowBorderDxfId="13" tableBorderDxfId="11" totalsRowBorderDxfId="10">
  <autoFilter ref="A9:J15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A026445-FB9B-4762-B965-16991A5C1815}">
    <text>place 1 if we want to keep the row when re-initializing. Otherwise, leave it as a blank.</text>
  </threadedComment>
  <threadedComment ref="H9" dT="2020-11-26T18:35:03.27" personId="{7F98AE94-13FB-49E1-9262-339C11E0EDB4}" id="{D80DBB20-50CB-4F00-9538-DAD0AE44E42D}">
    <text>supply a value greater than 1 if you want to duplicate the row</text>
  </threadedComment>
  <threadedComment ref="I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I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tabSelected="1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32" hidden="1" customWidth="1"/>
    <col min="3" max="3" width="2.5" style="32" customWidth="1"/>
    <col min="4" max="4" width="13.83203125" style="32" customWidth="1"/>
    <col min="5" max="5" width="51.33203125" style="33" bestFit="1" customWidth="1"/>
    <col min="6" max="6" width="15.83203125" style="34" bestFit="1" customWidth="1"/>
    <col min="7" max="9" width="13.33203125" style="32" customWidth="1"/>
    <col min="10" max="10" width="48.83203125" style="32" customWidth="1"/>
    <col min="11" max="11" width="2.5" style="32" customWidth="1"/>
    <col min="12" max="12" width="0" style="32" hidden="1" customWidth="1"/>
    <col min="13" max="16384" width="9" style="32" hidden="1"/>
  </cols>
  <sheetData>
    <row r="3" spans="4:10" x14ac:dyDescent="0.2"/>
    <row r="4" spans="4:10" ht="19" x14ac:dyDescent="0.25">
      <c r="D4" s="46" t="s">
        <v>118</v>
      </c>
      <c r="E4" s="47"/>
      <c r="F4" s="48"/>
      <c r="G4" s="49"/>
      <c r="H4" s="49"/>
      <c r="I4" s="49"/>
      <c r="J4" s="35" t="s">
        <v>85</v>
      </c>
    </row>
    <row r="5" spans="4:10" ht="40" x14ac:dyDescent="0.2">
      <c r="D5" s="50" t="s">
        <v>37</v>
      </c>
      <c r="E5" s="50"/>
      <c r="F5" s="50"/>
      <c r="G5" s="50"/>
      <c r="H5" s="50"/>
      <c r="I5" s="50"/>
      <c r="J5" s="50"/>
    </row>
    <row r="6" spans="4:10" ht="20" x14ac:dyDescent="0.2">
      <c r="D6" s="43" t="s">
        <v>31</v>
      </c>
      <c r="E6" s="43" t="s">
        <v>113</v>
      </c>
      <c r="F6" s="43" t="s">
        <v>32</v>
      </c>
      <c r="G6" s="43" t="s">
        <v>33</v>
      </c>
      <c r="H6" s="43" t="s">
        <v>34</v>
      </c>
      <c r="I6" s="43" t="s">
        <v>35</v>
      </c>
      <c r="J6" s="43" t="s">
        <v>36</v>
      </c>
    </row>
    <row r="7" spans="4:10" ht="60" x14ac:dyDescent="0.2">
      <c r="D7" s="36">
        <v>1</v>
      </c>
      <c r="E7" s="37" t="s">
        <v>117</v>
      </c>
      <c r="F7" s="38">
        <v>44720</v>
      </c>
      <c r="G7" s="36" t="s">
        <v>38</v>
      </c>
      <c r="H7" s="36"/>
      <c r="I7" s="36"/>
      <c r="J7" s="37"/>
    </row>
    <row r="8" spans="4:10" ht="40" x14ac:dyDescent="0.2">
      <c r="D8" s="36">
        <v>2</v>
      </c>
      <c r="E8" s="37" t="s">
        <v>114</v>
      </c>
      <c r="F8" s="38">
        <v>44818</v>
      </c>
      <c r="G8" s="36" t="s">
        <v>38</v>
      </c>
      <c r="H8" s="36"/>
      <c r="I8" s="36"/>
      <c r="J8" s="37"/>
    </row>
    <row r="9" spans="4:10" ht="19" x14ac:dyDescent="0.2">
      <c r="D9" s="36">
        <v>3</v>
      </c>
      <c r="E9" s="37"/>
      <c r="F9" s="38"/>
      <c r="G9" s="36"/>
      <c r="H9" s="36"/>
      <c r="I9" s="36"/>
      <c r="J9" s="37"/>
    </row>
    <row r="10" spans="4:10" ht="19" x14ac:dyDescent="0.2">
      <c r="D10" s="36">
        <v>4</v>
      </c>
      <c r="E10" s="37"/>
      <c r="F10" s="38"/>
      <c r="G10" s="36"/>
      <c r="H10" s="36"/>
      <c r="I10" s="36"/>
      <c r="J10" s="37"/>
    </row>
    <row r="11" spans="4:10" ht="19" x14ac:dyDescent="0.2">
      <c r="D11" s="36">
        <v>5</v>
      </c>
      <c r="E11" s="37"/>
      <c r="F11" s="38"/>
      <c r="G11" s="36"/>
      <c r="H11" s="36"/>
      <c r="I11" s="36"/>
      <c r="J11" s="37"/>
    </row>
    <row r="12" spans="4:10" ht="19" x14ac:dyDescent="0.2">
      <c r="D12" s="36">
        <v>6</v>
      </c>
      <c r="E12" s="37"/>
      <c r="F12" s="38"/>
      <c r="G12" s="36"/>
      <c r="H12" s="36"/>
      <c r="I12" s="36"/>
      <c r="J12" s="37"/>
    </row>
    <row r="13" spans="4:10" ht="19" x14ac:dyDescent="0.2">
      <c r="D13" s="36">
        <v>7</v>
      </c>
      <c r="E13" s="37"/>
      <c r="F13" s="38"/>
      <c r="G13" s="36"/>
      <c r="H13" s="36"/>
      <c r="I13" s="36"/>
      <c r="J13" s="37"/>
    </row>
    <row r="14" spans="4:10" ht="19" x14ac:dyDescent="0.2">
      <c r="D14" s="36">
        <v>8</v>
      </c>
      <c r="E14" s="37"/>
      <c r="F14" s="38"/>
      <c r="G14" s="36"/>
      <c r="H14" s="36"/>
      <c r="I14" s="36"/>
      <c r="J14" s="37"/>
    </row>
    <row r="15" spans="4:10" ht="19" x14ac:dyDescent="0.2">
      <c r="D15" s="36">
        <v>9</v>
      </c>
      <c r="E15" s="37"/>
      <c r="F15" s="38"/>
      <c r="G15" s="36"/>
      <c r="H15" s="36"/>
      <c r="I15" s="36"/>
      <c r="J15" s="37"/>
    </row>
    <row r="16" spans="4:10" ht="19" x14ac:dyDescent="0.2">
      <c r="D16" s="36">
        <v>10</v>
      </c>
      <c r="E16" s="37"/>
      <c r="F16" s="38"/>
      <c r="G16" s="36"/>
      <c r="H16" s="36"/>
      <c r="I16" s="36"/>
      <c r="J16" s="39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39</v>
      </c>
      <c r="D1" t="s">
        <v>66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93</v>
      </c>
      <c r="S1" t="s">
        <v>94</v>
      </c>
      <c r="T1" t="s">
        <v>98</v>
      </c>
      <c r="U1" t="s">
        <v>99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25</v>
      </c>
      <c r="C3" t="s">
        <v>40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100</v>
      </c>
    </row>
    <row r="4" spans="1:21" x14ac:dyDescent="0.2">
      <c r="A4" t="s">
        <v>82</v>
      </c>
      <c r="B4" t="s">
        <v>22</v>
      </c>
      <c r="C4" t="s">
        <v>44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101</v>
      </c>
    </row>
    <row r="5" spans="1:21" x14ac:dyDescent="0.2">
      <c r="A5" t="s">
        <v>10</v>
      </c>
      <c r="B5" t="s">
        <v>23</v>
      </c>
      <c r="C5" t="s">
        <v>43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102</v>
      </c>
    </row>
    <row r="6" spans="1:21" x14ac:dyDescent="0.2">
      <c r="A6" t="s">
        <v>6</v>
      </c>
      <c r="B6" t="s">
        <v>24</v>
      </c>
      <c r="C6" t="s">
        <v>45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103</v>
      </c>
    </row>
    <row r="7" spans="1:21" x14ac:dyDescent="0.2">
      <c r="A7" t="s">
        <v>9</v>
      </c>
      <c r="B7" t="s">
        <v>26</v>
      </c>
      <c r="C7" t="s">
        <v>46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104</v>
      </c>
    </row>
    <row r="8" spans="1:21" x14ac:dyDescent="0.2">
      <c r="A8" t="s">
        <v>11</v>
      </c>
      <c r="B8" t="s">
        <v>27</v>
      </c>
      <c r="C8" t="s">
        <v>47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105</v>
      </c>
    </row>
    <row r="9" spans="1:21" x14ac:dyDescent="0.2">
      <c r="B9" t="s">
        <v>90</v>
      </c>
      <c r="C9" t="s">
        <v>48</v>
      </c>
      <c r="E9">
        <v>7</v>
      </c>
      <c r="F9">
        <v>7</v>
      </c>
      <c r="G9">
        <v>6</v>
      </c>
      <c r="H9">
        <v>6</v>
      </c>
      <c r="I9">
        <v>6</v>
      </c>
      <c r="U9" t="s">
        <v>106</v>
      </c>
    </row>
    <row r="10" spans="1:21" x14ac:dyDescent="0.2">
      <c r="B10" t="s">
        <v>28</v>
      </c>
      <c r="C10" t="s">
        <v>49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50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95</v>
      </c>
    </row>
    <row r="12" spans="1:21" x14ac:dyDescent="0.2">
      <c r="B12" t="s">
        <v>91</v>
      </c>
      <c r="C12" t="s">
        <v>51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52</v>
      </c>
      <c r="J13">
        <v>1</v>
      </c>
    </row>
    <row r="14" spans="1:21" x14ac:dyDescent="0.2">
      <c r="B14" t="s">
        <v>21</v>
      </c>
      <c r="C14" t="s">
        <v>53</v>
      </c>
      <c r="J14">
        <v>2</v>
      </c>
    </row>
    <row r="15" spans="1:21" x14ac:dyDescent="0.2">
      <c r="B15" t="s">
        <v>15</v>
      </c>
      <c r="C15" t="s">
        <v>54</v>
      </c>
    </row>
    <row r="16" spans="1:21" x14ac:dyDescent="0.2">
      <c r="B16" t="s">
        <v>58</v>
      </c>
      <c r="C16" t="s">
        <v>55</v>
      </c>
      <c r="J16" t="s">
        <v>96</v>
      </c>
    </row>
    <row r="17" spans="2:10" x14ac:dyDescent="0.2">
      <c r="B17" t="s">
        <v>18</v>
      </c>
      <c r="C17" t="s">
        <v>56</v>
      </c>
      <c r="J17" t="s">
        <v>8</v>
      </c>
    </row>
    <row r="18" spans="2:10" x14ac:dyDescent="0.2">
      <c r="B18" t="s">
        <v>19</v>
      </c>
      <c r="C18" t="s">
        <v>57</v>
      </c>
      <c r="J18">
        <v>1</v>
      </c>
    </row>
    <row r="19" spans="2:10" x14ac:dyDescent="0.2">
      <c r="C19" t="s">
        <v>29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42</v>
      </c>
      <c r="J21">
        <v>4</v>
      </c>
    </row>
    <row r="22" spans="2:10" x14ac:dyDescent="0.2">
      <c r="C22" t="s">
        <v>41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5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4" sqref="B14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40" t="str">
        <f>'Revision History'!$D$4</f>
        <v>REV. NO.2 (9/14/2022)</v>
      </c>
      <c r="B2" s="41"/>
      <c r="C2" s="41"/>
      <c r="D2" s="41"/>
      <c r="E2" s="41"/>
      <c r="F2" s="41"/>
      <c r="G2" s="41"/>
      <c r="H2" s="41"/>
      <c r="I2" s="41"/>
      <c r="J2" s="42" t="str">
        <f>'Revision History'!$J$4</f>
        <v>Scott Research Group (jkscottresearchgroup.com)</v>
      </c>
    </row>
    <row r="3" spans="1:10" ht="19" x14ac:dyDescent="0.2">
      <c r="A3" s="51" t="s">
        <v>30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2" t="str">
        <f>IF(COUNTIF(Table11082[Test 3],1)=COUNTA(Table11082[Value]),"Ready","Not Ready")</f>
        <v>Ready</v>
      </c>
    </row>
    <row r="5" spans="1:10" ht="14.5" customHeight="1" x14ac:dyDescent="0.2">
      <c r="A5" s="17"/>
      <c r="B5" s="18"/>
      <c r="C5" s="45"/>
      <c r="D5" s="45"/>
      <c r="E5" s="45"/>
      <c r="F5" s="45"/>
      <c r="G5" s="19"/>
      <c r="H5" s="45"/>
      <c r="I5" s="45"/>
      <c r="J5" s="53"/>
    </row>
    <row r="6" spans="1:10" ht="14.5" customHeight="1" x14ac:dyDescent="0.2">
      <c r="A6" s="17"/>
      <c r="B6" s="18"/>
      <c r="C6" s="45"/>
      <c r="D6" s="45"/>
      <c r="E6" s="45"/>
      <c r="F6" s="45"/>
      <c r="G6" s="19"/>
      <c r="H6" s="45"/>
      <c r="I6" s="45"/>
      <c r="J6" s="53"/>
    </row>
    <row r="7" spans="1:10" ht="14.5" customHeight="1" x14ac:dyDescent="0.2">
      <c r="A7" s="17"/>
      <c r="B7" s="18"/>
      <c r="C7" s="45"/>
      <c r="D7" s="45"/>
      <c r="E7" s="45"/>
      <c r="F7" s="45"/>
      <c r="G7" s="19"/>
      <c r="H7" s="45"/>
      <c r="I7" s="45"/>
      <c r="J7" s="53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4"/>
    </row>
    <row r="9" spans="1:10" ht="16" x14ac:dyDescent="0.2">
      <c r="A9" s="25" t="s">
        <v>0</v>
      </c>
      <c r="B9" s="26" t="s">
        <v>1</v>
      </c>
      <c r="C9" s="26" t="s">
        <v>2</v>
      </c>
      <c r="D9" s="26" t="s">
        <v>14</v>
      </c>
      <c r="E9" s="26" t="s">
        <v>63</v>
      </c>
      <c r="F9" s="27" t="s">
        <v>39</v>
      </c>
      <c r="G9" s="27" t="s">
        <v>64</v>
      </c>
      <c r="H9" s="26" t="s">
        <v>65</v>
      </c>
      <c r="I9" s="28" t="s">
        <v>74</v>
      </c>
      <c r="J9" s="28" t="s">
        <v>12</v>
      </c>
    </row>
    <row r="10" spans="1:10" ht="48" x14ac:dyDescent="0.2">
      <c r="A10" s="44" t="s">
        <v>97</v>
      </c>
      <c r="B10" s="29">
        <v>318.14999999999998</v>
      </c>
      <c r="C10" s="31" t="s">
        <v>20</v>
      </c>
      <c r="D10" s="1" t="s">
        <v>17</v>
      </c>
      <c r="E10" s="1" t="s">
        <v>7</v>
      </c>
      <c r="F10" s="2" t="s">
        <v>47</v>
      </c>
      <c r="G10" s="1">
        <v>1</v>
      </c>
      <c r="H10" s="1">
        <v>1</v>
      </c>
      <c r="I10" s="6">
        <v>1</v>
      </c>
      <c r="J10" s="5" t="s">
        <v>116</v>
      </c>
    </row>
    <row r="11" spans="1:10" ht="32" x14ac:dyDescent="0.2">
      <c r="A11" s="4" t="s">
        <v>67</v>
      </c>
      <c r="B11" s="29">
        <v>0.21740000000000001</v>
      </c>
      <c r="C11" s="2" t="s">
        <v>3</v>
      </c>
      <c r="D11" s="1" t="s">
        <v>23</v>
      </c>
      <c r="E11" s="1" t="s">
        <v>7</v>
      </c>
      <c r="F11" s="2" t="s">
        <v>40</v>
      </c>
      <c r="G11" s="1">
        <v>1</v>
      </c>
      <c r="H11" s="1">
        <f>[1]Initialization!$C$10</f>
        <v>2</v>
      </c>
      <c r="I11" s="6">
        <v>1</v>
      </c>
      <c r="J11" s="5" t="s">
        <v>115</v>
      </c>
    </row>
    <row r="12" spans="1:10" ht="32" x14ac:dyDescent="0.2">
      <c r="A12" s="4" t="s">
        <v>68</v>
      </c>
      <c r="B12" s="29">
        <f>1-B11</f>
        <v>0.78259999999999996</v>
      </c>
      <c r="C12" s="2" t="s">
        <v>3</v>
      </c>
      <c r="D12" s="1" t="s">
        <v>23</v>
      </c>
      <c r="E12" s="1" t="s">
        <v>7</v>
      </c>
      <c r="F12" s="2" t="s">
        <v>40</v>
      </c>
      <c r="G12" s="1"/>
      <c r="H12" s="1">
        <f>[1]Initialization!$C$10</f>
        <v>2</v>
      </c>
      <c r="I12" s="6">
        <v>1</v>
      </c>
      <c r="J12" s="5" t="s">
        <v>115</v>
      </c>
    </row>
    <row r="13" spans="1:10" ht="16" x14ac:dyDescent="0.2">
      <c r="A13" s="44" t="s">
        <v>107</v>
      </c>
      <c r="B13" s="29">
        <v>1.1814E-3</v>
      </c>
      <c r="C13" s="31" t="s">
        <v>108</v>
      </c>
      <c r="D13" s="1" t="s">
        <v>27</v>
      </c>
      <c r="E13" s="1" t="s">
        <v>7</v>
      </c>
      <c r="F13" s="2" t="s">
        <v>48</v>
      </c>
      <c r="G13" s="1">
        <v>1</v>
      </c>
      <c r="H13" s="1">
        <v>1</v>
      </c>
      <c r="I13" s="6">
        <v>1</v>
      </c>
      <c r="J13" s="5" t="s">
        <v>109</v>
      </c>
    </row>
    <row r="14" spans="1:10" ht="16" x14ac:dyDescent="0.2">
      <c r="A14" s="44" t="s">
        <v>110</v>
      </c>
      <c r="B14" s="29">
        <v>1.8369999999999999E-5</v>
      </c>
      <c r="C14" s="31" t="s">
        <v>111</v>
      </c>
      <c r="D14" s="1" t="s">
        <v>27</v>
      </c>
      <c r="E14" s="1" t="s">
        <v>7</v>
      </c>
      <c r="F14" s="2" t="s">
        <v>48</v>
      </c>
      <c r="G14" s="1">
        <v>1</v>
      </c>
      <c r="H14" s="1">
        <v>1</v>
      </c>
      <c r="I14" s="6">
        <v>1</v>
      </c>
      <c r="J14" s="5" t="s">
        <v>112</v>
      </c>
    </row>
    <row r="15" spans="1:10" ht="16" x14ac:dyDescent="0.2">
      <c r="A15" s="8" t="s">
        <v>78</v>
      </c>
      <c r="B15" s="30"/>
      <c r="C15" s="9"/>
      <c r="D15" s="10"/>
      <c r="E15" s="10"/>
      <c r="F15" s="9"/>
      <c r="G15" s="10">
        <v>1</v>
      </c>
      <c r="H15" s="10">
        <v>1</v>
      </c>
      <c r="I15" s="11">
        <v>0</v>
      </c>
      <c r="J15" s="12" t="s">
        <v>79</v>
      </c>
    </row>
  </sheetData>
  <sheetProtection algorithmName="SHA-512" hashValue="q7I1wjZPRj0YuAp6HOT3IDNl9i3oOmzZTVjAbbbq1B4GiQUd2I6xxqJDjl+tq0epRompHxMFPaoCwKPP5aqymA==" saltValue="ufMvhchh2VDYTx1gXAWnqg==" spinCount="100000" sheet="1" objects="1" scenarios="1" selectLockedCells="1"/>
  <mergeCells count="2">
    <mergeCell ref="A3:J3"/>
    <mergeCell ref="J4:J8"/>
  </mergeCells>
  <conditionalFormatting sqref="B10:B15">
    <cfRule type="expression" dxfId="19" priority="7">
      <formula>IF(AND($B10&lt;&gt;"",$I10=0),1,0)</formula>
    </cfRule>
    <cfRule type="expression" dxfId="18" priority="8">
      <formula>IF($B10&lt;&gt;"",1,0)</formula>
    </cfRule>
    <cfRule type="expression" dxfId="17" priority="9">
      <formula>$I10=0</formula>
    </cfRule>
  </conditionalFormatting>
  <conditionalFormatting sqref="J4">
    <cfRule type="expression" dxfId="16" priority="85">
      <formula>IF(COUNTA($B$10:$B$15)&lt;&gt;COUNTIF($I$10:$I$15,1),1,0)</formula>
    </cfRule>
    <cfRule type="expression" dxfId="15" priority="86">
      <formula>IF(COUNTA($B$10:$B$15)=COUNTIF($I$10:$I$15,1),1,0)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E10:E15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D10:D15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88</v>
      </c>
    </row>
    <row r="2" spans="1:1" x14ac:dyDescent="0.2">
      <c r="A2" t="s">
        <v>86</v>
      </c>
    </row>
    <row r="3" spans="1:1" x14ac:dyDescent="0.2">
      <c r="A3" t="s">
        <v>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F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6" x14ac:dyDescent="0.2">
      <c r="A1" t="s">
        <v>97</v>
      </c>
      <c r="B1" t="s">
        <v>67</v>
      </c>
      <c r="C1" t="s">
        <v>68</v>
      </c>
      <c r="D1" t="s">
        <v>107</v>
      </c>
      <c r="E1" t="s">
        <v>110</v>
      </c>
      <c r="F1" t="s">
        <v>78</v>
      </c>
    </row>
    <row r="2" spans="1:6" x14ac:dyDescent="0.2">
      <c r="A2">
        <v>318.14999999999998</v>
      </c>
      <c r="B2">
        <v>0.21740000000000001</v>
      </c>
      <c r="C2">
        <v>0.78259999999999996</v>
      </c>
      <c r="D2">
        <v>1.1814E-3</v>
      </c>
      <c r="E2">
        <v>1.8369999999999999E-5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F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6" x14ac:dyDescent="0.2">
      <c r="A1" t="s">
        <v>97</v>
      </c>
      <c r="B1" t="s">
        <v>67</v>
      </c>
      <c r="C1" t="s">
        <v>68</v>
      </c>
      <c r="D1" t="s">
        <v>107</v>
      </c>
      <c r="E1" t="s">
        <v>110</v>
      </c>
      <c r="F1" t="s">
        <v>78</v>
      </c>
    </row>
    <row r="2" spans="1:6" x14ac:dyDescent="0.2">
      <c r="A2">
        <v>1</v>
      </c>
      <c r="B2">
        <v>1</v>
      </c>
      <c r="C2">
        <v>1</v>
      </c>
      <c r="D2">
        <v>1</v>
      </c>
      <c r="E2">
        <v>1</v>
      </c>
      <c r="F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2022-09-14T15:43:08Z</dcterms:modified>
</cp:coreProperties>
</file>