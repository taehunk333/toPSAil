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1_kayser/1_time_driven/2-col_non-isothermal_axial_pressure_drop/1_simulation_inputs/"/>
    </mc:Choice>
  </mc:AlternateContent>
  <xr:revisionPtr revIDLastSave="0" documentId="13_ncr:1_{15F87D32-0789-0044-B5D6-5DC371FEA9C5}" xr6:coauthVersionLast="47" xr6:coauthVersionMax="47" xr10:uidLastSave="{00000000-0000-0000-0000-000000000000}"/>
  <bookViews>
    <workbookView xWindow="0" yWindow="0" windowWidth="28800" windowHeight="18000" tabRatio="818" activeTab="3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Integration'!$A$9:$J$11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Integration'!$A$2:$J$11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<sst xmlns="http://schemas.openxmlformats.org/spreadsheetml/2006/main" count="200" uniqueCount="116">
  <si>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</si>
  <si>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</si>
  <si>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</si>
  <si>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</si>
  <si>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</si>
  <si>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</si>
  <si>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</si>
  <si>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</si>
  <si>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</si>
  <si>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</si>
  <si>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</si>
  <si>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</si>
  <si>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</si>
  <si>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</si>
  <si>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</si>
  <si>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</si>
  <si>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</si>
  <si>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</si>
  <si>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</si>
  <si>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</si>
  <si>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</si>
  <si>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</si>
  <si>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</si>
  <si>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</si>
  <si>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</si>
  <si>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</si>
  <si>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</si>
  <si>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</si>
  <si>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</si>
  <si>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</si>
  <si>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</si>
  <si>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</si>
  <si>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</si>
  <si>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</si>
  <si>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</si>
  <si>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</si>
  <si>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</si>
  <si>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</si>
  <si>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</si>
  <si>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</si>
  <si>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</si>
  <si>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</si>
  <si>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</si>
  <si>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</si>
  <si>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</si>
  <si>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</si>
  <si>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</si>
  <si>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</si>
  <si>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</si>
  <si>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</si>
  <si>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</si>
  <si>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</si>
  <si>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</si>
  <si>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</si>
  <si>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</si>
  <si>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</si>
  <si>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</si>
  <si>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</si>
  <si>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</si>
  <si>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</si>
  <si>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</si>
  <si>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</si>
  <si>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</si>
  <si>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</si>
  <si>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</si>
  <si>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</si>
  <si>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</si>
  <si>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</si>
  <si>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</si>
  <si>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</si>
  <si>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</si>
  <si>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</si>
  <si>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</si>
  <si>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</si>
  <si>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</si>
  <si>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</si>
  <si>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</si>
  <si>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</si>
  <si>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</si>
  <si>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</si>
  <si>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</si>
  <si>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</si>
  <si>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</si>
  <si>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</si>
  <si>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</si>
  <si>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</si>
  <si>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</si>
  <si>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</si>
  <si>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</si>
  <si>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</si>
  <si>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</si>
  <si>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</si>
  <si>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</si>
  <si>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</si>
  <si>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</si>
  <si>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</si>
  <si>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</si>
  <si>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</si>
  <si>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</si>
  <si>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</si>
  <si>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</si>
  <si>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</si>
  <si>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</si>
  <si>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</si>
  <si>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</si>
  <si>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</si>
  <si>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</si>
  <si>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</si>
  <si>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</si>
  <si>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</si>
  <si>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number of well-mixed volumes (CSTRs) to be used to represent an adsorption column. Recommended value is less than equal to 200 CSTRs for a system with a sharp mass transfer zone. (reducing the number of CSTRs introduces an artificial numerical diffusion and increasing the number of CSTRs increases the computation time)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</si>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</sst>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1" totalsRowShown="0" headerRowDxfId="34" dataDxfId="32" headerRowBorderDxfId="33" tableBorderDxfId="31" totalsRowBorderDxfId="30">
  <autoFilter ref="A9:J11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28" hidden="1" customWidth="1"/>
    <col min="3" max="3" width="2.5" style="28" customWidth="1"/>
    <col min="4" max="4" width="13.83203125" style="28" customWidth="1"/>
    <col min="5" max="5" width="51.33203125" style="29" bestFit="1" customWidth="1"/>
    <col min="6" max="6" width="15.83203125" style="30" bestFit="1" customWidth="1"/>
    <col min="7" max="9" width="13.33203125" style="28" customWidth="1"/>
    <col min="10" max="10" width="48.83203125" style="28" customWidth="1"/>
    <col min="11" max="11" width="2.5" style="28" customWidth="1"/>
    <col min="12" max="12" width="0" style="28" hidden="1" customWidth="1"/>
    <col min="13" max="16384" width="9" style="28" hidden="1"/>
  </cols>
  <sheetData>
    <row r="3" spans="4:10" x14ac:dyDescent="0.2"/>
    <row r="4" spans="4:10" ht="19" x14ac:dyDescent="0.25">
      <c r="D4" s="38" t="s">
        <v>114</v>
      </c>
      <c r="E4" s="39"/>
      <c r="F4" s="40"/>
      <c r="G4" s="41"/>
      <c r="H4" s="41"/>
      <c r="I4" s="41"/>
      <c r="J4" s="31" t="s">
        <v>82</v>
      </c>
    </row>
    <row r="5" spans="4:10" ht="40" x14ac:dyDescent="0.2">
      <c r="D5" s="48" t="s">
        <v>36</v>
      </c>
      <c r="E5" s="48"/>
      <c r="F5" s="48"/>
      <c r="G5" s="48"/>
      <c r="H5" s="48"/>
      <c r="I5" s="48"/>
      <c r="J5" s="48"/>
    </row>
    <row r="6" spans="4:10" ht="20" x14ac:dyDescent="0.2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40" x14ac:dyDescent="0.2">
      <c r="D7" s="32">
        <v>1</v>
      </c>
      <c r="E7" s="33" t="s">
        <v>113</v>
      </c>
      <c r="F7" s="34">
        <v>44720</v>
      </c>
      <c r="G7" s="32" t="s">
        <v>37</v>
      </c>
      <c r="H7" s="32"/>
      <c r="I7" s="32"/>
      <c r="J7" s="33"/>
    </row>
    <row r="8" spans="4:10" ht="40" x14ac:dyDescent="0.2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9" x14ac:dyDescent="0.2">
      <c r="D9" s="32">
        <v>3</v>
      </c>
      <c r="E9" s="33"/>
      <c r="F9" s="34"/>
      <c r="G9" s="32"/>
      <c r="H9" s="32"/>
      <c r="I9" s="32"/>
      <c r="J9" s="33"/>
    </row>
    <row r="10" spans="4:10" ht="19" x14ac:dyDescent="0.2">
      <c r="D10" s="32">
        <v>4</v>
      </c>
      <c r="E10" s="33"/>
      <c r="F10" s="34"/>
      <c r="G10" s="32"/>
      <c r="H10" s="32"/>
      <c r="I10" s="32"/>
      <c r="J10" s="33"/>
    </row>
    <row r="11" spans="4:10" ht="19" x14ac:dyDescent="0.2">
      <c r="D11" s="32">
        <v>5</v>
      </c>
      <c r="E11" s="33"/>
      <c r="F11" s="34"/>
      <c r="G11" s="32"/>
      <c r="H11" s="32"/>
      <c r="I11" s="32"/>
      <c r="J11" s="33"/>
    </row>
    <row r="12" spans="4:10" ht="19" x14ac:dyDescent="0.2">
      <c r="D12" s="32">
        <v>6</v>
      </c>
      <c r="E12" s="33"/>
      <c r="F12" s="34"/>
      <c r="G12" s="32"/>
      <c r="H12" s="32"/>
      <c r="I12" s="32"/>
      <c r="J12" s="33"/>
    </row>
    <row r="13" spans="4:10" ht="19" x14ac:dyDescent="0.2">
      <c r="D13" s="32">
        <v>7</v>
      </c>
      <c r="E13" s="33"/>
      <c r="F13" s="34"/>
      <c r="G13" s="32"/>
      <c r="H13" s="32"/>
      <c r="I13" s="32"/>
      <c r="J13" s="33"/>
    </row>
    <row r="14" spans="4:10" ht="19" x14ac:dyDescent="0.2">
      <c r="D14" s="32">
        <v>8</v>
      </c>
      <c r="E14" s="33"/>
      <c r="F14" s="34"/>
      <c r="G14" s="32"/>
      <c r="H14" s="32"/>
      <c r="I14" s="32"/>
      <c r="J14" s="33"/>
    </row>
    <row r="15" spans="4:10" ht="19" x14ac:dyDescent="0.2">
      <c r="D15" s="32">
        <v>9</v>
      </c>
      <c r="E15" s="33"/>
      <c r="F15" s="34"/>
      <c r="G15" s="32"/>
      <c r="H15" s="32"/>
      <c r="I15" s="32"/>
      <c r="J15" s="33"/>
    </row>
    <row r="16" spans="4:10" ht="19" x14ac:dyDescent="0.2">
      <c r="D16" s="32">
        <v>10</v>
      </c>
      <c r="E16" s="33"/>
      <c r="F16" s="34"/>
      <c r="G16" s="32"/>
      <c r="H16" s="32"/>
      <c r="I16" s="32"/>
      <c r="J16" s="35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2" sqref="B12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2" spans="1:10" ht="15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49" t="s">
        <v>29</v>
      </c>
      <c r="B3" s="49"/>
      <c r="C3" s="49"/>
      <c r="D3" s="49"/>
      <c r="E3" s="49"/>
      <c r="F3" s="49"/>
      <c r="G3" s="49"/>
      <c r="H3" s="49"/>
      <c r="I3" s="49"/>
      <c r="J3" s="49"/>
    </row>
    <row r="4" spans="1:10" ht="14.5" customHeight="1" x14ac:dyDescent="0.2">
      <c r="A4" s="13"/>
      <c r="B4" s="14"/>
      <c r="C4" s="36"/>
      <c r="D4" s="15"/>
      <c r="E4" s="15"/>
      <c r="F4" s="15"/>
      <c r="G4" s="15"/>
      <c r="H4" s="15"/>
      <c r="I4" s="14"/>
      <c r="J4" s="50" t="str">
        <f>IF(COUNTIF(Table132[Test 3],1)=COUNTA(Table132[Value]),"Ready","Not Ready")</f>
        <v>Ready</v>
      </c>
    </row>
    <row r="5" spans="1:10" ht="14.5" customHeight="1" x14ac:dyDescent="0.2">
      <c r="A5" s="13"/>
      <c r="B5" s="14"/>
      <c r="C5" s="36"/>
      <c r="D5" s="15"/>
      <c r="E5" s="15"/>
      <c r="F5" s="15"/>
      <c r="G5" s="15"/>
      <c r="H5" s="15"/>
      <c r="I5" s="15"/>
      <c r="J5" s="51"/>
    </row>
    <row r="6" spans="1:10" ht="14.5" customHeight="1" x14ac:dyDescent="0.2">
      <c r="A6" s="13"/>
      <c r="B6" s="14"/>
      <c r="C6" s="36"/>
      <c r="D6" s="15"/>
      <c r="E6" s="15"/>
      <c r="F6" s="15"/>
      <c r="G6" s="15"/>
      <c r="H6" s="15"/>
      <c r="I6" s="15"/>
      <c r="J6" s="51"/>
    </row>
    <row r="7" spans="1:10" ht="14.5" customHeight="1" x14ac:dyDescent="0.2">
      <c r="A7" s="13"/>
      <c r="B7" s="14"/>
      <c r="C7" s="36"/>
      <c r="D7" s="15"/>
      <c r="E7" s="15"/>
      <c r="F7" s="15"/>
      <c r="G7" s="15"/>
      <c r="H7" s="15"/>
      <c r="I7" s="15"/>
      <c r="J7" s="51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2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2" x14ac:dyDescent="0.2">
      <c r="A10" s="4" t="s">
        <v>4</v>
      </c>
      <c r="B10" s="27">
        <v>200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32" x14ac:dyDescent="0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6" x14ac:dyDescent="0.2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8s9qY8f6K5vodG9pGyCv1ioMbZzEfdYoie/ZRD5n/Ghlwc+23TUaoUFH0ArZsiXRnWzHu9vuricKcKd6sAGJQQ==" saltValue="rhxMKHMFEfQSFOQRVZnnNg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J1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2" spans="1:10" ht="15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49" t="s">
        <v>29</v>
      </c>
      <c r="B3" s="49"/>
      <c r="C3" s="49"/>
      <c r="D3" s="49"/>
      <c r="E3" s="49"/>
      <c r="F3" s="49"/>
      <c r="G3" s="49"/>
      <c r="H3" s="49"/>
      <c r="I3" s="49"/>
      <c r="J3" s="49"/>
    </row>
    <row r="4" spans="1:10" ht="14.5" customHeight="1" x14ac:dyDescent="0.2">
      <c r="A4" s="13"/>
      <c r="B4" s="14"/>
      <c r="C4" s="36"/>
      <c r="D4" s="15"/>
      <c r="E4" s="15"/>
      <c r="F4" s="15"/>
      <c r="G4" s="15"/>
      <c r="H4" s="15"/>
      <c r="I4" s="14"/>
      <c r="J4" s="50" t="str">
        <f>IF(COUNTIF(Table134[Test 3],1)=COUNTA(Table134[Value]),"Ready","Not Ready")</f>
        <v>Ready</v>
      </c>
    </row>
    <row r="5" spans="1:10" ht="14.5" customHeight="1" x14ac:dyDescent="0.2">
      <c r="A5" s="13"/>
      <c r="B5" s="14"/>
      <c r="C5" s="36"/>
      <c r="D5" s="15"/>
      <c r="E5" s="15"/>
      <c r="F5" s="15"/>
      <c r="G5" s="15"/>
      <c r="H5" s="15"/>
      <c r="I5" s="15"/>
      <c r="J5" s="51"/>
    </row>
    <row r="6" spans="1:10" ht="14.5" customHeight="1" x14ac:dyDescent="0.2">
      <c r="A6" s="13"/>
      <c r="B6" s="14"/>
      <c r="C6" s="36"/>
      <c r="D6" s="15"/>
      <c r="E6" s="15"/>
      <c r="F6" s="15"/>
      <c r="G6" s="15"/>
      <c r="H6" s="15"/>
      <c r="I6" s="15"/>
      <c r="J6" s="51"/>
    </row>
    <row r="7" spans="1:10" ht="14.5" customHeight="1" x14ac:dyDescent="0.2">
      <c r="A7" s="13"/>
      <c r="B7" s="14"/>
      <c r="C7" s="36"/>
      <c r="D7" s="15"/>
      <c r="E7" s="15"/>
      <c r="F7" s="15"/>
      <c r="G7" s="15"/>
      <c r="H7" s="15"/>
      <c r="I7" s="15"/>
      <c r="J7" s="51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2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80" x14ac:dyDescent="0.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 ht="16" x14ac:dyDescent="0.2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RutPF8i1CjZfE3bEBvUHsBRQIDMkC7eUG7Xw0n1LcQslwkLmz/DH52dkG7SWj09MXZRFiqqa1dp7LXYg4SLP6g==" saltValue="TnLcUXIjcC1u9wz7sv00Ig==" spinCount="100000" sheet="1" objects="1" scenarios="1" selectLockedCells="1"/>
  <mergeCells count="2">
    <mergeCell ref="A3:J3"/>
    <mergeCell ref="J4:J8"/>
  </mergeCells>
  <conditionalFormatting sqref="B10:B11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IF(COUNTA($B$10:$B$11)&lt;&gt;COUNTIF($I$10:$I$11,1),1,0)</formula>
    </cfRule>
    <cfRule type="expression" dxfId="35" priority="193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F10:F11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D10:D11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E10:E11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5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2" spans="1:10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49" t="s">
        <v>29</v>
      </c>
      <c r="B3" s="49"/>
      <c r="C3" s="49"/>
      <c r="D3" s="49"/>
      <c r="E3" s="49"/>
      <c r="F3" s="49"/>
      <c r="G3" s="49"/>
      <c r="H3" s="49"/>
      <c r="I3" s="49"/>
      <c r="J3" s="49"/>
    </row>
    <row r="4" spans="1:10" ht="14.5" customHeight="1" x14ac:dyDescent="0.2">
      <c r="A4" s="13"/>
      <c r="B4" s="14"/>
      <c r="C4" s="36"/>
      <c r="D4" s="15"/>
      <c r="E4" s="15"/>
      <c r="F4" s="15"/>
      <c r="G4" s="15"/>
      <c r="H4" s="15"/>
      <c r="I4" s="14"/>
      <c r="J4" s="50" t="str">
        <f>IF(COUNTIF(Table13[Test 3],1)=COUNTA(Table13[Value]),"Ready","Not Ready")</f>
        <v>Ready</v>
      </c>
    </row>
    <row r="5" spans="1:10" ht="14.5" customHeight="1" x14ac:dyDescent="0.2">
      <c r="A5" s="13"/>
      <c r="B5" s="14"/>
      <c r="C5" s="36"/>
      <c r="D5" s="15"/>
      <c r="E5" s="15"/>
      <c r="F5" s="15"/>
      <c r="G5" s="15"/>
      <c r="H5" s="15"/>
      <c r="I5" s="15"/>
      <c r="J5" s="51"/>
    </row>
    <row r="6" spans="1:10" ht="14.5" customHeight="1" x14ac:dyDescent="0.2">
      <c r="A6" s="13"/>
      <c r="B6" s="14"/>
      <c r="C6" s="36"/>
      <c r="D6" s="15"/>
      <c r="E6" s="15"/>
      <c r="F6" s="15"/>
      <c r="G6" s="15"/>
      <c r="H6" s="15"/>
      <c r="I6" s="15"/>
      <c r="J6" s="51"/>
    </row>
    <row r="7" spans="1:10" ht="14.5" customHeight="1" x14ac:dyDescent="0.2">
      <c r="A7" s="13"/>
      <c r="B7" s="14"/>
      <c r="C7" s="36"/>
      <c r="D7" s="15"/>
      <c r="E7" s="15"/>
      <c r="F7" s="15"/>
      <c r="G7" s="15"/>
      <c r="H7" s="15"/>
      <c r="I7" s="15"/>
      <c r="J7" s="51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2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48" x14ac:dyDescent="0.2">
      <c r="A10" s="4" t="s">
        <v>108</v>
      </c>
      <c r="B10" s="46">
        <v>1E-8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112</v>
      </c>
    </row>
    <row r="11" spans="1:10" ht="16" x14ac:dyDescent="0.2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GDib3Xp3vsyJibPFWlLEf9Z2CW1DE7Qivokao2wDG58X3b0i9rjQ0Lu00ejb8uKs4s0PiDa+KE+4E+S0/39lJA==" saltValue="K89fgjM1apUn45iOTxh8dQ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baseColWidth="10" defaultColWidth="0" defaultRowHeight="0" customHeight="1" zeroHeight="1" x14ac:dyDescent="0.2"/>
  <cols>
    <col min="1" max="2" width="8.83203125" style="42" customWidth="1"/>
    <col min="3" max="3" width="13.1640625" style="42" customWidth="1"/>
    <col min="4" max="4" width="13.5" style="42" customWidth="1"/>
    <col min="5" max="6" width="8.83203125" style="42" customWidth="1"/>
    <col min="7" max="7" width="14.8320312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5" style="42" customWidth="1"/>
    <col min="12" max="17" width="8.83203125" style="42" customWidth="1"/>
    <col min="18" max="16384" width="8.83203125" style="42" hidden="1"/>
  </cols>
  <sheetData>
    <row r="1" spans="1:17" ht="15" x14ac:dyDescent="0.2">
      <c r="A1" s="20" t="s">
        <v>115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5" x14ac:dyDescent="0.2">
      <c r="A2" s="53" t="s">
        <v>105</v>
      </c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</row>
    <row r="3" spans="1:17" ht="15" x14ac:dyDescent="0.2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5" x14ac:dyDescent="0.2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5" x14ac:dyDescent="0.2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5" x14ac:dyDescent="0.2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5" x14ac:dyDescent="0.2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5" x14ac:dyDescent="0.2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5" x14ac:dyDescent="0.2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5" x14ac:dyDescent="0.2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5" x14ac:dyDescent="0.2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5" x14ac:dyDescent="0.2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5" x14ac:dyDescent="0.2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5" x14ac:dyDescent="0.2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5" x14ac:dyDescent="0.2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5" x14ac:dyDescent="0.2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5" x14ac:dyDescent="0.2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5" x14ac:dyDescent="0.2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5" x14ac:dyDescent="0.2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5" x14ac:dyDescent="0.2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5" x14ac:dyDescent="0.2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5" x14ac:dyDescent="0.2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5" x14ac:dyDescent="0.2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5" x14ac:dyDescent="0.2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5" x14ac:dyDescent="0.2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5" x14ac:dyDescent="0.2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5" x14ac:dyDescent="0.2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5" x14ac:dyDescent="0.2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5" x14ac:dyDescent="0.2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5" x14ac:dyDescent="0.2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5" x14ac:dyDescent="0.2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5" x14ac:dyDescent="0.2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5" x14ac:dyDescent="0.2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93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G2"/>
  <sheetViews>
    <sheetView workbookViewId="0">
      <selection activeCell="CQ1" sqref="CQ1"/>
    </sheetView>
  </sheetViews>
  <sheetFormatPr baseColWidth="10" defaultColWidth="8.83203125" defaultRowHeight="15" x14ac:dyDescent="0.2"/>
  <sheetData>
    <row r="1" spans="1:7" x14ac:dyDescent="0.2">
      <c r="A1" t="s">
        <v>4</v>
      </c>
      <c r="B1" t="s">
        <v>106</v>
      </c>
      <c r="C1" t="s">
        <v>75</v>
      </c>
      <c r="D1" t="s">
        <v>95</v>
      </c>
      <c r="E1" t="s">
        <v>75</v>
      </c>
      <c r="F1" t="s">
        <v>108</v>
      </c>
      <c r="G1" t="s">
        <v>75</v>
      </c>
    </row>
    <row r="2" spans="1:7" x14ac:dyDescent="0.2">
      <c r="A2">
        <v>200</v>
      </c>
      <c r="B2">
        <v>25</v>
      </c>
      <c r="D2" t="s">
        <v>99</v>
      </c>
      <c r="F2">
        <v>1E-8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G2"/>
  <sheetViews>
    <sheetView workbookViewId="0">
      <selection activeCell="CQ1" sqref="CQ1"/>
    </sheetView>
  </sheetViews>
  <sheetFormatPr baseColWidth="10" defaultColWidth="8.83203125" defaultRowHeight="15" x14ac:dyDescent="0.2"/>
  <sheetData>
    <row r="1" spans="1:7" x14ac:dyDescent="0.2">
      <c r="A1" t="s">
        <v>4</v>
      </c>
      <c r="B1" t="s">
        <v>106</v>
      </c>
      <c r="C1" t="s">
        <v>75</v>
      </c>
      <c r="D1" t="s">
        <v>95</v>
      </c>
      <c r="E1" t="s">
        <v>75</v>
      </c>
      <c r="F1" t="s">
        <v>108</v>
      </c>
      <c r="G1" t="s">
        <v>75</v>
      </c>
    </row>
    <row r="2" spans="1:7" x14ac:dyDescent="0.2">
      <c r="A2">
        <v>1</v>
      </c>
      <c r="B2">
        <v>1</v>
      </c>
      <c r="C2">
        <v>0</v>
      </c>
      <c r="D2">
        <v>1</v>
      </c>
      <c r="E2">
        <v>0</v>
      </c>
      <c r="F2">
        <v>1</v>
      </c>
      <c r="G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2022-09-15T00:13:43Z</dcterms:modified>
</cp:coreProperties>
</file>