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isothermal_no_axial_pressure_drop\1_simulation_inputs\"/>
    </mc:Choice>
  </mc:AlternateContent>
  <xr:revisionPtr revIDLastSave="0" documentId="13_ncr:1_{766D5278-7283-4BF0-BAC6-1494A02A1D18}" xr6:coauthVersionLast="47" xr6:coauthVersionMax="47" xr10:uidLastSave="{00000000-0000-0000-0000-000000000000}"/>
  <bookViews>
    <workbookView xWindow="12510" yWindow="-13275" windowWidth="17280" windowHeight="942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Isotherm'!$A$2:$J$15</definedName>
    <definedName name="_xlnm.Print_Area" localSheetId="6">'Adsorption Kinetics'!$A$2:$J$12</definedName>
    <definedName name="_xlnm.Print_Area" localSheetId="4">Densities!$A$2:$J$13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57" l="1"/>
  <c r="I11" i="57"/>
  <c r="J4" i="58"/>
  <c r="J2" i="58"/>
  <c r="A2" i="58"/>
  <c r="J4" i="57"/>
  <c r="J2" i="57"/>
  <c r="A2" i="57"/>
  <c r="J4" i="56"/>
  <c r="J2" i="56"/>
  <c r="A2" i="56"/>
  <c r="H10" i="53" l="1"/>
  <c r="H11" i="53"/>
  <c r="H13" i="53" l="1"/>
  <c r="H12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<sst xmlns="http://schemas.openxmlformats.org/spreadsheetml/2006/main" count="351" uniqueCount="164">
  <si>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</si>
  <si>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</si>
  <si>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</si>
  <si>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</si>
  <si>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</si>
  <si>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</si>
  <si>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</si>
  <si>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</si>
  <si>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</si>
  <si>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</si>
  <si>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</si>
  <si>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</si>
  <si>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</si>
  <si>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</si>
  <si>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</si>
  <si>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</si>
  <si>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</si>
  <si>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</si>
  <si>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</si>
  <si>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</si>
  <si>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</si>
  <si>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</si>
  <si>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</si>
  <si>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</si>
  <si>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</si>
  <si>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</si>
  <si>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</si>
  <si>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</si>
  <si>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</si>
  <si>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</si>
  <si>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</si>
  <si>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</si>
  <si>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</si>
  <si>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</si>
  <si>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</si>
  <si>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</si>
  <si>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</si>
  <si>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</si>
  <si>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</si>
  <si>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</si>
  <si>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</si>
  <si>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</si>
  <si>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</si>
  <si>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</si>
  <si>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</si>
  <si>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</si>
  <si>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</si>
  <si>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</si>
  <si>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</si>
  <si>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</si>
  <si>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</si>
  <si>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</si>
  <si>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</si>
  <si>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</si>
  <si>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</si>
  <si>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</si>
  <si>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</si>
  <si>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</si>
  <si>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</si>
  <si>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</si>
  <si>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</si>
  <si>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</si>
  <si>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</si>
  <si>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</si>
  <si>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</si>
  <si>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</si>
  <si>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</si>
  <si>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</si>
  <si>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skelDens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</si>
  <si>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</si>
  <si>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</si>
  <si>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</si>
  <si>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</si>
  <si>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</si>
  <si>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</si>
  <si>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</si>
  <si>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</si>
  <si>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</si>
  <si>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</si>
  <si>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</si>
  <si>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</si>
  <si>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</si>
  <si>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</si>
  <si>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</si>
  <si>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</si>
  <si>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</si>
  <si>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</si>
  <si>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</si>
  <si>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</si>
  <si>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</si>
  <si>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</si>
  <si>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</si>
  <si>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</si>
  <si>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</si>
  <si>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</si>
  <si>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</si>
  <si>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</si>
  <si>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</si>
  <si>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Skeletal (solid) density: mass of adsorbent divided by volume of adsorbent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</si>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</sst>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2585" y="590550"/>
          <a:ext cx="6111377" cy="56045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1020" y="1143447"/>
          <a:ext cx="4390157" cy="427484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2" dataDxfId="130" headerRowBorderDxfId="131" tableBorderDxfId="129" totalsRowBorderDxfId="128">
  <autoFilter ref="A9:J11" xr:uid="{B089C5C3-2CCE-4800-96CA-2131BB6E3E4F}"/>
  <tableColumns count="10">
    <tableColumn id="1" xr3:uid="{A63D443C-23FA-C546-879B-699C109A0CA2}" name="Variable" dataDxfId="127"/>
    <tableColumn id="4" xr3:uid="{1A5FFB41-EB4E-E74A-8922-4B34B9316DE5}" name="Value" dataDxfId="126"/>
    <tableColumn id="5" xr3:uid="{BF7F7945-F7EF-9B43-BD77-AD1154395D6F}" name="Unit" dataDxfId="125"/>
    <tableColumn id="6" xr3:uid="{97B66A41-BCC9-AB4A-9001-73F9BCD59411}" name="Comparisons" dataDxfId="124"/>
    <tableColumn id="7" xr3:uid="{0CC57FA7-D6D5-D04B-8A50-C681928970E3}" name="Variable Type" dataDxfId="123"/>
    <tableColumn id="8" xr3:uid="{793541F2-DD76-C241-9A02-11BCAFDBFB73}" name="Dependency" dataDxfId="122"/>
    <tableColumn id="12" xr3:uid="{77D37813-222C-3645-B2B0-7C5CE186734F}" name="Test 1" dataDxfId="121"/>
    <tableColumn id="10" xr3:uid="{705C6C59-C9FA-CF40-8C63-CC7BAA8D5513}" name="Test 2" dataDxfId="120"/>
    <tableColumn id="2" xr3:uid="{3CCF3320-E3BD-5A4C-926A-DD0EC2697FB0}" name="Test 3" dataDxfId="119"/>
    <tableColumn id="9" xr3:uid="{DFCD7E77-6792-EC4A-8937-7BD5661A57E7}" name="Description" dataDxfId="1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9" dataDxfId="107" headerRowBorderDxfId="108" tableBorderDxfId="106" totalsRowBorderDxfId="105">
  <autoFilter ref="A9:J13" xr:uid="{B089C5C3-2CCE-4800-96CA-2131BB6E3E4F}"/>
  <tableColumns count="10">
    <tableColumn id="1" xr3:uid="{20310A95-CEA4-0E46-A375-D38774A1331C}" name="Variable" dataDxfId="104"/>
    <tableColumn id="4" xr3:uid="{677D6E7A-ABBB-7F47-BEBA-202C00329494}" name="Value" dataDxfId="103"/>
    <tableColumn id="5" xr3:uid="{4C9D6E28-38C2-434B-8F96-F002277F8DF6}" name="Unit" dataDxfId="102"/>
    <tableColumn id="6" xr3:uid="{14421855-DDE0-1B4F-9E2F-0DCEAE184349}" name="Comparisons" dataDxfId="101"/>
    <tableColumn id="7" xr3:uid="{B52A6C11-F701-BB42-BCC5-C034770E9DBB}" name="Variable Type" dataDxfId="100"/>
    <tableColumn id="8" xr3:uid="{7995AC5C-141D-1241-85F4-ED670AA6D852}" name="Dependency" dataDxfId="99"/>
    <tableColumn id="12" xr3:uid="{36F66342-4897-3D48-B96B-71B0734889A5}" name="Test 1" dataDxfId="98"/>
    <tableColumn id="10" xr3:uid="{7FE5DC9B-6534-0E47-9DE7-3B926E4C9E93}" name="Test 2" dataDxfId="97"/>
    <tableColumn id="2" xr3:uid="{B9967632-3249-EA4A-A375-C9085B3EE56A}" name="Test 3" dataDxfId="96"/>
    <tableColumn id="9" xr3:uid="{A656D5B2-43BE-D144-B69B-B013AE6BC6D4}" name="Description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15" totalsRowShown="0" headerRowDxfId="60" dataDxfId="58" headerRowBorderDxfId="59" tableBorderDxfId="57" totalsRowBorderDxfId="56">
  <autoFilter ref="A9:J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161</v>
      </c>
      <c r="E4" s="52"/>
      <c r="F4" s="53"/>
      <c r="G4" s="54"/>
      <c r="H4" s="54"/>
      <c r="I4" s="54"/>
      <c r="J4" s="39" t="s">
        <v>102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5" t="s">
        <v>35</v>
      </c>
      <c r="E6" s="45" t="s">
        <v>158</v>
      </c>
      <c r="F6" s="45" t="s">
        <v>36</v>
      </c>
      <c r="G6" s="45" t="s">
        <v>37</v>
      </c>
      <c r="H6" s="45" t="s">
        <v>38</v>
      </c>
      <c r="I6" s="45" t="s">
        <v>39</v>
      </c>
      <c r="J6" s="45" t="s">
        <v>40</v>
      </c>
    </row>
    <row r="7" spans="4:10" ht="54">
      <c r="D7" s="40">
        <v>1</v>
      </c>
      <c r="E7" s="41" t="s">
        <v>163</v>
      </c>
      <c r="F7" s="42">
        <v>44720</v>
      </c>
      <c r="G7" s="40" t="s">
        <v>42</v>
      </c>
      <c r="H7" s="40"/>
      <c r="I7" s="40"/>
      <c r="J7" s="41"/>
    </row>
    <row r="8" spans="4:10" ht="36">
      <c r="D8" s="40">
        <v>2</v>
      </c>
      <c r="E8" s="41" t="s">
        <v>159</v>
      </c>
      <c r="F8" s="42">
        <v>44818</v>
      </c>
      <c r="G8" s="40" t="s">
        <v>42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73</v>
      </c>
      <c r="E1" t="s">
        <v>82</v>
      </c>
      <c r="F1" t="s">
        <v>83</v>
      </c>
      <c r="G1" s="1" t="s">
        <v>84</v>
      </c>
      <c r="H1" s="1" t="s">
        <v>85</v>
      </c>
      <c r="I1" s="1" t="s">
        <v>86</v>
      </c>
      <c r="J1" s="7" t="s">
        <v>88</v>
      </c>
      <c r="K1" s="7" t="s">
        <v>6</v>
      </c>
      <c r="L1" t="s">
        <v>100</v>
      </c>
      <c r="M1" t="s">
        <v>95</v>
      </c>
      <c r="N1" t="s">
        <v>96</v>
      </c>
      <c r="O1" t="s">
        <v>101</v>
      </c>
      <c r="P1" t="s">
        <v>106</v>
      </c>
      <c r="Q1" t="s">
        <v>127</v>
      </c>
      <c r="R1" t="s">
        <v>135</v>
      </c>
      <c r="S1" t="s">
        <v>136</v>
      </c>
      <c r="T1" t="s">
        <v>147</v>
      </c>
      <c r="U1" t="s">
        <v>148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29</v>
      </c>
      <c r="C3" t="s">
        <v>44</v>
      </c>
      <c r="D3" t="s">
        <v>91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149</v>
      </c>
    </row>
    <row r="4" spans="1:21">
      <c r="A4" t="s">
        <v>99</v>
      </c>
      <c r="B4" t="s">
        <v>26</v>
      </c>
      <c r="C4" t="s">
        <v>48</v>
      </c>
      <c r="D4" t="s">
        <v>92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150</v>
      </c>
    </row>
    <row r="5" spans="1:21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151</v>
      </c>
    </row>
    <row r="6" spans="1:21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152</v>
      </c>
    </row>
    <row r="7" spans="1:21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153</v>
      </c>
    </row>
    <row r="8" spans="1:21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154</v>
      </c>
    </row>
    <row r="9" spans="1:21">
      <c r="B9" t="s">
        <v>107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155</v>
      </c>
    </row>
    <row r="10" spans="1:21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145</v>
      </c>
    </row>
    <row r="12" spans="1:21">
      <c r="B12" t="s">
        <v>108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56</v>
      </c>
      <c r="J13">
        <v>1</v>
      </c>
    </row>
    <row r="14" spans="1:21">
      <c r="B14" t="s">
        <v>25</v>
      </c>
      <c r="C14" t="s">
        <v>57</v>
      </c>
      <c r="J14">
        <v>2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  <c r="J16" t="s">
        <v>146</v>
      </c>
    </row>
    <row r="17" spans="2:10">
      <c r="B17" t="s">
        <v>18</v>
      </c>
      <c r="C17" t="s">
        <v>60</v>
      </c>
      <c r="J17" t="s">
        <v>8</v>
      </c>
    </row>
    <row r="18" spans="2:10">
      <c r="B18" t="s">
        <v>19</v>
      </c>
      <c r="C18" t="s">
        <v>61</v>
      </c>
      <c r="J18">
        <v>1</v>
      </c>
    </row>
    <row r="19" spans="2:10">
      <c r="C19" t="s">
        <v>33</v>
      </c>
      <c r="J19">
        <v>2</v>
      </c>
    </row>
    <row r="20" spans="2:10">
      <c r="C20" t="s">
        <v>4</v>
      </c>
      <c r="J20">
        <v>3</v>
      </c>
    </row>
    <row r="21" spans="2:10">
      <c r="C21" t="s">
        <v>46</v>
      </c>
      <c r="J21">
        <v>4</v>
      </c>
    </row>
    <row r="22" spans="2:10">
      <c r="C22" t="s">
        <v>45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28.8">
      <c r="A10" s="4" t="s">
        <v>156</v>
      </c>
      <c r="B10" s="33">
        <v>0.2</v>
      </c>
      <c r="C10" s="2" t="s">
        <v>78</v>
      </c>
      <c r="D10" s="1" t="s">
        <v>26</v>
      </c>
      <c r="E10" s="1" t="s">
        <v>7</v>
      </c>
      <c r="F10" s="2" t="s">
        <v>52</v>
      </c>
      <c r="G10" s="1">
        <v>1</v>
      </c>
      <c r="H10" s="6">
        <v>1</v>
      </c>
      <c r="I10" s="6">
        <v>1</v>
      </c>
      <c r="J10" s="5" t="s">
        <v>157</v>
      </c>
    </row>
    <row r="11" spans="1:10" ht="14.4">
      <c r="A11" s="8" t="s">
        <v>93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94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40" priority="7">
      <formula>IF(AND($B11&lt;&gt;"",$I11=0),1,0)</formula>
    </cfRule>
    <cfRule type="expression" dxfId="139" priority="8">
      <formula>IF($B11&lt;&gt;"",1,0)</formula>
    </cfRule>
    <cfRule type="expression" dxfId="138" priority="9">
      <formula>$I11=0</formula>
    </cfRule>
  </conditionalFormatting>
  <conditionalFormatting sqref="B10">
    <cfRule type="expression" dxfId="137" priority="1">
      <formula>IF(AND($B10&lt;&gt;"",$I10=0),1,0)</formula>
    </cfRule>
    <cfRule type="expression" dxfId="136" priority="2">
      <formula>IF($B10&lt;&gt;"",1,0)</formula>
    </cfRule>
    <cfRule type="expression" dxfId="135" priority="3">
      <formula>$I10=0</formula>
    </cfRule>
  </conditionalFormatting>
  <conditionalFormatting sqref="J4">
    <cfRule type="expression" dxfId="134" priority="2056">
      <formula>IF(COUNTA($B$10:$B$11)&lt;&gt;COUNTIF($I$10:$I$11,1),1,0)</formula>
    </cfRule>
    <cfRule type="expression" dxfId="13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72">
      <c r="A10" s="4" t="s">
        <v>128</v>
      </c>
      <c r="B10" s="33">
        <v>1</v>
      </c>
      <c r="C10" s="2" t="s">
        <v>3</v>
      </c>
      <c r="D10" s="1" t="s">
        <v>26</v>
      </c>
      <c r="E10" s="1" t="s">
        <v>99</v>
      </c>
      <c r="F10" s="2" t="s">
        <v>44</v>
      </c>
      <c r="G10" s="1">
        <v>1</v>
      </c>
      <c r="H10" s="1">
        <v>1</v>
      </c>
      <c r="I10" s="6">
        <v>1</v>
      </c>
      <c r="J10" s="5" t="s">
        <v>140</v>
      </c>
    </row>
    <row r="11" spans="1:10" ht="14.4">
      <c r="A11" s="4" t="s">
        <v>143</v>
      </c>
      <c r="B11" s="33"/>
      <c r="C11" s="2" t="s">
        <v>3</v>
      </c>
      <c r="D11" s="1" t="s">
        <v>26</v>
      </c>
      <c r="E11" s="1" t="s">
        <v>7</v>
      </c>
      <c r="F11" s="2" t="s">
        <v>33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141</v>
      </c>
    </row>
    <row r="12" spans="1:10" ht="14.4">
      <c r="A12" s="4" t="s">
        <v>144</v>
      </c>
      <c r="B12" s="33"/>
      <c r="C12" s="2" t="s">
        <v>3</v>
      </c>
      <c r="D12" s="1" t="s">
        <v>26</v>
      </c>
      <c r="E12" s="1" t="s">
        <v>7</v>
      </c>
      <c r="F12" s="2" t="s">
        <v>33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142</v>
      </c>
    </row>
    <row r="13" spans="1:10" ht="14.4">
      <c r="A13" s="8" t="s">
        <v>93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94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7" priority="7">
      <formula>IF(AND($B11&lt;&gt;"",$I11=0),1,0)</formula>
    </cfRule>
    <cfRule type="expression" dxfId="116" priority="8">
      <formula>IF($B11&lt;&gt;"",1,0)</formula>
    </cfRule>
    <cfRule type="expression" dxfId="115" priority="9">
      <formula>$I11=0</formula>
    </cfRule>
  </conditionalFormatting>
  <conditionalFormatting sqref="B10">
    <cfRule type="expression" dxfId="114" priority="1">
      <formula>IF(AND($B10&lt;&gt;"",$I10=0),1,0)</formula>
    </cfRule>
    <cfRule type="expression" dxfId="113" priority="2">
      <formula>IF($B10&lt;&gt;"",1,0)</formula>
    </cfRule>
    <cfRule type="expression" dxfId="112" priority="3">
      <formula>$I10=0</formula>
    </cfRule>
  </conditionalFormatting>
  <conditionalFormatting sqref="J4">
    <cfRule type="expression" dxfId="111" priority="2058">
      <formula>IF(COUNTA($B$10:$B$13)&lt;&gt;COUNTIF($I$10:$I$13,1),1,0)</formula>
    </cfRule>
    <cfRule type="expression" dxfId="110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28.8">
      <c r="A10" s="4" t="s">
        <v>68</v>
      </c>
      <c r="B10" s="33">
        <v>1.552E-3</v>
      </c>
      <c r="C10" s="2" t="s">
        <v>21</v>
      </c>
      <c r="D10" s="1" t="s">
        <v>26</v>
      </c>
      <c r="E10" s="1" t="s">
        <v>7</v>
      </c>
      <c r="F10" s="2" t="s">
        <v>44</v>
      </c>
      <c r="G10" s="1">
        <v>1</v>
      </c>
      <c r="H10" s="6">
        <v>1</v>
      </c>
      <c r="I10" s="6">
        <v>1</v>
      </c>
      <c r="J10" s="5" t="s">
        <v>98</v>
      </c>
    </row>
    <row r="11" spans="1:10" ht="28.8">
      <c r="A11" s="4" t="s">
        <v>69</v>
      </c>
      <c r="B11" s="33">
        <v>1.552E-3</v>
      </c>
      <c r="C11" s="2" t="s">
        <v>21</v>
      </c>
      <c r="D11" s="1" t="s">
        <v>26</v>
      </c>
      <c r="E11" s="1" t="s">
        <v>7</v>
      </c>
      <c r="F11" s="2" t="s">
        <v>44</v>
      </c>
      <c r="G11" s="1">
        <v>1</v>
      </c>
      <c r="H11" s="6">
        <v>1</v>
      </c>
      <c r="I11" s="6">
        <v>1</v>
      </c>
      <c r="J11" s="5" t="s">
        <v>126</v>
      </c>
    </row>
    <row r="12" spans="1:10" ht="28.8">
      <c r="A12" s="4" t="s">
        <v>70</v>
      </c>
      <c r="B12" s="33">
        <v>8.0999999999999996E-4</v>
      </c>
      <c r="C12" s="2" t="s">
        <v>21</v>
      </c>
      <c r="D12" s="1" t="s">
        <v>26</v>
      </c>
      <c r="E12" s="1" t="s">
        <v>7</v>
      </c>
      <c r="F12" s="2" t="s">
        <v>44</v>
      </c>
      <c r="G12" s="1">
        <v>1</v>
      </c>
      <c r="H12" s="6">
        <v>1</v>
      </c>
      <c r="I12" s="6">
        <v>1</v>
      </c>
      <c r="J12" s="5" t="s">
        <v>97</v>
      </c>
    </row>
    <row r="13" spans="1:10" ht="14.4">
      <c r="A13" s="8" t="s">
        <v>93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94</v>
      </c>
    </row>
  </sheetData>
  <sheetProtection algorithmName="SHA-512" hashValue="xqk89dRm6alzcSRc8nzcWJYtu35hsSTNMvFTmHX2/EbxPYxRk7N2C32rcXjz37/krwBLxm7mDXElayTtwvf3TA==" saltValue="qvEGu6giM8G4VNKgPPC0xA==" spinCount="100000" sheet="1" objects="1" scenarios="1" selectLockedCells="1"/>
  <mergeCells count="2">
    <mergeCell ref="A3:J3"/>
    <mergeCell ref="J4:J8"/>
  </mergeCells>
  <conditionalFormatting sqref="B11:B13">
    <cfRule type="expression" dxfId="94" priority="7">
      <formula>IF(AND($B11&lt;&gt;"",$I11=0),1,0)</formula>
    </cfRule>
    <cfRule type="expression" dxfId="93" priority="8">
      <formula>IF($B11&lt;&gt;"",1,0)</formula>
    </cfRule>
    <cfRule type="expression" dxfId="92" priority="9">
      <formula>$I11=0</formula>
    </cfRule>
  </conditionalFormatting>
  <conditionalFormatting sqref="B10">
    <cfRule type="expression" dxfId="91" priority="1">
      <formula>IF(AND($B10&lt;&gt;"",$I10=0),1,0)</formula>
    </cfRule>
    <cfRule type="expression" dxfId="90" priority="2">
      <formula>IF($B10&lt;&gt;"",1,0)</formula>
    </cfRule>
    <cfRule type="expression" dxfId="89" priority="3">
      <formula>$I10=0</formula>
    </cfRule>
  </conditionalFormatting>
  <conditionalFormatting sqref="J4">
    <cfRule type="expression" dxfId="88" priority="2060">
      <formula>IF(COUNTA($B$10:$B$13)&lt;&gt;COUNTIF($I$10:$I$13,1),1,0)</formula>
    </cfRule>
    <cfRule type="expression" dxfId="87" priority="2061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D10:D13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F10:F13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28.8">
      <c r="A10" s="4" t="s">
        <v>74</v>
      </c>
      <c r="B10" s="33">
        <v>2903.4751548481281</v>
      </c>
      <c r="C10" s="2" t="s">
        <v>22</v>
      </c>
      <c r="D10" s="1" t="s">
        <v>26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79</v>
      </c>
    </row>
    <row r="11" spans="1:10" ht="28.8">
      <c r="A11" s="4" t="s">
        <v>77</v>
      </c>
      <c r="B11" s="33">
        <v>5311.235039356332</v>
      </c>
      <c r="C11" s="2" t="s">
        <v>22</v>
      </c>
      <c r="D11" s="1" t="s">
        <v>26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79</v>
      </c>
    </row>
    <row r="12" spans="1:10" ht="28.8">
      <c r="A12" s="4" t="s">
        <v>75</v>
      </c>
      <c r="B12" s="33">
        <v>1</v>
      </c>
      <c r="C12" s="2" t="s">
        <v>23</v>
      </c>
      <c r="D12" s="1" t="s">
        <v>26</v>
      </c>
      <c r="E12" s="1" t="s">
        <v>7</v>
      </c>
      <c r="F12" s="2" t="s">
        <v>5</v>
      </c>
      <c r="G12" s="1">
        <v>1</v>
      </c>
      <c r="H12" s="55">
        <f>[1]Initialization!$B$10</f>
        <v>2</v>
      </c>
      <c r="I12" s="6">
        <v>1</v>
      </c>
      <c r="J12" s="5" t="s">
        <v>80</v>
      </c>
    </row>
    <row r="13" spans="1:10" ht="28.8">
      <c r="A13" s="4" t="s">
        <v>76</v>
      </c>
      <c r="B13" s="33">
        <v>1</v>
      </c>
      <c r="C13" s="2" t="s">
        <v>23</v>
      </c>
      <c r="D13" s="1" t="s">
        <v>26</v>
      </c>
      <c r="E13" s="1" t="s">
        <v>7</v>
      </c>
      <c r="F13" s="2" t="s">
        <v>5</v>
      </c>
      <c r="G13" s="1"/>
      <c r="H13" s="55">
        <f>[1]Initialization!$B$10</f>
        <v>2</v>
      </c>
      <c r="I13" s="6">
        <v>1</v>
      </c>
      <c r="J13" s="5" t="s">
        <v>80</v>
      </c>
    </row>
    <row r="14" spans="1:10" ht="28.8">
      <c r="A14" s="46" t="s">
        <v>138</v>
      </c>
      <c r="B14" s="33">
        <v>318.14999999999998</v>
      </c>
      <c r="C14" s="35" t="s">
        <v>20</v>
      </c>
      <c r="D14" s="1" t="s">
        <v>26</v>
      </c>
      <c r="E14" s="1" t="s">
        <v>7</v>
      </c>
      <c r="F14" s="2" t="s">
        <v>51</v>
      </c>
      <c r="G14" s="1">
        <v>1</v>
      </c>
      <c r="H14" s="1">
        <v>1</v>
      </c>
      <c r="I14" s="6">
        <v>1</v>
      </c>
      <c r="J14" s="5" t="s">
        <v>139</v>
      </c>
    </row>
    <row r="15" spans="1:10" ht="14.4">
      <c r="A15" s="8" t="s">
        <v>93</v>
      </c>
      <c r="B15" s="34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94</v>
      </c>
    </row>
  </sheetData>
  <sheetProtection algorithmName="SHA-512" hashValue="9I13mF9IENN4fRSqyQdZCIXOXnd1Rq/KEhwXiPm5WoIrgsr6S1BpTYj++MBECq5szFkunWOyikiWbJbbKif83g==" saltValue="hINIR+jwdSLw/ALczPuDFg==" spinCount="100000" sheet="1" objects="1" scenarios="1" selectLockedCells="1"/>
  <mergeCells count="2">
    <mergeCell ref="A3:J3"/>
    <mergeCell ref="J4:J8"/>
  </mergeCells>
  <conditionalFormatting sqref="B15">
    <cfRule type="expression" dxfId="71" priority="10">
      <formula>IF(AND($B15&lt;&gt;"",$I15=0),1,0)</formula>
    </cfRule>
    <cfRule type="expression" dxfId="70" priority="11">
      <formula>IF($B15&lt;&gt;"",1,0)</formula>
    </cfRule>
    <cfRule type="expression" dxfId="69" priority="12">
      <formula>$I15=0</formula>
    </cfRule>
  </conditionalFormatting>
  <conditionalFormatting sqref="J4">
    <cfRule type="expression" dxfId="68" priority="13">
      <formula>IF(COUNTA($B$10:$B$15)&lt;&gt;COUNTIF($I$10:$I$15,1),1,0)</formula>
    </cfRule>
    <cfRule type="expression" dxfId="67" priority="14">
      <formula>IF(COUNTA($B$10:$B$15)=COUNTIF($I$10:$I$15,1),1,0)</formula>
    </cfRule>
  </conditionalFormatting>
  <conditionalFormatting sqref="B10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conditionalFormatting sqref="B11:B14">
    <cfRule type="expression" dxfId="63" priority="4">
      <formula>IF(AND($B11&lt;&gt;"",$I11=0),1,0)</formula>
    </cfRule>
    <cfRule type="expression" dxfId="62" priority="5">
      <formula>IF($B11&lt;&gt;"",1,0)</formula>
    </cfRule>
    <cfRule type="expression" dxfId="61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E10:E15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F10:F15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43.2">
      <c r="A10" s="4" t="s">
        <v>89</v>
      </c>
      <c r="B10" s="33">
        <v>62</v>
      </c>
      <c r="C10" s="2" t="s">
        <v>24</v>
      </c>
      <c r="D10" s="1" t="s">
        <v>25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81</v>
      </c>
    </row>
    <row r="11" spans="1:10" ht="43.2">
      <c r="A11" s="4" t="s">
        <v>90</v>
      </c>
      <c r="B11" s="33">
        <v>19.7</v>
      </c>
      <c r="C11" s="2" t="s">
        <v>24</v>
      </c>
      <c r="D11" s="1" t="s">
        <v>25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81</v>
      </c>
    </row>
    <row r="12" spans="1:10" ht="14.4">
      <c r="A12" s="8" t="s">
        <v>93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94</v>
      </c>
    </row>
  </sheetData>
  <sheetProtection algorithmName="SHA-512" hashValue="/VMI+mMGKA5Hbzzc0R+sLItKt0GrPNmEK+f8UudQxlc/I+us01nhNqL1ejG9bcpBnfgH+JfzRbcSq6wtJkX/8w==" saltValue="Is67fhYqkCIm6NT08W85AQ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43.2">
      <c r="A10" s="46" t="s">
        <v>133</v>
      </c>
      <c r="B10" s="33">
        <v>920.9</v>
      </c>
      <c r="C10" s="35" t="s">
        <v>137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134</v>
      </c>
    </row>
    <row r="11" spans="1:10" ht="14.4">
      <c r="A11" s="8" t="s">
        <v>93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94</v>
      </c>
    </row>
  </sheetData>
  <sheetProtection algorithmName="SHA-512" hashValue="ho1WJLLgf5asZY40jTyI8pst2+XSkMJZNdKobtd+On+mEmt2/p9g51JqQbilwOx7YjRNy3s5dL39EQsxqKVJJQ==" saltValue="Gkj5QK4/ILfz/weRng1Bt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182880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1021080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388620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162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102</v>
      </c>
    </row>
    <row r="2" spans="1:18" ht="14.4">
      <c r="A2" s="61" t="s">
        <v>109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113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114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115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124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110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111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117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118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122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123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116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112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160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119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121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120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125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129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130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131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132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105</v>
      </c>
    </row>
    <row r="2" spans="1:1">
      <c r="A2" t="s">
        <v>103</v>
      </c>
    </row>
    <row r="3" spans="1:1">
      <c r="A3" t="s">
        <v>104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topLeftCell="CF1" workbookViewId="0">
      <selection activeCell="CM2" sqref="CM2"/>
    </sheetView>
  </sheetViews>
  <sheetFormatPr defaultColWidth="8.77734375" defaultRowHeight="14.4"/>
  <sheetData>
    <row r="1" spans="1:21">
      <c r="A1" t="s">
        <v>156</v>
      </c>
      <c r="B1" t="s">
        <v>93</v>
      </c>
      <c r="C1" t="s">
        <v>128</v>
      </c>
      <c r="D1" t="s">
        <v>143</v>
      </c>
      <c r="E1" t="s">
        <v>144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138</v>
      </c>
      <c r="P1" t="s">
        <v>93</v>
      </c>
      <c r="Q1" t="s">
        <v>89</v>
      </c>
      <c r="R1" t="s">
        <v>90</v>
      </c>
      <c r="S1" t="s">
        <v>93</v>
      </c>
      <c r="T1" t="s">
        <v>133</v>
      </c>
      <c r="U1" t="s">
        <v>93</v>
      </c>
    </row>
    <row r="2" spans="1:21">
      <c r="A2">
        <v>0.2</v>
      </c>
      <c r="C2">
        <v>1</v>
      </c>
      <c r="G2">
        <v>1.552E-3</v>
      </c>
      <c r="H2">
        <v>1.552E-3</v>
      </c>
      <c r="I2">
        <v>8.0999999999999996E-4</v>
      </c>
      <c r="K2">
        <v>2903.4751548481281</v>
      </c>
      <c r="L2">
        <v>5311.235039356332</v>
      </c>
      <c r="M2">
        <v>1</v>
      </c>
      <c r="N2">
        <v>1</v>
      </c>
      <c r="O2">
        <v>318.14999999999998</v>
      </c>
      <c r="Q2">
        <v>62</v>
      </c>
      <c r="R2">
        <v>19.7</v>
      </c>
      <c r="T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topLeftCell="CC1" workbookViewId="0">
      <selection activeCell="CR2" sqref="CR2"/>
    </sheetView>
  </sheetViews>
  <sheetFormatPr defaultColWidth="8.77734375" defaultRowHeight="14.4"/>
  <sheetData>
    <row r="1" spans="1:21">
      <c r="A1" t="s">
        <v>156</v>
      </c>
      <c r="B1" t="s">
        <v>93</v>
      </c>
      <c r="C1" t="s">
        <v>128</v>
      </c>
      <c r="D1" t="s">
        <v>143</v>
      </c>
      <c r="E1" t="s">
        <v>144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138</v>
      </c>
      <c r="P1" t="s">
        <v>93</v>
      </c>
      <c r="Q1" t="s">
        <v>89</v>
      </c>
      <c r="R1" t="s">
        <v>90</v>
      </c>
      <c r="S1" t="s">
        <v>93</v>
      </c>
      <c r="T1" t="s">
        <v>133</v>
      </c>
      <c r="U1" t="s">
        <v>93</v>
      </c>
    </row>
    <row r="2" spans="1:21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  <c r="Q2">
        <v>1</v>
      </c>
      <c r="R2">
        <v>1</v>
      </c>
      <c r="S2">
        <v>0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2022-10-12T22:23:13Z</dcterms:modified>
</cp:coreProperties>
</file>