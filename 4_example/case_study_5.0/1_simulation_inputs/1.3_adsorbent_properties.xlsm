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BB18D894-DA2F-4714-8029-567D81D13474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I16" i="53"/>
  <c r="I15" i="53"/>
  <c r="I14" i="53"/>
  <c r="I13" i="53"/>
  <c r="I20" i="53"/>
  <c r="I19" i="53"/>
  <c r="I11" i="53" l="1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H20" i="53"/>
  <c r="H19" i="53"/>
  <c r="I18" i="53"/>
  <c r="H18" i="53"/>
  <c r="I17" i="53"/>
  <c r="H17" i="53"/>
  <c r="H12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<sst xmlns="http://schemas.openxmlformats.org/spreadsheetml/2006/main" count="607" uniqueCount="228">
  <si>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</si>
  <si>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</si>
  <si>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</si>
  <si>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</si>
  <si>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</si>
  <si>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</si>
  <si>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</si>
  <si>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</si>
  <si>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</si>
  <si>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</si>
  <si>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</si>
  <si>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</si>
  <si>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</si>
  <si>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</si>
  <si>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</si>
  <si>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</si>
  <si>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</si>
  <si>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</si>
  <si>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</si>
  <si>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</si>
  <si>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</si>
  <si>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</si>
  <si>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</si>
  <si>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</si>
  <si>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</si>
  <si>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</si>
  <si>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</si>
  <si>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</si>
  <si>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</si>
  <si>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</si>
  <si>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</si>
  <si>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</si>
  <si>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</si>
  <si>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</si>
  <si>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</si>
  <si>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</si>
  <si>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</si>
  <si>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</si>
  <si>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</si>
  <si>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</si>
  <si>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</si>
  <si>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</si>
  <si>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</si>
  <si>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</si>
  <si>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</si>
  <si>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</si>
  <si>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</si>
  <si>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</si>
  <si>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</si>
  <si>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</si>
  <si>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</si>
  <si>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</si>
  <si>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</si>
  <si>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</si>
  <si>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</si>
  <si>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</si>
  <si>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</si>
  <si>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</si>
  <si>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</si>
  <si>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</si>
  <si>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</si>
  <si>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</si>
  <si>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</si>
  <si>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</si>
  <si>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</si>
  <si>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</si>
  <si>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</si>
  <si>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</si>
  <si>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</si>
  <si>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</si>
  <si>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</si>
  <si>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</si>
  <si>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</si>
  <si>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</si>
  <si>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</si>
  <si>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</si>
  <si>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</si>
  <si>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</si>
  <si>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</si>
  <si>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</si>
  <si>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</si>
  <si>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</si>
  <si>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</si>
  <si>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</si>
  <si>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</si>
  <si>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</si>
  <si>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</si>
  <si>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</si>
  <si>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</si>
  <si>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</si>
  <si>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</si>
  <si>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</si>
  <si>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</si>
  <si>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</si>
  <si>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</si>
  <si>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</si>
  <si>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</si>
  <si>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</si>
  <si>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</si>
  <si>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</si>
  <si>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</si>
  <si>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</si>
  <si>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</si>
  <si>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</si>
  <si>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</si>
  <si>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</si>
  <si>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</si>
  <si>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</si>
  <si>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</si>
  <si>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</si>
  <si>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</si>
  <si>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</si>
  <si>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</si>
  <si>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</si>
  <si>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</si>
  <si>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</si>
  <si>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</si>
  <si>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</si>
  <si>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</si>
  <si>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</si>
  <si>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</si>
  <si>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</si>
  <si>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</si>
  <si>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</si>
  <si>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</si>
  <si>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</si>
  <si>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</si>
  <si>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</si>
  <si>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</si>
  <si>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</si>
  <si>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</si>
  <si>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</si>
  <si>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</si>
  <si>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</si>
  <si>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</si>
  <si>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</si>
  <si>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</si>
  <si>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</si>
  <si>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</si>
  <si>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</si>
  <si>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</si>
  <si>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</si>
  <si>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</si>
  <si>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</si>
  <si>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</si>
  <si>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</si>
  <si>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</si>
  <si>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</si>
  <si>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</si>
  <si>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</si>
  <si>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</si>
  <si>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</si>
  <si>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</si>
  <si>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</si>
  <si>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</si>
  <si>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</si>
  <si>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</si>
  <si>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</si>
  <si>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</si>
  <si>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</si>
  <si>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</si>
  <si>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</si>
  <si>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</si>
  <si>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</si>
  <si>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</si>
  <si>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</si>
  <si>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</si>
  <si>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</si>
  <si>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</si>
  <si>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</si>
  <si>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</si>
  <si>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</si>
  <si>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</si>
  <si>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</si>
  <si>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</si>
  <si>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</si>
  <si>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</si>
  <si>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</si>
  <si>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</si>
  <si>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</si>
  <si>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</si>
  <si>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</si>
  <si>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</si>
  <si>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</si>
  <si>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</si>
  <si>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</si>
  <si>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</si>
  <si>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</si>
  <si>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</si>
  <si>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</si>
  <si>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 Isotherm] Adsorption affinity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</si>
  <si>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Isotherms]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</si>
  <si>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0.794825 0.981952</t>
  </si>
  <si>
    <t>2.42595 0.90201</t>
  </si>
  <si>
    <t>qSatSiteOneC1</t>
  </si>
  <si>
    <t>qSatSiteOneC2</t>
  </si>
  <si>
    <t>qSatSiteTwoC1</t>
  </si>
  <si>
    <t>qSatSiteTwoC2</t>
  </si>
  <si>
    <t>bSiteOneC1</t>
  </si>
  <si>
    <t>bSiteOneC2</t>
  </si>
  <si>
    <t>bSiteTwoC1</t>
  </si>
  <si>
    <t>bSiteTwoC2</t>
  </si>
  <si>
    <t>nSiteOneC1</t>
  </si>
  <si>
    <t>nSiteOneC2</t>
  </si>
  <si>
    <t>nSiteTwoC1</t>
  </si>
  <si>
    <t>nSiteTwoC2</t>
  </si>
  <si>
    <t>1.39171 0.682432</t>
  </si>
  <si>
    <t>1.95531 1.58394</t>
  </si>
  <si>
    <t>0.0180535 0.180319</t>
  </si>
  <si>
    <t>0.0475366 0.108644</t>
  </si>
  <si>
    <t>1.15514 1.6067</t>
  </si>
  <si>
    <t>0.80833 1.34023</t>
  </si>
  <si>
    <t>0.757749 2.46425</t>
  </si>
  <si>
    <t>10.2433 0.569159</t>
  </si>
  <si>
    <t>7.37924 4.45363</t>
  </si>
  <si>
    <t>0.767558 0.746109</t>
  </si>
  <si>
    <t>[Dual-site Langmuir-Freundlich isotherm] The saturation capacity constant for the 1st adsorbate at the 1st adsorption site</t>
  </si>
  <si>
    <t>[Dual-site Langmuir-Freundlich isotherm] The saturation capacity constant for the 2nd adsorbate at the 1st adsorption site</t>
  </si>
  <si>
    <t>[Dual-site Langmuir-Freundlich isotherm] The saturation capacity constant for the 2nd adsorbate at the 2nd adsorption site</t>
  </si>
  <si>
    <t>[Dual-site Langmuir-Freundlich isotherm] The saturation capacity constant for the 1st adsorbate at the 2nd adsorption site</t>
  </si>
  <si>
    <t>[Dual-site Langmuir-Freundlich isotherm] The adsorption affinity constant for the 1st adsorbate at the 1st adsorption site</t>
  </si>
  <si>
    <t>[Dual-site Langmuir-Freundlich isotherm] The adsorption affinity constant for the 2nd adsorbate at the 1st adsorption site</t>
  </si>
  <si>
    <t>[Dual-site Langmuir-Freundlich isotherm] The adsorption affinity constant for the 1st adsorbate at the 2nd adsorption site</t>
  </si>
  <si>
    <t>[Dual-site Langmuir-Freundlich isotherm] The adsorption affinity constant for the 2nd adsorbate at the 2nd adsorption site</t>
  </si>
  <si>
    <t>[Dual-site Langmuir-Freundlich isotherm] The exponent for the 1st adsorbate at the 1st adsorption site</t>
  </si>
  <si>
    <t>[Dual-site Langmuir-Freundlich isotherm] The exponent for the 2nd adsorbate at the 1st adsorption site</t>
  </si>
  <si>
    <t>[Dual-site Langmuir-Freundlich isotherm] The exponent for the 1st adsorbate at the 2nd adsorption site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</si>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</sst>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5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60" dataDxfId="58" headerRowBorderDxfId="59" tableBorderDxfId="57" totalsRowBorderDxfId="56">
  <autoFilter ref="A9:J4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32" activePane="bottomLeft" state="frozen"/>
      <selection activeCell="A10" sqref="A10:J10"/>
      <selection pane="bottomLeft" activeCell="B41" sqref="B4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186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186</v>
      </c>
    </row>
    <row r="15" spans="1:10" ht="73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IF(OR('[2]Model Selection'!$B$10=2),1,0)</f>
        <v>0</v>
      </c>
      <c r="J15" s="5" t="s">
        <v>190</v>
      </c>
    </row>
    <row r="16" spans="1:10" ht="73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IF(OR('[2]Model Selection'!$B$10=2),1,0)</f>
        <v>0</v>
      </c>
      <c r="J16" s="5" t="s">
        <v>190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181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181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IF(OR('[2]Model Selection'!$B$10=3),1,0)</f>
        <v>0</v>
      </c>
      <c r="J19" s="60" t="s">
        <v>191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IF(OR('[2]Model Selection'!$B$10=3),1,0)</f>
        <v>0</v>
      </c>
      <c r="J20" s="60" t="s">
        <v>191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182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182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183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183</v>
      </c>
    </row>
    <row r="25" spans="1:10" ht="58.8">
      <c r="A25" s="59" t="s">
        <v>171</v>
      </c>
      <c r="B25" s="33"/>
      <c r="C25" s="57" t="s">
        <v>187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184</v>
      </c>
    </row>
    <row r="26" spans="1:10" ht="58.8">
      <c r="A26" s="59" t="s">
        <v>172</v>
      </c>
      <c r="B26" s="33"/>
      <c r="C26" s="57" t="s">
        <v>187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184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185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185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188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188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189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189</v>
      </c>
    </row>
    <row r="33" spans="1:10" ht="43.2">
      <c r="A33" s="59" t="s">
        <v>194</v>
      </c>
      <c r="B33" s="33" t="s">
        <v>193</v>
      </c>
      <c r="C33" s="57" t="s">
        <v>161</v>
      </c>
      <c r="D33" s="1" t="s">
        <v>24</v>
      </c>
      <c r="E33" s="1" t="s">
        <v>11</v>
      </c>
      <c r="F33" s="2" t="s">
        <v>5</v>
      </c>
      <c r="G33" s="56">
        <v>1</v>
      </c>
      <c r="H33" s="55">
        <f>[1]Initialization!$B$10</f>
        <v>2</v>
      </c>
      <c r="I33" s="61">
        <f>IF(OR('[2]Model Selection'!$B$10=5,'[2]Model Selection'!$B$10=6),1,0)</f>
        <v>1</v>
      </c>
      <c r="J33" s="60" t="s">
        <v>216</v>
      </c>
    </row>
    <row r="34" spans="1:10" ht="43.2">
      <c r="A34" s="59" t="s">
        <v>195</v>
      </c>
      <c r="B34" s="33" t="s">
        <v>192</v>
      </c>
      <c r="C34" s="57" t="s">
        <v>161</v>
      </c>
      <c r="D34" s="1" t="s">
        <v>24</v>
      </c>
      <c r="E34" s="1" t="s">
        <v>11</v>
      </c>
      <c r="F34" s="2" t="s">
        <v>5</v>
      </c>
      <c r="G34" s="56"/>
      <c r="H34" s="55">
        <f>[1]Initialization!$B$10</f>
        <v>2</v>
      </c>
      <c r="I34" s="61">
        <f>IF(OR('[2]Model Selection'!$B$10=5,'[2]Model Selection'!$B$10=6),1,0)</f>
        <v>1</v>
      </c>
      <c r="J34" s="60" t="s">
        <v>217</v>
      </c>
    </row>
    <row r="35" spans="1:10" ht="43.2">
      <c r="A35" s="59" t="s">
        <v>196</v>
      </c>
      <c r="B35" s="33" t="s">
        <v>206</v>
      </c>
      <c r="C35" s="57" t="s">
        <v>161</v>
      </c>
      <c r="D35" s="1" t="s">
        <v>24</v>
      </c>
      <c r="E35" s="1" t="s">
        <v>11</v>
      </c>
      <c r="F35" s="2" t="s">
        <v>5</v>
      </c>
      <c r="G35" s="56">
        <v>1</v>
      </c>
      <c r="H35" s="55">
        <f>[1]Initialization!$B$10</f>
        <v>2</v>
      </c>
      <c r="I35" s="61">
        <f>IF(OR('[2]Model Selection'!$B$10=5,'[2]Model Selection'!$B$10=6),1,0)</f>
        <v>1</v>
      </c>
      <c r="J35" s="60" t="s">
        <v>219</v>
      </c>
    </row>
    <row r="36" spans="1:10" ht="43.2">
      <c r="A36" s="59" t="s">
        <v>197</v>
      </c>
      <c r="B36" s="33" t="s">
        <v>207</v>
      </c>
      <c r="C36" s="57" t="s">
        <v>161</v>
      </c>
      <c r="D36" s="1" t="s">
        <v>24</v>
      </c>
      <c r="E36" s="1" t="s">
        <v>11</v>
      </c>
      <c r="F36" s="2" t="s">
        <v>5</v>
      </c>
      <c r="G36" s="56"/>
      <c r="H36" s="55">
        <f>[1]Initialization!$B$10</f>
        <v>2</v>
      </c>
      <c r="I36" s="61">
        <f>IF(OR('[2]Model Selection'!$B$10=5,'[2]Model Selection'!$B$10=6),1,0)</f>
        <v>1</v>
      </c>
      <c r="J36" s="60" t="s">
        <v>218</v>
      </c>
    </row>
    <row r="37" spans="1:10" ht="43.2">
      <c r="A37" s="59" t="s">
        <v>198</v>
      </c>
      <c r="B37" s="33" t="s">
        <v>208</v>
      </c>
      <c r="C37" s="57" t="s">
        <v>160</v>
      </c>
      <c r="D37" s="1" t="s">
        <v>24</v>
      </c>
      <c r="E37" s="1" t="s">
        <v>11</v>
      </c>
      <c r="F37" s="2" t="s">
        <v>5</v>
      </c>
      <c r="G37" s="56">
        <v>1</v>
      </c>
      <c r="H37" s="55">
        <f>[1]Initialization!$B$10</f>
        <v>2</v>
      </c>
      <c r="I37" s="61">
        <f>IF(OR('[2]Model Selection'!$B$10=5,'[2]Model Selection'!$B$10=6),1,0)</f>
        <v>1</v>
      </c>
      <c r="J37" s="60" t="s">
        <v>220</v>
      </c>
    </row>
    <row r="38" spans="1:10" ht="43.2">
      <c r="A38" s="59" t="s">
        <v>199</v>
      </c>
      <c r="B38" s="33" t="s">
        <v>210</v>
      </c>
      <c r="C38" s="57" t="s">
        <v>160</v>
      </c>
      <c r="D38" s="1" t="s">
        <v>24</v>
      </c>
      <c r="E38" s="1" t="s">
        <v>11</v>
      </c>
      <c r="F38" s="2" t="s">
        <v>5</v>
      </c>
      <c r="G38" s="56"/>
      <c r="H38" s="55">
        <f>[1]Initialization!$B$10</f>
        <v>2</v>
      </c>
      <c r="I38" s="61">
        <f>IF(OR('[2]Model Selection'!$B$10=5,'[2]Model Selection'!$B$10=6),1,0)</f>
        <v>1</v>
      </c>
      <c r="J38" s="60" t="s">
        <v>221</v>
      </c>
    </row>
    <row r="39" spans="1:10" ht="43.2">
      <c r="A39" s="59" t="s">
        <v>200</v>
      </c>
      <c r="B39" s="33" t="s">
        <v>209</v>
      </c>
      <c r="C39" s="57" t="s">
        <v>160</v>
      </c>
      <c r="D39" s="1" t="s">
        <v>24</v>
      </c>
      <c r="E39" s="1" t="s">
        <v>11</v>
      </c>
      <c r="F39" s="2" t="s">
        <v>5</v>
      </c>
      <c r="G39" s="56">
        <v>1</v>
      </c>
      <c r="H39" s="55">
        <f>[1]Initialization!$B$10</f>
        <v>2</v>
      </c>
      <c r="I39" s="61">
        <f>IF(OR('[2]Model Selection'!$B$10=5,'[2]Model Selection'!$B$10=6),1,0)</f>
        <v>1</v>
      </c>
      <c r="J39" s="60" t="s">
        <v>222</v>
      </c>
    </row>
    <row r="40" spans="1:10" ht="43.2">
      <c r="A40" s="59" t="s">
        <v>201</v>
      </c>
      <c r="B40" s="33" t="s">
        <v>211</v>
      </c>
      <c r="C40" s="57" t="s">
        <v>160</v>
      </c>
      <c r="D40" s="1" t="s">
        <v>24</v>
      </c>
      <c r="E40" s="1" t="s">
        <v>11</v>
      </c>
      <c r="F40" s="2" t="s">
        <v>5</v>
      </c>
      <c r="G40" s="56"/>
      <c r="H40" s="55">
        <f>[1]Initialization!$B$10</f>
        <v>2</v>
      </c>
      <c r="I40" s="61">
        <f>IF(OR('[2]Model Selection'!$B$10=5,'[2]Model Selection'!$B$10=6),1,0)</f>
        <v>1</v>
      </c>
      <c r="J40" s="60" t="s">
        <v>223</v>
      </c>
    </row>
    <row r="41" spans="1:10" ht="43.2">
      <c r="A41" s="59" t="s">
        <v>202</v>
      </c>
      <c r="B41" s="33" t="s">
        <v>212</v>
      </c>
      <c r="C41" s="57" t="s">
        <v>3</v>
      </c>
      <c r="D41" s="1" t="s">
        <v>24</v>
      </c>
      <c r="E41" s="1" t="s">
        <v>11</v>
      </c>
      <c r="F41" s="2" t="s">
        <v>5</v>
      </c>
      <c r="G41" s="56">
        <v>1</v>
      </c>
      <c r="H41" s="55">
        <f>[1]Initialization!$B$10</f>
        <v>2</v>
      </c>
      <c r="I41" s="61">
        <f>IF(OR('[2]Model Selection'!$B$10=5,'[2]Model Selection'!$B$10=6),1,0)</f>
        <v>1</v>
      </c>
      <c r="J41" s="60" t="s">
        <v>224</v>
      </c>
    </row>
    <row r="42" spans="1:10" ht="43.2">
      <c r="A42" s="59" t="s">
        <v>203</v>
      </c>
      <c r="B42" s="33" t="s">
        <v>214</v>
      </c>
      <c r="C42" s="57" t="s">
        <v>3</v>
      </c>
      <c r="D42" s="1" t="s">
        <v>24</v>
      </c>
      <c r="E42" s="1" t="s">
        <v>11</v>
      </c>
      <c r="F42" s="2" t="s">
        <v>5</v>
      </c>
      <c r="G42" s="56"/>
      <c r="H42" s="55">
        <f>[1]Initialization!$B$10</f>
        <v>2</v>
      </c>
      <c r="I42" s="61">
        <f>IF(OR('[2]Model Selection'!$B$10=5,'[2]Model Selection'!$B$10=6),1,0)</f>
        <v>1</v>
      </c>
      <c r="J42" s="60" t="s">
        <v>225</v>
      </c>
    </row>
    <row r="43" spans="1:10" ht="43.2">
      <c r="A43" s="59" t="s">
        <v>204</v>
      </c>
      <c r="B43" s="33" t="s">
        <v>213</v>
      </c>
      <c r="C43" s="57" t="s">
        <v>3</v>
      </c>
      <c r="D43" s="1" t="s">
        <v>24</v>
      </c>
      <c r="E43" s="1" t="s">
        <v>11</v>
      </c>
      <c r="F43" s="2" t="s">
        <v>5</v>
      </c>
      <c r="G43" s="56">
        <v>1</v>
      </c>
      <c r="H43" s="55">
        <f>[1]Initialization!$B$10</f>
        <v>2</v>
      </c>
      <c r="I43" s="61">
        <f>IF(OR('[2]Model Selection'!$B$10=5,'[2]Model Selection'!$B$10=6),1,0)</f>
        <v>1</v>
      </c>
      <c r="J43" s="60" t="s">
        <v>226</v>
      </c>
    </row>
    <row r="44" spans="1:10" ht="43.2">
      <c r="A44" s="59" t="s">
        <v>205</v>
      </c>
      <c r="B44" s="33" t="s">
        <v>215</v>
      </c>
      <c r="C44" s="57" t="s">
        <v>3</v>
      </c>
      <c r="D44" s="1" t="s">
        <v>24</v>
      </c>
      <c r="E44" s="1" t="s">
        <v>11</v>
      </c>
      <c r="F44" s="2" t="s">
        <v>5</v>
      </c>
      <c r="G44" s="56"/>
      <c r="H44" s="55">
        <f>[1]Initialization!$B$10</f>
        <v>2</v>
      </c>
      <c r="I44" s="61">
        <f>IF(OR('[2]Model Selection'!$B$10=5,'[2]Model Selection'!$B$10=6),1,0)</f>
        <v>1</v>
      </c>
      <c r="J44" s="60" t="s">
        <v>227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XwM6qE1x+4RWI8wTP4lzNqifqeESEnyo+uCW0iocCzTSnktTyQN1yfV0MoTyekOA9d7a9qKpdgFd1QSACouxfg==" saltValue="zfhd68OewcuEZcoik+6QAw==" spinCount="100000" sheet="1" objects="1" scenarios="1" selectLockedCells="1"/>
  <mergeCells count="2">
    <mergeCell ref="A3:J3"/>
    <mergeCell ref="J4:J8"/>
  </mergeCells>
  <conditionalFormatting sqref="B10:B45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IF(COUNTA($B$10:$B$45)&lt;&gt;COUNTIF($I$10:$I$45,1),1,0)</formula>
    </cfRule>
    <cfRule type="expression" dxfId="61" priority="2065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10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10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194</v>
      </c>
      <c r="AH1" t="s">
        <v>195</v>
      </c>
      <c r="AI1" t="s">
        <v>196</v>
      </c>
      <c r="AJ1" t="s">
        <v>197</v>
      </c>
      <c r="AK1" t="s">
        <v>198</v>
      </c>
      <c r="AL1" t="s">
        <v>199</v>
      </c>
      <c r="AM1" t="s">
        <v>200</v>
      </c>
      <c r="AN1" t="s">
        <v>201</v>
      </c>
      <c r="AO1" t="s">
        <v>202</v>
      </c>
      <c r="AP1" t="s">
        <v>203</v>
      </c>
      <c r="AQ1" t="s">
        <v>204</v>
      </c>
      <c r="AR1" t="s">
        <v>205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298.14999999999998</v>
      </c>
      <c r="AG2" t="s">
        <v>193</v>
      </c>
      <c r="AH2" t="s">
        <v>192</v>
      </c>
      <c r="AI2" t="s">
        <v>206</v>
      </c>
      <c r="AJ2" t="s">
        <v>207</v>
      </c>
      <c r="AK2" t="s">
        <v>208</v>
      </c>
      <c r="AL2" t="s">
        <v>210</v>
      </c>
      <c r="AM2" t="s">
        <v>209</v>
      </c>
      <c r="AN2" t="s">
        <v>211</v>
      </c>
      <c r="AO2" t="s">
        <v>212</v>
      </c>
      <c r="AP2" t="s">
        <v>214</v>
      </c>
      <c r="AQ2" t="s">
        <v>213</v>
      </c>
      <c r="AR2" t="s">
        <v>215</v>
      </c>
      <c r="AT2">
        <v>10</v>
      </c>
      <c r="AU2">
        <v>10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194</v>
      </c>
      <c r="AH1" t="s">
        <v>195</v>
      </c>
      <c r="AI1" t="s">
        <v>196</v>
      </c>
      <c r="AJ1" t="s">
        <v>197</v>
      </c>
      <c r="AK1" t="s">
        <v>198</v>
      </c>
      <c r="AL1" t="s">
        <v>199</v>
      </c>
      <c r="AM1" t="s">
        <v>200</v>
      </c>
      <c r="AN1" t="s">
        <v>201</v>
      </c>
      <c r="AO1" t="s">
        <v>202</v>
      </c>
      <c r="AP1" t="s">
        <v>203</v>
      </c>
      <c r="AQ1" t="s">
        <v>204</v>
      </c>
      <c r="AR1" t="s">
        <v>205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2023-04-16T23:17:49Z</dcterms:modified>
</cp:coreProperties>
</file>