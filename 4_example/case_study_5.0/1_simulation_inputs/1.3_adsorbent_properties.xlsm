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5.0\1_simulation_inputs\"/>
    </mc:Choice>
  </mc:AlternateContent>
  <xr:revisionPtr revIDLastSave="0" documentId="13_ncr:1_{4E98AAEA-A30C-4ED3-99A6-4AE97A3CBFD1}" xr6:coauthVersionLast="47" xr6:coauthVersionMax="47" xr10:uidLastSave="{00000000-0000-0000-0000-000000000000}"/>
  <bookViews>
    <workbookView xWindow="-108" yWindow="-108" windowWidth="23256" windowHeight="13176" tabRatio="818" activeTab="5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Isotherm'!$A$2:$J$45</definedName>
    <definedName name="_xlnm.Print_Area" localSheetId="6">'Adsorption Kinetics'!$A$2:$J$12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44" i="53" l="1"/>
  <c r="I43" i="53"/>
  <c r="I42" i="53"/>
  <c r="I41" i="53"/>
  <c r="I40" i="53"/>
  <c r="I39" i="53"/>
  <c r="I38" i="53"/>
  <c r="I37" i="53"/>
  <c r="I36" i="53"/>
  <c r="I35" i="53"/>
  <c r="I34" i="53"/>
  <c r="I33" i="53"/>
  <c r="H44" i="53"/>
  <c r="H43" i="53"/>
  <c r="H42" i="53"/>
  <c r="H41" i="53"/>
  <c r="H40" i="53"/>
  <c r="H39" i="53"/>
  <c r="H38" i="53"/>
  <c r="H37" i="53"/>
  <c r="H36" i="53"/>
  <c r="H35" i="53"/>
  <c r="H34" i="53"/>
  <c r="H33" i="53"/>
  <c r="I16" i="53"/>
  <c r="I15" i="53"/>
  <c r="I14" i="53"/>
  <c r="I13" i="53"/>
  <c r="I20" i="53"/>
  <c r="I19" i="53"/>
  <c r="I11" i="53" l="1"/>
  <c r="I12" i="53"/>
  <c r="I32" i="53" l="1"/>
  <c r="H32" i="53"/>
  <c r="I31" i="53"/>
  <c r="H31" i="53"/>
  <c r="I30" i="53"/>
  <c r="H30" i="53"/>
  <c r="I29" i="53"/>
  <c r="H29" i="53"/>
  <c r="I28" i="53"/>
  <c r="H28" i="53"/>
  <c r="I27" i="53"/>
  <c r="H27" i="53"/>
  <c r="I26" i="53"/>
  <c r="H26" i="53"/>
  <c r="I25" i="53"/>
  <c r="H25" i="53"/>
  <c r="I24" i="53"/>
  <c r="H24" i="53"/>
  <c r="I23" i="53"/>
  <c r="H23" i="53"/>
  <c r="I22" i="53"/>
  <c r="I21" i="53"/>
  <c r="H22" i="53"/>
  <c r="H21" i="53"/>
  <c r="H20" i="53"/>
  <c r="H19" i="53"/>
  <c r="I18" i="53"/>
  <c r="H18" i="53"/>
  <c r="I17" i="53"/>
  <c r="H17" i="53"/>
  <c r="H12" i="53" l="1"/>
  <c r="H11" i="53"/>
  <c r="I10" i="55" l="1"/>
  <c r="I12" i="57"/>
  <c r="I11" i="57"/>
  <c r="J4" i="58"/>
  <c r="J2" i="58"/>
  <c r="A2" i="58"/>
  <c r="J4" i="57"/>
  <c r="J2" i="57"/>
  <c r="A2" i="57"/>
  <c r="J4" i="56"/>
  <c r="J2" i="56"/>
  <c r="A2" i="56"/>
  <c r="H13" i="53" l="1"/>
  <c r="H14" i="53"/>
  <c r="H16" i="53" l="1"/>
  <c r="H15" i="53"/>
  <c r="H10" i="54"/>
  <c r="H11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<sst xmlns="http://schemas.openxmlformats.org/spreadsheetml/2006/main" count="607" uniqueCount="228">
  <si>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</si>
  <si>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</si>
  <si>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</si>
  <si>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</si>
  <si>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</si>
  <si>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</si>
  <si>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</si>
  <si>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</si>
  <si>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</si>
  <si>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</si>
  <si>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</si>
  <si>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</si>
  <si>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</si>
  <si>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</si>
  <si>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</si>
  <si>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</si>
  <si>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</si>
  <si>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</si>
  <si>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</si>
  <si>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</si>
  <si>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</si>
  <si>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</si>
  <si>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</si>
  <si>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</si>
  <si>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</si>
  <si>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</si>
  <si>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</si>
  <si>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</si>
  <si>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</si>
  <si>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</si>
  <si>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</si>
  <si>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</si>
  <si>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</si>
  <si>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</si>
  <si>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</si>
  <si>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</si>
  <si>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</si>
  <si>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</si>
  <si>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</si>
  <si>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</si>
  <si>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</si>
  <si>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</si>
  <si>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</si>
  <si>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</si>
  <si>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</si>
  <si>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</si>
  <si>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</si>
  <si>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</si>
  <si>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</si>
  <si>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</si>
  <si>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</si>
  <si>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</si>
  <si>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</si>
  <si>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</si>
  <si>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</si>
  <si>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</si>
  <si>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</si>
  <si>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</si>
  <si>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</si>
  <si>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</si>
  <si>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</si>
  <si>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</si>
  <si>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</si>
  <si>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</si>
  <si>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</si>
  <si>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</si>
  <si>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</si>
  <si>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</si>
  <si>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</si>
  <si>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</si>
  <si>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</si>
  <si>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</si>
  <si>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</si>
  <si>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</si>
  <si>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</si>
  <si>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</si>
  <si>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</si>
  <si>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</si>
  <si>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</si>
  <si>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</si>
  <si>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</si>
  <si>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</si>
  <si>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</si>
  <si>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</si>
  <si>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</si>
  <si>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</si>
  <si>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</si>
  <si>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</si>
  <si>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</si>
  <si>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</si>
  <si>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</si>
  <si>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</si>
  <si>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</si>
  <si>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</si>
  <si>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</si>
  <si>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</si>
  <si>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</si>
  <si>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</si>
  <si>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</si>
  <si>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</si>
  <si>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</si>
  <si>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</si>
  <si>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</si>
  <si>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</si>
  <si>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</si>
  <si>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</si>
  <si>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</si>
  <si>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</si>
  <si>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</si>
  <si>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</si>
  <si>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</si>
  <si>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</si>
  <si>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</si>
  <si>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</si>
  <si>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</si>
  <si>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</si>
  <si>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</si>
  <si>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</si>
  <si>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</si>
  <si>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</si>
  <si>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</si>
  <si>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</si>
  <si>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</si>
  <si>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</si>
  <si>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</si>
  <si>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</si>
  <si>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</si>
  <si>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</si>
  <si>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</si>
  <si>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</si>
  <si>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</si>
  <si>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</si>
  <si>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</si>
  <si>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</si>
  <si>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</si>
  <si>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</si>
  <si>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</si>
  <si>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</si>
  <si>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</si>
  <si>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</si>
  <si>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</si>
  <si>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</si>
  <si>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</si>
  <si>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</si>
  <si>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</si>
  <si>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</si>
  <si>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</si>
  <si>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</si>
  <si>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</si>
  <si>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</si>
  <si>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</si>
  <si>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</si>
  <si>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</si>
  <si>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</si>
  <si>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</si>
  <si>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</si>
  <si>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</si>
  <si>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</si>
  <si>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henryC2</t>
  </si>
  <si>
    <t>mol/kg-bar</t>
  </si>
  <si>
    <t>1/bar</t>
  </si>
  <si>
    <t>mol/kg</t>
  </si>
  <si>
    <t>Please provide the reference temperature for adsorption isotherm measurement.</t>
  </si>
  <si>
    <t>KC1</t>
  </si>
  <si>
    <t>KC2</t>
  </si>
  <si>
    <t>aC1</t>
  </si>
  <si>
    <t>aC2</t>
  </si>
  <si>
    <t>kOneC1</t>
  </si>
  <si>
    <t>kOneC2</t>
  </si>
  <si>
    <t>kTwoC1</t>
  </si>
  <si>
    <t>kTwoC2</t>
  </si>
  <si>
    <t>kThrC1</t>
  </si>
  <si>
    <t>kThrC2</t>
  </si>
  <si>
    <t>kFouC1</t>
  </si>
  <si>
    <t>kFouC2</t>
  </si>
  <si>
    <t>kFivC1</t>
  </si>
  <si>
    <t>kFivC2</t>
  </si>
  <si>
    <t>kSixC1</t>
  </si>
  <si>
    <t>kSixC2</t>
  </si>
  <si>
    <t>mol/kg-K</t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</si>
  <si>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</si>
  <si>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</si>
  <si>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</si>
  <si>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</si>
  <si>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</si>
  <si>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</si>
  <si>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</si>
  <si>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t>bar^{-n_i}</t>
  </si>
  <si>
    <r>
      <t xml:space="preserve">[Extended Langmuir-Freundlich Isotherm] 
n_i (T) = [kFivCi + kSixCi / T]^(-1)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</si>
  <si>
    <r>
      <t xml:space="preserve">[Extended Langmuir-Freundlich Isotherm] 
n_i (T) = [kFivCi + kSixCi / T]^(-1)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</si>
  <si>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[Extended Langmuir Isotherm] Adsorption affinity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</si>
  <si>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Isotherms]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</si>
  <si>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t>0.794825 0.981952</t>
  </si>
  <si>
    <t>2.42595 0.90201</t>
  </si>
  <si>
    <t>qSatSiteOneC1</t>
  </si>
  <si>
    <t>qSatSiteOneC2</t>
  </si>
  <si>
    <t>qSatSiteTwoC1</t>
  </si>
  <si>
    <t>qSatSiteTwoC2</t>
  </si>
  <si>
    <t>bSiteOneC1</t>
  </si>
  <si>
    <t>bSiteOneC2</t>
  </si>
  <si>
    <t>bSiteTwoC1</t>
  </si>
  <si>
    <t>bSiteTwoC2</t>
  </si>
  <si>
    <t>nSiteOneC1</t>
  </si>
  <si>
    <t>nSiteOneC2</t>
  </si>
  <si>
    <t>nSiteTwoC1</t>
  </si>
  <si>
    <t>nSiteTwoC2</t>
  </si>
  <si>
    <t>1.39171 0.682432</t>
  </si>
  <si>
    <t>1.95531 1.58394</t>
  </si>
  <si>
    <t>0.0180535 0.180319</t>
  </si>
  <si>
    <t>0.0475366 0.108644</t>
  </si>
  <si>
    <t>1.15514 1.6067</t>
  </si>
  <si>
    <t>0.80833 1.34023</t>
  </si>
  <si>
    <t>0.757749 2.46425</t>
  </si>
  <si>
    <t>10.2433 0.569159</t>
  </si>
  <si>
    <t>7.37924 4.45363</t>
  </si>
  <si>
    <t>0.767558 0.746109</t>
  </si>
  <si>
    <t>[Dual-site Langmuir-Freundlich isotherm] The saturation capacity constant for the 1st adsorbate at the 1st adsorption site</t>
  </si>
  <si>
    <t>[Dual-site Langmuir-Freundlich isotherm] The saturation capacity constant for the 2nd adsorbate at the 1st adsorption site</t>
  </si>
  <si>
    <t>[Dual-site Langmuir-Freundlich isotherm] The saturation capacity constant for the 2nd adsorbate at the 2nd adsorption site</t>
  </si>
  <si>
    <t>[Dual-site Langmuir-Freundlich isotherm] The saturation capacity constant for the 1st adsorbate at the 2nd adsorption site</t>
  </si>
  <si>
    <t>[Dual-site Langmuir-Freundlich isotherm] The adsorption affinity constant for the 1st adsorbate at the 1st adsorption site</t>
  </si>
  <si>
    <t>[Dual-site Langmuir-Freundlich isotherm] The adsorption affinity constant for the 2nd adsorbate at the 1st adsorption site</t>
  </si>
  <si>
    <t>[Dual-site Langmuir-Freundlich isotherm] The adsorption affinity constant for the 1st adsorbate at the 2nd adsorption site</t>
  </si>
  <si>
    <t>[Dual-site Langmuir-Freundlich isotherm] The adsorption affinity constant for the 2nd adsorbate at the 2nd adsorption site</t>
  </si>
  <si>
    <t>[Dual-site Langmuir-Freundlich isotherm] The exponent for the 1st adsorbate at the 1st adsorption site</t>
  </si>
  <si>
    <t>[Dual-site Langmuir-Freundlich isotherm] The exponent for the 2nd adsorbate at the 1st adsorption site</t>
  </si>
  <si>
    <t>[Dual-site Langmuir-Freundlich isotherm] The exponent for the 1st adsorbate at the 2nd adsorption site</t>
  </si>
  <si>
    <t>[Dual-site Langmuir-Freundlich isotherm] The exponent for the 2nd adsorbate at the 2nd adsorption site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</si>
</sst>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9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5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5" borderId="6" xfId="0" applyFont="1" applyFill="1" applyBorder="1" applyAlignment="1" applyProtection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7724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212925" y="1151067"/>
          <a:ext cx="4395872" cy="43319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0</v>
          </cell>
        </row>
      </sheetData>
      <sheetData sheetId="2">
        <row r="10">
          <cell r="B10">
            <v>5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29" dataDxfId="127" headerRowBorderDxfId="128" tableBorderDxfId="126" totalsRowBorderDxfId="125">
  <autoFilter ref="A9:J11" xr:uid="{B089C5C3-2CCE-4800-96CA-2131BB6E3E4F}"/>
  <tableColumns count="10">
    <tableColumn id="1" xr3:uid="{A63D443C-23FA-C546-879B-699C109A0CA2}" name="Variable" dataDxfId="124"/>
    <tableColumn id="4" xr3:uid="{1A5FFB41-EB4E-E74A-8922-4B34B9316DE5}" name="Value" dataDxfId="123"/>
    <tableColumn id="5" xr3:uid="{BF7F7945-F7EF-9B43-BD77-AD1154395D6F}" name="Unit" dataDxfId="122"/>
    <tableColumn id="6" xr3:uid="{97B66A41-BCC9-AB4A-9001-73F9BCD59411}" name="Comparisons" dataDxfId="121"/>
    <tableColumn id="7" xr3:uid="{0CC57FA7-D6D5-D04B-8A50-C681928970E3}" name="Variable Type" dataDxfId="120"/>
    <tableColumn id="8" xr3:uid="{793541F2-DD76-C241-9A02-11BCAFDBFB73}" name="Dependency" dataDxfId="119"/>
    <tableColumn id="12" xr3:uid="{77D37813-222C-3645-B2B0-7C5CE186734F}" name="Test 1" dataDxfId="118"/>
    <tableColumn id="10" xr3:uid="{705C6C59-C9FA-CF40-8C63-CC7BAA8D5513}" name="Test 2" dataDxfId="117"/>
    <tableColumn id="2" xr3:uid="{3CCF3320-E3BD-5A4C-926A-DD0EC2697FB0}" name="Test 3" dataDxfId="116"/>
    <tableColumn id="9" xr3:uid="{DFCD7E77-6792-EC4A-8937-7BD5661A57E7}" name="Description" dataDxfId="1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06" dataDxfId="104" headerRowBorderDxfId="105" tableBorderDxfId="103" totalsRowBorderDxfId="102">
  <autoFilter ref="A9:J13" xr:uid="{B089C5C3-2CCE-4800-96CA-2131BB6E3E4F}"/>
  <tableColumns count="10">
    <tableColumn id="1" xr3:uid="{20310A95-CEA4-0E46-A375-D38774A1331C}" name="Variable" dataDxfId="101"/>
    <tableColumn id="4" xr3:uid="{677D6E7A-ABBB-7F47-BEBA-202C00329494}" name="Value" dataDxfId="100"/>
    <tableColumn id="5" xr3:uid="{4C9D6E28-38C2-434B-8F96-F002277F8DF6}" name="Unit" dataDxfId="99"/>
    <tableColumn id="6" xr3:uid="{14421855-DDE0-1B4F-9E2F-0DCEAE184349}" name="Comparisons" dataDxfId="98"/>
    <tableColumn id="7" xr3:uid="{B52A6C11-F701-BB42-BCC5-C034770E9DBB}" name="Variable Type" dataDxfId="97"/>
    <tableColumn id="8" xr3:uid="{7995AC5C-141D-1241-85F4-ED670AA6D852}" name="Dependency" dataDxfId="96"/>
    <tableColumn id="12" xr3:uid="{36F66342-4897-3D48-B96B-71B0734889A5}" name="Test 1" dataDxfId="95"/>
    <tableColumn id="10" xr3:uid="{7FE5DC9B-6534-0E47-9DE7-3B926E4C9E93}" name="Test 2" dataDxfId="94"/>
    <tableColumn id="2" xr3:uid="{B9967632-3249-EA4A-A375-C9085B3EE56A}" name="Test 3" dataDxfId="93"/>
    <tableColumn id="9" xr3:uid="{A656D5B2-43BE-D144-B69B-B013AE6BC6D4}" name="Description" dataDxfId="9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86" dataDxfId="84" headerRowBorderDxfId="85" tableBorderDxfId="83" totalsRowBorderDxfId="82">
  <autoFilter ref="A9:J12" xr:uid="{B089C5C3-2CCE-4800-96CA-2131BB6E3E4F}"/>
  <tableColumns count="10">
    <tableColumn id="1" xr3:uid="{29F8658A-9F09-7042-A7EC-353D08C08D34}" name="Variable" dataDxfId="81"/>
    <tableColumn id="4" xr3:uid="{0AC5C09B-7B5C-9640-A6C7-5BA8E05A9F0D}" name="Value" dataDxfId="80"/>
    <tableColumn id="5" xr3:uid="{4A165AEE-D3E0-DB4C-9890-DA2D18843B58}" name="Unit" dataDxfId="79"/>
    <tableColumn id="6" xr3:uid="{23F62B44-EB3B-FD48-85F1-55541D28F146}" name="Comparisons" dataDxfId="78"/>
    <tableColumn id="7" xr3:uid="{24641755-61AF-6C44-A79C-0EC6F77B3090}" name="Variable Type" dataDxfId="77"/>
    <tableColumn id="8" xr3:uid="{8EB70C81-0937-1548-8A36-195915CD1F99}" name="Dependency" dataDxfId="76"/>
    <tableColumn id="12" xr3:uid="{636C1BEE-1088-1842-B84F-652A0A7EFF6A}" name="Test 1" dataDxfId="75"/>
    <tableColumn id="10" xr3:uid="{611EFDE4-0DDB-044D-8690-A970063DA108}" name="Test 2" dataDxfId="74"/>
    <tableColumn id="2" xr3:uid="{2E2B9EE9-BE3C-354D-8E63-B39DE80C44A0}" name="Test 3" dataDxfId="73"/>
    <tableColumn id="9" xr3:uid="{F8DFB1CD-985B-4E45-BA3D-DD47F4100DAE}" name="Description" dataDxfId="7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45" totalsRowShown="0" headerRowDxfId="60" dataDxfId="58" headerRowBorderDxfId="59" tableBorderDxfId="57" totalsRowBorderDxfId="56">
  <autoFilter ref="A9:J45" xr:uid="{B089C5C3-2CCE-4800-96CA-2131BB6E3E4F}"/>
  <tableColumns count="10">
    <tableColumn id="1" xr3:uid="{281F5226-2025-4C6E-999C-A8F575CB206B}" name="Variable" dataDxfId="55"/>
    <tableColumn id="4" xr3:uid="{907AC290-8B5F-4AFA-8DCB-C690B3734F6B}" name="Value" dataDxfId="54"/>
    <tableColumn id="5" xr3:uid="{76BE4CFE-05C6-43DC-A13C-4BFE2A2E4F38}" name="Unit" dataDxfId="53"/>
    <tableColumn id="6" xr3:uid="{8061F981-FF76-4C8B-B572-12CB713F43CB}" name="Comparisons" dataDxfId="52"/>
    <tableColumn id="7" xr3:uid="{2BCD4B9F-F682-4298-A3AA-A5F92D2263C4}" name="Variable Type" dataDxfId="51"/>
    <tableColumn id="8" xr3:uid="{1CC9FBBF-69F8-429A-814B-71DBAFF37359}" name="Dependency" dataDxfId="50"/>
    <tableColumn id="12" xr3:uid="{D2543F4F-0C85-4145-B5BB-64C7DAAA0F12}" name="Test 1" dataDxfId="49"/>
    <tableColumn id="10" xr3:uid="{4C9832B7-0AD2-4777-AAFC-C60DE2F7DA3B}" name="Test 2" dataDxfId="48"/>
    <tableColumn id="2" xr3:uid="{E95041DF-C927-4C37-AF74-78F291F45F62}" name="Test 3" dataDxfId="47"/>
    <tableColumn id="9" xr3:uid="{F7EA5B65-C16E-4E6D-B23B-ACC0E861E56F}" name="Description" dataDxfId="4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2" totalsRowShown="0" headerRowDxfId="37" dataDxfId="35" headerRowBorderDxfId="36" tableBorderDxfId="34" totalsRowBorderDxfId="33">
  <autoFilter ref="A9:J12" xr:uid="{B089C5C3-2CCE-4800-96CA-2131BB6E3E4F}"/>
  <tableColumns count="10">
    <tableColumn id="1" xr3:uid="{44E0B3A5-6A4B-4795-9F7F-DFBC306A75AE}" name="Variable" dataDxfId="32"/>
    <tableColumn id="4" xr3:uid="{34601FCC-65BC-4521-A6D7-320915B57F27}" name="Value" dataDxfId="31"/>
    <tableColumn id="5" xr3:uid="{36AA1FCE-8527-4F3E-BCD1-98FD13692D02}" name="Unit" dataDxfId="30"/>
    <tableColumn id="6" xr3:uid="{12237314-E311-4D61-9218-5391943A2DF3}" name="Comparisons" dataDxfId="29"/>
    <tableColumn id="7" xr3:uid="{602D3377-1190-430C-923B-FDC8A407022D}" name="Variable Type" dataDxfId="28"/>
    <tableColumn id="8" xr3:uid="{10F3779F-E5E0-418C-9D45-01C039CD3A06}" name="Dependency" dataDxfId="27"/>
    <tableColumn id="12" xr3:uid="{69811E65-CA30-400A-95DC-3E2E433E9B45}" name="Test 1" dataDxfId="26"/>
    <tableColumn id="10" xr3:uid="{653CF00F-2786-4470-A0B5-63F5C3F8853F}" name="Test 2" dataDxfId="25"/>
    <tableColumn id="2" xr3:uid="{FB2088F6-6335-4325-9E72-FE87533BD5DC}" name="Test 3" dataDxfId="24"/>
    <tableColumn id="9" xr3:uid="{5B622A13-3DAF-4FB5-869E-E869B7C199FB}" name="Description" dataDxfId="2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DBE15C7C-7AE8-4197-9E17-CD007CF8C5FE}" name="Variable" dataDxfId="9"/>
    <tableColumn id="4" xr3:uid="{40508BC8-45BC-49EB-A17C-121430373278}" name="Value" dataDxfId="8"/>
    <tableColumn id="5" xr3:uid="{1CD86463-E067-4143-95C2-583D377FAAE6}" name="Unit" dataDxfId="7"/>
    <tableColumn id="6" xr3:uid="{1D18AAC5-0CB5-4DEB-B9B3-68FDCBC289FF}" name="Comparisons" dataDxfId="6"/>
    <tableColumn id="7" xr3:uid="{350A3D9D-FF88-48A6-9C9C-360DB7A75B19}" name="Variable Type" dataDxfId="5"/>
    <tableColumn id="8" xr3:uid="{C65F767F-A83E-4992-8442-9E9D0E9EE5C7}" name="Dependency" dataDxfId="4"/>
    <tableColumn id="12" xr3:uid="{CC077F18-CA37-4F98-A76A-E0D3A7D055BB}" name="Test 1" dataDxfId="3"/>
    <tableColumn id="10" xr3:uid="{F91A5AB3-846A-45A0-84A7-E06C47BD0B5C}" name="Test 2" dataDxfId="2"/>
    <tableColumn id="2" xr3:uid="{28BC6DC0-30C7-420F-8628-33D17D150141}" name="Test 3" dataDxfId="1"/>
    <tableColumn id="9" xr3:uid="{85DFE1D5-A6BC-434B-AF31-6872BC06B6FB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6" hidden="1" customWidth="1"/>
    <col min="3" max="3" width="2.44140625" style="36" customWidth="1"/>
    <col min="4" max="4" width="13.77734375" style="36" customWidth="1"/>
    <col min="5" max="5" width="51.33203125" style="37" bestFit="1" customWidth="1"/>
    <col min="6" max="6" width="15.77734375" style="38" bestFit="1" customWidth="1"/>
    <col min="7" max="9" width="13.33203125" style="36" customWidth="1"/>
    <col min="10" max="10" width="48.77734375" style="36" customWidth="1"/>
    <col min="11" max="11" width="2.44140625" style="36" customWidth="1"/>
    <col min="12" max="12" width="0" style="36" hidden="1" customWidth="1"/>
    <col min="13" max="16384" width="9" style="36" hidden="1"/>
  </cols>
  <sheetData>
    <row r="3" spans="4:10"/>
    <row r="4" spans="4:10" ht="18">
      <c r="D4" s="51" t="s">
        <v>154</v>
      </c>
      <c r="E4" s="52"/>
      <c r="F4" s="53"/>
      <c r="G4" s="54"/>
      <c r="H4" s="54"/>
      <c r="I4" s="54"/>
      <c r="J4" s="39" t="s">
        <v>96</v>
      </c>
    </row>
    <row r="5" spans="4:10" ht="36">
      <c r="D5" s="62" t="s">
        <v>39</v>
      </c>
      <c r="E5" s="62"/>
      <c r="F5" s="62"/>
      <c r="G5" s="62"/>
      <c r="H5" s="62"/>
      <c r="I5" s="62"/>
      <c r="J5" s="62"/>
    </row>
    <row r="6" spans="4:10" ht="18">
      <c r="D6" s="45" t="s">
        <v>33</v>
      </c>
      <c r="E6" s="45" t="s">
        <v>151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54">
      <c r="D7" s="40">
        <v>1</v>
      </c>
      <c r="E7" s="41" t="s">
        <v>156</v>
      </c>
      <c r="F7" s="42">
        <v>44720</v>
      </c>
      <c r="G7" s="40" t="s">
        <v>40</v>
      </c>
      <c r="H7" s="40"/>
      <c r="I7" s="40"/>
      <c r="J7" s="41"/>
    </row>
    <row r="8" spans="4:10" ht="36">
      <c r="D8" s="40">
        <v>2</v>
      </c>
      <c r="E8" s="41" t="s">
        <v>152</v>
      </c>
      <c r="F8" s="42">
        <v>44818</v>
      </c>
      <c r="G8" s="40" t="s">
        <v>40</v>
      </c>
      <c r="H8" s="40"/>
      <c r="I8" s="40"/>
      <c r="J8" s="41"/>
    </row>
    <row r="9" spans="4:10" ht="18">
      <c r="D9" s="40">
        <v>3</v>
      </c>
      <c r="E9" s="41"/>
      <c r="F9" s="42"/>
      <c r="G9" s="40"/>
      <c r="H9" s="40"/>
      <c r="I9" s="40"/>
      <c r="J9" s="41"/>
    </row>
    <row r="10" spans="4:10" ht="18">
      <c r="D10" s="40">
        <v>4</v>
      </c>
      <c r="E10" s="41"/>
      <c r="F10" s="42"/>
      <c r="G10" s="40"/>
      <c r="H10" s="40"/>
      <c r="I10" s="40"/>
      <c r="J10" s="41"/>
    </row>
    <row r="11" spans="4:10" ht="18">
      <c r="D11" s="40">
        <v>5</v>
      </c>
      <c r="E11" s="41"/>
      <c r="F11" s="42"/>
      <c r="G11" s="40"/>
      <c r="H11" s="40"/>
      <c r="I11" s="40"/>
      <c r="J11" s="41"/>
    </row>
    <row r="12" spans="4:10" ht="18">
      <c r="D12" s="40">
        <v>6</v>
      </c>
      <c r="E12" s="41"/>
      <c r="F12" s="42"/>
      <c r="G12" s="40"/>
      <c r="H12" s="40"/>
      <c r="I12" s="40"/>
      <c r="J12" s="41"/>
    </row>
    <row r="13" spans="4:10" ht="18">
      <c r="D13" s="40">
        <v>7</v>
      </c>
      <c r="E13" s="41"/>
      <c r="F13" s="42"/>
      <c r="G13" s="40"/>
      <c r="H13" s="40"/>
      <c r="I13" s="40"/>
      <c r="J13" s="41"/>
    </row>
    <row r="14" spans="4:10" ht="18">
      <c r="D14" s="40">
        <v>8</v>
      </c>
      <c r="E14" s="41"/>
      <c r="F14" s="42"/>
      <c r="G14" s="40"/>
      <c r="H14" s="40"/>
      <c r="I14" s="40"/>
      <c r="J14" s="41"/>
    </row>
    <row r="15" spans="4:10" ht="18">
      <c r="D15" s="40">
        <v>9</v>
      </c>
      <c r="E15" s="41"/>
      <c r="F15" s="42"/>
      <c r="G15" s="40"/>
      <c r="H15" s="40"/>
      <c r="I15" s="40"/>
      <c r="J15" s="41"/>
    </row>
    <row r="16" spans="4:10" ht="18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  <row r="30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70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94</v>
      </c>
      <c r="M1" t="s">
        <v>90</v>
      </c>
      <c r="N1" t="s">
        <v>91</v>
      </c>
      <c r="O1" t="s">
        <v>95</v>
      </c>
      <c r="P1" t="s">
        <v>100</v>
      </c>
      <c r="Q1" t="s">
        <v>121</v>
      </c>
      <c r="R1" t="s">
        <v>129</v>
      </c>
      <c r="S1" t="s">
        <v>130</v>
      </c>
      <c r="T1" t="s">
        <v>140</v>
      </c>
      <c r="U1" t="s">
        <v>141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86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142</v>
      </c>
    </row>
    <row r="4" spans="1:21">
      <c r="A4" t="s">
        <v>93</v>
      </c>
      <c r="B4" t="s">
        <v>24</v>
      </c>
      <c r="C4" t="s">
        <v>46</v>
      </c>
      <c r="D4" t="s">
        <v>87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143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144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145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146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147</v>
      </c>
    </row>
    <row r="9" spans="1:21">
      <c r="B9" t="s">
        <v>101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148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138</v>
      </c>
    </row>
    <row r="12" spans="1:21">
      <c r="B12" t="s">
        <v>102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139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A10" sqref="A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IF(COUNTIF(Table1931213142[Test 3],1)=COUNTA(Table1931213142[Value]),"Ready","Not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149</v>
      </c>
      <c r="B10" s="33">
        <v>0.04</v>
      </c>
      <c r="C10" s="2" t="s">
        <v>75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150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Rq/leBQC87MAlQicwMIYJGCCsaU9F4Z/voFXMO6p1RJaIMh0XDR9kv2fYFpfLK1qyVtSBIxHx+p0r6sYYjDBfw==" saltValue="IIembNLO7xPmZzkd91yuKQ==" spinCount="100000" sheet="1" objects="1" scenarios="1" selectLockedCells="1"/>
  <mergeCells count="2">
    <mergeCell ref="A3:J3"/>
    <mergeCell ref="J4:J8"/>
  </mergeCells>
  <conditionalFormatting sqref="B11">
    <cfRule type="expression" dxfId="137" priority="7">
      <formula>IF(AND($B11&lt;&gt;"",$I11=0),1,0)</formula>
    </cfRule>
    <cfRule type="expression" dxfId="136" priority="8">
      <formula>IF($B11&lt;&gt;"",1,0)</formula>
    </cfRule>
    <cfRule type="expression" dxfId="135" priority="9">
      <formula>$I11=0</formula>
    </cfRule>
  </conditionalFormatting>
  <conditionalFormatting sqref="B10">
    <cfRule type="expression" dxfId="134" priority="1">
      <formula>IF(AND($B10&lt;&gt;"",$I10=0),1,0)</formula>
    </cfRule>
    <cfRule type="expression" dxfId="133" priority="2">
      <formula>IF($B10&lt;&gt;"",1,0)</formula>
    </cfRule>
    <cfRule type="expression" dxfId="132" priority="3">
      <formula>$I10=0</formula>
    </cfRule>
  </conditionalFormatting>
  <conditionalFormatting sqref="J4">
    <cfRule type="expression" dxfId="131" priority="2056">
      <formula>IF(COUNTA($B$10:$B$11)&lt;&gt;COUNTIF($I$10:$I$11,1),1,0)</formula>
    </cfRule>
    <cfRule type="expression" dxfId="130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IF(COUNTIF(Table1931213143[Test 3],1)=COUNTA(Table1931213143[Value]),"Ready","Not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72">
      <c r="A10" s="4" t="s">
        <v>122</v>
      </c>
      <c r="B10" s="33">
        <v>1</v>
      </c>
      <c r="C10" s="2" t="s">
        <v>3</v>
      </c>
      <c r="D10" s="1" t="s">
        <v>24</v>
      </c>
      <c r="E10" s="1" t="s">
        <v>93</v>
      </c>
      <c r="F10" s="2" t="s">
        <v>42</v>
      </c>
      <c r="G10" s="1">
        <v>1</v>
      </c>
      <c r="H10" s="1">
        <v>1</v>
      </c>
      <c r="I10" s="6">
        <v>1</v>
      </c>
      <c r="J10" s="5" t="s">
        <v>133</v>
      </c>
    </row>
    <row r="11" spans="1:10" ht="14.4">
      <c r="A11" s="4" t="s">
        <v>136</v>
      </c>
      <c r="B11" s="33"/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134</v>
      </c>
    </row>
    <row r="12" spans="1:10" ht="14.4">
      <c r="A12" s="4" t="s">
        <v>137</v>
      </c>
      <c r="B12" s="33"/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135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114" priority="7">
      <formula>IF(AND($B11&lt;&gt;"",$I11=0),1,0)</formula>
    </cfRule>
    <cfRule type="expression" dxfId="113" priority="8">
      <formula>IF($B11&lt;&gt;"",1,0)</formula>
    </cfRule>
    <cfRule type="expression" dxfId="112" priority="9">
      <formula>$I11=0</formula>
    </cfRule>
  </conditionalFormatting>
  <conditionalFormatting sqref="B10">
    <cfRule type="expression" dxfId="111" priority="1">
      <formula>IF(AND($B10&lt;&gt;"",$I10=0),1,0)</formula>
    </cfRule>
    <cfRule type="expression" dxfId="110" priority="2">
      <formula>IF($B10&lt;&gt;"",1,0)</formula>
    </cfRule>
    <cfRule type="expression" dxfId="109" priority="3">
      <formula>$I10=0</formula>
    </cfRule>
  </conditionalFormatting>
  <conditionalFormatting sqref="J4">
    <cfRule type="expression" dxfId="108" priority="2058">
      <formula>IF(COUNTA($B$10:$B$13)&lt;&gt;COUNTIF($I$10:$I$13,1),1,0)</formula>
    </cfRule>
    <cfRule type="expression" dxfId="107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IF(COUNTIF(Table1931213144[Test 3],1)=COUNTA(Table1931213144[Value]),"Ready","Not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66</v>
      </c>
      <c r="B10" s="33">
        <v>1.552E-3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120</v>
      </c>
    </row>
    <row r="11" spans="1:10" ht="28.8">
      <c r="A11" s="4" t="s">
        <v>67</v>
      </c>
      <c r="B11" s="33">
        <v>8.0999999999999996E-4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92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wdXHVc4emkViGH28Qh1nwWbtqVqLfVkvtAGkeB19fVVlWPSg8znqJdMfYix7V+b5o9qkmOAlSkY594Hc3QxI9Q==" saltValue="vd92mMkquxP3i/Ni4AdBWw==" spinCount="100000" sheet="1" objects="1" scenarios="1" selectLockedCells="1"/>
  <mergeCells count="2">
    <mergeCell ref="A3:J3"/>
    <mergeCell ref="J4:J8"/>
  </mergeCells>
  <conditionalFormatting sqref="B10:B12">
    <cfRule type="expression" dxfId="91" priority="7">
      <formula>IF(AND($B10&lt;&gt;"",$I10=0),1,0)</formula>
    </cfRule>
    <cfRule type="expression" dxfId="90" priority="8">
      <formula>IF($B10&lt;&gt;"",1,0)</formula>
    </cfRule>
    <cfRule type="expression" dxfId="89" priority="9">
      <formula>$I10=0</formula>
    </cfRule>
  </conditionalFormatting>
  <conditionalFormatting sqref="J4">
    <cfRule type="expression" dxfId="88" priority="2062">
      <formula>IF(COUNTA($B$10:$B$12)&lt;&gt;COUNTIF($I$10:$I$12,1),1,0)</formula>
    </cfRule>
    <cfRule type="expression" dxfId="87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1:K45"/>
  <sheetViews>
    <sheetView showGridLines="0" tabSelected="1" topLeftCell="A2" zoomScaleNormal="100" zoomScaleSheetLayoutView="85" workbookViewId="0">
      <pane ySplit="8" topLeftCell="A38" activePane="bottomLeft" state="frozen"/>
      <selection activeCell="A10" sqref="A10:J10"/>
      <selection pane="bottomLeft" activeCell="B44" sqref="B44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55" customHeight="1"/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IF(COUNTIF(Table193121314[Test 3],1)=COUNTA(Table193121314[Value]),"Ready","Not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6" t="s">
        <v>132</v>
      </c>
      <c r="B10" s="33">
        <v>298.14999999999998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162</v>
      </c>
    </row>
    <row r="11" spans="1:10" ht="87.6">
      <c r="A11" s="59" t="s">
        <v>157</v>
      </c>
      <c r="B11" s="33"/>
      <c r="C11" s="57" t="s">
        <v>159</v>
      </c>
      <c r="D11" s="1" t="s">
        <v>24</v>
      </c>
      <c r="E11" s="1" t="s">
        <v>7</v>
      </c>
      <c r="F11" s="2" t="s">
        <v>5</v>
      </c>
      <c r="G11" s="56">
        <v>1</v>
      </c>
      <c r="H11" s="58">
        <f>[1]Initialization!$B$10</f>
        <v>2</v>
      </c>
      <c r="I11" s="61">
        <f>IF('[2]Model Selection'!$B$10=1,1,0)</f>
        <v>0</v>
      </c>
      <c r="J11" s="60" t="s">
        <v>180</v>
      </c>
    </row>
    <row r="12" spans="1:10" ht="87.6">
      <c r="A12" s="59" t="s">
        <v>158</v>
      </c>
      <c r="B12" s="33"/>
      <c r="C12" s="57" t="s">
        <v>159</v>
      </c>
      <c r="D12" s="1" t="s">
        <v>24</v>
      </c>
      <c r="E12" s="1" t="s">
        <v>7</v>
      </c>
      <c r="F12" s="2" t="s">
        <v>5</v>
      </c>
      <c r="G12" s="56"/>
      <c r="H12" s="58">
        <f>[1]Initialization!$B$10</f>
        <v>2</v>
      </c>
      <c r="I12" s="61">
        <f>IF('[2]Model Selection'!$B$10=1,1,0)</f>
        <v>0</v>
      </c>
      <c r="J12" s="60" t="s">
        <v>180</v>
      </c>
    </row>
    <row r="13" spans="1:10" ht="58.8">
      <c r="A13" s="4" t="s">
        <v>71</v>
      </c>
      <c r="B13" s="33"/>
      <c r="C13" s="57" t="s">
        <v>161</v>
      </c>
      <c r="D13" s="1" t="s">
        <v>24</v>
      </c>
      <c r="E13" s="1" t="s">
        <v>7</v>
      </c>
      <c r="F13" s="2" t="s">
        <v>5</v>
      </c>
      <c r="G13" s="1">
        <v>1</v>
      </c>
      <c r="H13" s="55">
        <f>[1]Initialization!$B$10</f>
        <v>2</v>
      </c>
      <c r="I13" s="44">
        <f>IF(OR('[2]Model Selection'!$B$10=2,'[2]Model Selection'!$B$10=3),1,0)</f>
        <v>0</v>
      </c>
      <c r="J13" s="5" t="s">
        <v>186</v>
      </c>
    </row>
    <row r="14" spans="1:10" ht="58.8">
      <c r="A14" s="4" t="s">
        <v>74</v>
      </c>
      <c r="B14" s="33"/>
      <c r="C14" s="57" t="s">
        <v>161</v>
      </c>
      <c r="D14" s="1" t="s">
        <v>24</v>
      </c>
      <c r="E14" s="1" t="s">
        <v>7</v>
      </c>
      <c r="F14" s="2" t="s">
        <v>5</v>
      </c>
      <c r="G14" s="1"/>
      <c r="H14" s="55">
        <f>[1]Initialization!$B$10</f>
        <v>2</v>
      </c>
      <c r="I14" s="44">
        <f>IF(OR('[2]Model Selection'!$B$10=2,'[2]Model Selection'!$B$10=3),1,0)</f>
        <v>0</v>
      </c>
      <c r="J14" s="5" t="s">
        <v>186</v>
      </c>
    </row>
    <row r="15" spans="1:10" ht="73.2">
      <c r="A15" s="4" t="s">
        <v>72</v>
      </c>
      <c r="B15" s="33"/>
      <c r="C15" s="2" t="s">
        <v>160</v>
      </c>
      <c r="D15" s="1" t="s">
        <v>24</v>
      </c>
      <c r="E15" s="1" t="s">
        <v>7</v>
      </c>
      <c r="F15" s="2" t="s">
        <v>5</v>
      </c>
      <c r="G15" s="1">
        <v>1</v>
      </c>
      <c r="H15" s="55">
        <f>[1]Initialization!$B$10</f>
        <v>2</v>
      </c>
      <c r="I15" s="44">
        <f>IF(OR('[2]Model Selection'!$B$10=2),1,0)</f>
        <v>0</v>
      </c>
      <c r="J15" s="5" t="s">
        <v>190</v>
      </c>
    </row>
    <row r="16" spans="1:10" ht="73.2">
      <c r="A16" s="4" t="s">
        <v>73</v>
      </c>
      <c r="B16" s="33"/>
      <c r="C16" s="2" t="s">
        <v>160</v>
      </c>
      <c r="D16" s="1" t="s">
        <v>24</v>
      </c>
      <c r="E16" s="1" t="s">
        <v>7</v>
      </c>
      <c r="F16" s="2" t="s">
        <v>5</v>
      </c>
      <c r="G16" s="1"/>
      <c r="H16" s="55">
        <f>[1]Initialization!$B$10</f>
        <v>2</v>
      </c>
      <c r="I16" s="44">
        <f>IF(OR('[2]Model Selection'!$B$10=2),1,0)</f>
        <v>0</v>
      </c>
      <c r="J16" s="5" t="s">
        <v>190</v>
      </c>
    </row>
    <row r="17" spans="1:10" ht="102">
      <c r="A17" s="59" t="s">
        <v>163</v>
      </c>
      <c r="B17" s="33"/>
      <c r="C17" s="57" t="s">
        <v>160</v>
      </c>
      <c r="D17" s="1" t="s">
        <v>24</v>
      </c>
      <c r="E17" s="1" t="s">
        <v>7</v>
      </c>
      <c r="F17" s="2" t="s">
        <v>5</v>
      </c>
      <c r="G17" s="1">
        <v>1</v>
      </c>
      <c r="H17" s="55">
        <f>[1]Initialization!$B$10</f>
        <v>2</v>
      </c>
      <c r="I17" s="44">
        <f>IF('[2]Model Selection'!$B$10=3,1,0)</f>
        <v>0</v>
      </c>
      <c r="J17" s="60" t="s">
        <v>181</v>
      </c>
    </row>
    <row r="18" spans="1:10" ht="102">
      <c r="A18" s="59" t="s">
        <v>164</v>
      </c>
      <c r="B18" s="33"/>
      <c r="C18" s="57" t="s">
        <v>160</v>
      </c>
      <c r="D18" s="1" t="s">
        <v>24</v>
      </c>
      <c r="E18" s="1" t="s">
        <v>7</v>
      </c>
      <c r="F18" s="2" t="s">
        <v>5</v>
      </c>
      <c r="G18" s="56"/>
      <c r="H18" s="55">
        <f>[1]Initialization!$B$10</f>
        <v>2</v>
      </c>
      <c r="I18" s="44">
        <f>IF('[2]Model Selection'!$B$10=3,1,0)</f>
        <v>0</v>
      </c>
      <c r="J18" s="60" t="s">
        <v>181</v>
      </c>
    </row>
    <row r="19" spans="1:10" ht="58.8">
      <c r="A19" s="59" t="s">
        <v>165</v>
      </c>
      <c r="B19" s="33"/>
      <c r="C19" s="57" t="s">
        <v>3</v>
      </c>
      <c r="D19" s="1" t="s">
        <v>24</v>
      </c>
      <c r="E19" s="1" t="s">
        <v>7</v>
      </c>
      <c r="F19" s="2" t="s">
        <v>5</v>
      </c>
      <c r="G19" s="1">
        <v>1</v>
      </c>
      <c r="H19" s="55">
        <f>[1]Initialization!$B$10</f>
        <v>2</v>
      </c>
      <c r="I19" s="44">
        <f>IF(OR('[2]Model Selection'!$B$10=3),1,0)</f>
        <v>0</v>
      </c>
      <c r="J19" s="60" t="s">
        <v>191</v>
      </c>
    </row>
    <row r="20" spans="1:10" ht="58.8">
      <c r="A20" s="59" t="s">
        <v>166</v>
      </c>
      <c r="B20" s="33"/>
      <c r="C20" s="57" t="s">
        <v>3</v>
      </c>
      <c r="D20" s="1" t="s">
        <v>24</v>
      </c>
      <c r="E20" s="1" t="s">
        <v>7</v>
      </c>
      <c r="F20" s="2" t="s">
        <v>5</v>
      </c>
      <c r="G20" s="56"/>
      <c r="H20" s="55">
        <f>[1]Initialization!$B$10</f>
        <v>2</v>
      </c>
      <c r="I20" s="44">
        <f>IF(OR('[2]Model Selection'!$B$10=3),1,0)</f>
        <v>0</v>
      </c>
      <c r="J20" s="60" t="s">
        <v>191</v>
      </c>
    </row>
    <row r="21" spans="1:10" ht="58.8">
      <c r="A21" s="59" t="s">
        <v>167</v>
      </c>
      <c r="B21" s="33"/>
      <c r="C21" s="57" t="s">
        <v>161</v>
      </c>
      <c r="D21" s="1" t="s">
        <v>24</v>
      </c>
      <c r="E21" s="1" t="s">
        <v>7</v>
      </c>
      <c r="F21" s="2" t="s">
        <v>5</v>
      </c>
      <c r="G21" s="1">
        <v>1</v>
      </c>
      <c r="H21" s="55">
        <f>[1]Initialization!$B$10</f>
        <v>2</v>
      </c>
      <c r="I21" s="44">
        <f>IF('[2]Model Selection'!$B$10=4,1,0)</f>
        <v>0</v>
      </c>
      <c r="J21" s="60" t="s">
        <v>182</v>
      </c>
    </row>
    <row r="22" spans="1:10" ht="58.8">
      <c r="A22" s="59" t="s">
        <v>168</v>
      </c>
      <c r="B22" s="33"/>
      <c r="C22" s="57" t="s">
        <v>161</v>
      </c>
      <c r="D22" s="1" t="s">
        <v>24</v>
      </c>
      <c r="E22" s="1" t="s">
        <v>7</v>
      </c>
      <c r="F22" s="2" t="s">
        <v>5</v>
      </c>
      <c r="G22" s="56"/>
      <c r="H22" s="55">
        <f>[1]Initialization!$B$10</f>
        <v>2</v>
      </c>
      <c r="I22" s="44">
        <f>IF('[2]Model Selection'!$B$10=4,1,0)</f>
        <v>0</v>
      </c>
      <c r="J22" s="60" t="s">
        <v>182</v>
      </c>
    </row>
    <row r="23" spans="1:10" ht="58.8">
      <c r="A23" s="59" t="s">
        <v>169</v>
      </c>
      <c r="B23" s="33"/>
      <c r="C23" s="57" t="s">
        <v>179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[1]Initialization!$B$10</f>
        <v>2</v>
      </c>
      <c r="I23" s="44">
        <f>IF('[2]Model Selection'!$B$10=4,1,0)</f>
        <v>0</v>
      </c>
      <c r="J23" s="60" t="s">
        <v>183</v>
      </c>
    </row>
    <row r="24" spans="1:10" ht="58.8">
      <c r="A24" s="59" t="s">
        <v>170</v>
      </c>
      <c r="B24" s="33"/>
      <c r="C24" s="57" t="s">
        <v>179</v>
      </c>
      <c r="D24" s="1" t="s">
        <v>24</v>
      </c>
      <c r="E24" s="1" t="s">
        <v>7</v>
      </c>
      <c r="F24" s="2" t="s">
        <v>5</v>
      </c>
      <c r="G24" s="56"/>
      <c r="H24" s="55">
        <f>[1]Initialization!$B$10</f>
        <v>2</v>
      </c>
      <c r="I24" s="44">
        <f>IF('[2]Model Selection'!$B$10=4,1,0)</f>
        <v>0</v>
      </c>
      <c r="J24" s="60" t="s">
        <v>183</v>
      </c>
    </row>
    <row r="25" spans="1:10" ht="58.8">
      <c r="A25" s="59" t="s">
        <v>171</v>
      </c>
      <c r="B25" s="33"/>
      <c r="C25" s="57" t="s">
        <v>187</v>
      </c>
      <c r="D25" s="1" t="s">
        <v>24</v>
      </c>
      <c r="E25" s="1" t="s">
        <v>7</v>
      </c>
      <c r="F25" s="2" t="s">
        <v>5</v>
      </c>
      <c r="G25" s="1">
        <v>1</v>
      </c>
      <c r="H25" s="55">
        <f>[1]Initialization!$B$10</f>
        <v>2</v>
      </c>
      <c r="I25" s="44">
        <f>IF('[2]Model Selection'!$B$10=4,1,0)</f>
        <v>0</v>
      </c>
      <c r="J25" s="60" t="s">
        <v>184</v>
      </c>
    </row>
    <row r="26" spans="1:10" ht="58.8">
      <c r="A26" s="59" t="s">
        <v>172</v>
      </c>
      <c r="B26" s="33"/>
      <c r="C26" s="57" t="s">
        <v>187</v>
      </c>
      <c r="D26" s="1" t="s">
        <v>24</v>
      </c>
      <c r="E26" s="1" t="s">
        <v>7</v>
      </c>
      <c r="F26" s="2" t="s">
        <v>5</v>
      </c>
      <c r="G26" s="56"/>
      <c r="H26" s="55">
        <f>[1]Initialization!$B$10</f>
        <v>2</v>
      </c>
      <c r="I26" s="44">
        <f>IF('[2]Model Selection'!$B$10=4,1,0)</f>
        <v>0</v>
      </c>
      <c r="J26" s="60" t="s">
        <v>184</v>
      </c>
    </row>
    <row r="27" spans="1:10" ht="58.8">
      <c r="A27" s="59" t="s">
        <v>173</v>
      </c>
      <c r="B27" s="33"/>
      <c r="C27" s="57" t="s">
        <v>20</v>
      </c>
      <c r="D27" s="1" t="s">
        <v>24</v>
      </c>
      <c r="E27" s="1" t="s">
        <v>7</v>
      </c>
      <c r="F27" s="2" t="s">
        <v>5</v>
      </c>
      <c r="G27" s="1">
        <v>1</v>
      </c>
      <c r="H27" s="55">
        <f>[1]Initialization!$B$10</f>
        <v>2</v>
      </c>
      <c r="I27" s="44">
        <f>IF('[2]Model Selection'!$B$10=4,1,0)</f>
        <v>0</v>
      </c>
      <c r="J27" s="60" t="s">
        <v>185</v>
      </c>
    </row>
    <row r="28" spans="1:10" ht="58.8">
      <c r="A28" s="59" t="s">
        <v>174</v>
      </c>
      <c r="B28" s="33"/>
      <c r="C28" s="57" t="s">
        <v>20</v>
      </c>
      <c r="D28" s="1" t="s">
        <v>24</v>
      </c>
      <c r="E28" s="1" t="s">
        <v>7</v>
      </c>
      <c r="F28" s="2" t="s">
        <v>5</v>
      </c>
      <c r="G28" s="56"/>
      <c r="H28" s="55">
        <f>[1]Initialization!$B$10</f>
        <v>2</v>
      </c>
      <c r="I28" s="44">
        <f>IF('[2]Model Selection'!$B$10=4,1,0)</f>
        <v>0</v>
      </c>
      <c r="J28" s="60" t="s">
        <v>185</v>
      </c>
    </row>
    <row r="29" spans="1:10" ht="87.6">
      <c r="A29" s="59" t="s">
        <v>175</v>
      </c>
      <c r="B29" s="33"/>
      <c r="C29" s="57" t="s">
        <v>3</v>
      </c>
      <c r="D29" s="1" t="s">
        <v>24</v>
      </c>
      <c r="E29" s="1" t="s">
        <v>7</v>
      </c>
      <c r="F29" s="2" t="s">
        <v>5</v>
      </c>
      <c r="G29" s="1">
        <v>1</v>
      </c>
      <c r="H29" s="55">
        <f>[1]Initialization!$B$10</f>
        <v>2</v>
      </c>
      <c r="I29" s="44">
        <f>IF('[2]Model Selection'!$B$10=4,1,0)</f>
        <v>0</v>
      </c>
      <c r="J29" s="60" t="s">
        <v>188</v>
      </c>
    </row>
    <row r="30" spans="1:10" ht="87.6">
      <c r="A30" s="59" t="s">
        <v>176</v>
      </c>
      <c r="B30" s="33"/>
      <c r="C30" s="57" t="s">
        <v>3</v>
      </c>
      <c r="D30" s="1" t="s">
        <v>24</v>
      </c>
      <c r="E30" s="1" t="s">
        <v>7</v>
      </c>
      <c r="F30" s="2" t="s">
        <v>5</v>
      </c>
      <c r="G30" s="56"/>
      <c r="H30" s="55">
        <f>[1]Initialization!$B$10</f>
        <v>2</v>
      </c>
      <c r="I30" s="44">
        <f>IF('[2]Model Selection'!$B$10=4,1,0)</f>
        <v>0</v>
      </c>
      <c r="J30" s="60" t="s">
        <v>188</v>
      </c>
    </row>
    <row r="31" spans="1:10" ht="58.8">
      <c r="A31" s="59" t="s">
        <v>177</v>
      </c>
      <c r="B31" s="33"/>
      <c r="C31" s="57" t="s">
        <v>20</v>
      </c>
      <c r="D31" s="1" t="s">
        <v>24</v>
      </c>
      <c r="E31" s="1" t="s">
        <v>7</v>
      </c>
      <c r="F31" s="2" t="s">
        <v>5</v>
      </c>
      <c r="G31" s="1">
        <v>1</v>
      </c>
      <c r="H31" s="55">
        <f>[1]Initialization!$B$10</f>
        <v>2</v>
      </c>
      <c r="I31" s="44">
        <f>IF('[2]Model Selection'!$B$10=4,1,0)</f>
        <v>0</v>
      </c>
      <c r="J31" s="60" t="s">
        <v>189</v>
      </c>
    </row>
    <row r="32" spans="1:10" ht="58.8">
      <c r="A32" s="46" t="s">
        <v>178</v>
      </c>
      <c r="B32" s="33"/>
      <c r="C32" s="35" t="s">
        <v>20</v>
      </c>
      <c r="D32" s="1" t="s">
        <v>24</v>
      </c>
      <c r="E32" s="1" t="s">
        <v>7</v>
      </c>
      <c r="F32" s="2" t="s">
        <v>5</v>
      </c>
      <c r="G32" s="56"/>
      <c r="H32" s="55">
        <f>[1]Initialization!$B$10</f>
        <v>2</v>
      </c>
      <c r="I32" s="44">
        <f>IF('[2]Model Selection'!$B$10=4,1,0)</f>
        <v>0</v>
      </c>
      <c r="J32" s="60" t="s">
        <v>189</v>
      </c>
    </row>
    <row r="33" spans="1:10" ht="43.2">
      <c r="A33" s="59" t="s">
        <v>194</v>
      </c>
      <c r="B33" s="33" t="s">
        <v>193</v>
      </c>
      <c r="C33" s="57" t="s">
        <v>161</v>
      </c>
      <c r="D33" s="1" t="s">
        <v>24</v>
      </c>
      <c r="E33" s="1" t="s">
        <v>11</v>
      </c>
      <c r="F33" s="2" t="s">
        <v>5</v>
      </c>
      <c r="G33" s="56">
        <v>1</v>
      </c>
      <c r="H33" s="55">
        <f>[1]Initialization!$B$10</f>
        <v>2</v>
      </c>
      <c r="I33" s="61">
        <f>IF(OR('[2]Model Selection'!$B$10=5,'[2]Model Selection'!$B$10=6),1,0)</f>
        <v>1</v>
      </c>
      <c r="J33" s="60" t="s">
        <v>216</v>
      </c>
    </row>
    <row r="34" spans="1:10" ht="43.2">
      <c r="A34" s="59" t="s">
        <v>195</v>
      </c>
      <c r="B34" s="33" t="s">
        <v>192</v>
      </c>
      <c r="C34" s="57" t="s">
        <v>161</v>
      </c>
      <c r="D34" s="1" t="s">
        <v>24</v>
      </c>
      <c r="E34" s="1" t="s">
        <v>11</v>
      </c>
      <c r="F34" s="2" t="s">
        <v>5</v>
      </c>
      <c r="G34" s="56"/>
      <c r="H34" s="55">
        <f>[1]Initialization!$B$10</f>
        <v>2</v>
      </c>
      <c r="I34" s="61">
        <f>IF(OR('[2]Model Selection'!$B$10=5,'[2]Model Selection'!$B$10=6),1,0)</f>
        <v>1</v>
      </c>
      <c r="J34" s="60" t="s">
        <v>217</v>
      </c>
    </row>
    <row r="35" spans="1:10" ht="43.2">
      <c r="A35" s="59" t="s">
        <v>196</v>
      </c>
      <c r="B35" s="33" t="s">
        <v>206</v>
      </c>
      <c r="C35" s="57" t="s">
        <v>161</v>
      </c>
      <c r="D35" s="1" t="s">
        <v>24</v>
      </c>
      <c r="E35" s="1" t="s">
        <v>11</v>
      </c>
      <c r="F35" s="2" t="s">
        <v>5</v>
      </c>
      <c r="G35" s="56">
        <v>1</v>
      </c>
      <c r="H35" s="55">
        <f>[1]Initialization!$B$10</f>
        <v>2</v>
      </c>
      <c r="I35" s="61">
        <f>IF(OR('[2]Model Selection'!$B$10=5,'[2]Model Selection'!$B$10=6),1,0)</f>
        <v>1</v>
      </c>
      <c r="J35" s="60" t="s">
        <v>219</v>
      </c>
    </row>
    <row r="36" spans="1:10" ht="43.2">
      <c r="A36" s="59" t="s">
        <v>197</v>
      </c>
      <c r="B36" s="33" t="s">
        <v>207</v>
      </c>
      <c r="C36" s="57" t="s">
        <v>161</v>
      </c>
      <c r="D36" s="1" t="s">
        <v>24</v>
      </c>
      <c r="E36" s="1" t="s">
        <v>11</v>
      </c>
      <c r="F36" s="2" t="s">
        <v>5</v>
      </c>
      <c r="G36" s="56"/>
      <c r="H36" s="55">
        <f>[1]Initialization!$B$10</f>
        <v>2</v>
      </c>
      <c r="I36" s="61">
        <f>IF(OR('[2]Model Selection'!$B$10=5,'[2]Model Selection'!$B$10=6),1,0)</f>
        <v>1</v>
      </c>
      <c r="J36" s="60" t="s">
        <v>218</v>
      </c>
    </row>
    <row r="37" spans="1:10" ht="43.2">
      <c r="A37" s="59" t="s">
        <v>198</v>
      </c>
      <c r="B37" s="33" t="s">
        <v>208</v>
      </c>
      <c r="C37" s="57" t="s">
        <v>160</v>
      </c>
      <c r="D37" s="1" t="s">
        <v>24</v>
      </c>
      <c r="E37" s="1" t="s">
        <v>11</v>
      </c>
      <c r="F37" s="2" t="s">
        <v>5</v>
      </c>
      <c r="G37" s="56">
        <v>1</v>
      </c>
      <c r="H37" s="55">
        <f>[1]Initialization!$B$10</f>
        <v>2</v>
      </c>
      <c r="I37" s="61">
        <f>IF(OR('[2]Model Selection'!$B$10=5,'[2]Model Selection'!$B$10=6),1,0)</f>
        <v>1</v>
      </c>
      <c r="J37" s="60" t="s">
        <v>220</v>
      </c>
    </row>
    <row r="38" spans="1:10" ht="43.2">
      <c r="A38" s="59" t="s">
        <v>199</v>
      </c>
      <c r="B38" s="33" t="s">
        <v>210</v>
      </c>
      <c r="C38" s="57" t="s">
        <v>160</v>
      </c>
      <c r="D38" s="1" t="s">
        <v>24</v>
      </c>
      <c r="E38" s="1" t="s">
        <v>11</v>
      </c>
      <c r="F38" s="2" t="s">
        <v>5</v>
      </c>
      <c r="G38" s="56"/>
      <c r="H38" s="55">
        <f>[1]Initialization!$B$10</f>
        <v>2</v>
      </c>
      <c r="I38" s="61">
        <f>IF(OR('[2]Model Selection'!$B$10=5,'[2]Model Selection'!$B$10=6),1,0)</f>
        <v>1</v>
      </c>
      <c r="J38" s="60" t="s">
        <v>221</v>
      </c>
    </row>
    <row r="39" spans="1:10" ht="43.2">
      <c r="A39" s="59" t="s">
        <v>200</v>
      </c>
      <c r="B39" s="33" t="s">
        <v>209</v>
      </c>
      <c r="C39" s="57" t="s">
        <v>160</v>
      </c>
      <c r="D39" s="1" t="s">
        <v>24</v>
      </c>
      <c r="E39" s="1" t="s">
        <v>11</v>
      </c>
      <c r="F39" s="2" t="s">
        <v>5</v>
      </c>
      <c r="G39" s="56">
        <v>1</v>
      </c>
      <c r="H39" s="55">
        <f>[1]Initialization!$B$10</f>
        <v>2</v>
      </c>
      <c r="I39" s="61">
        <f>IF(OR('[2]Model Selection'!$B$10=5,'[2]Model Selection'!$B$10=6),1,0)</f>
        <v>1</v>
      </c>
      <c r="J39" s="60" t="s">
        <v>222</v>
      </c>
    </row>
    <row r="40" spans="1:10" ht="43.2">
      <c r="A40" s="59" t="s">
        <v>201</v>
      </c>
      <c r="B40" s="33" t="s">
        <v>211</v>
      </c>
      <c r="C40" s="57" t="s">
        <v>160</v>
      </c>
      <c r="D40" s="1" t="s">
        <v>24</v>
      </c>
      <c r="E40" s="1" t="s">
        <v>11</v>
      </c>
      <c r="F40" s="2" t="s">
        <v>5</v>
      </c>
      <c r="G40" s="56"/>
      <c r="H40" s="55">
        <f>[1]Initialization!$B$10</f>
        <v>2</v>
      </c>
      <c r="I40" s="61">
        <f>IF(OR('[2]Model Selection'!$B$10=5,'[2]Model Selection'!$B$10=6),1,0)</f>
        <v>1</v>
      </c>
      <c r="J40" s="60" t="s">
        <v>223</v>
      </c>
    </row>
    <row r="41" spans="1:10" ht="43.2">
      <c r="A41" s="59" t="s">
        <v>202</v>
      </c>
      <c r="B41" s="33" t="s">
        <v>212</v>
      </c>
      <c r="C41" s="57" t="s">
        <v>3</v>
      </c>
      <c r="D41" s="1" t="s">
        <v>24</v>
      </c>
      <c r="E41" s="1" t="s">
        <v>11</v>
      </c>
      <c r="F41" s="2" t="s">
        <v>5</v>
      </c>
      <c r="G41" s="56">
        <v>1</v>
      </c>
      <c r="H41" s="55">
        <f>[1]Initialization!$B$10</f>
        <v>2</v>
      </c>
      <c r="I41" s="61">
        <f>IF(OR('[2]Model Selection'!$B$10=5,'[2]Model Selection'!$B$10=6),1,0)</f>
        <v>1</v>
      </c>
      <c r="J41" s="60" t="s">
        <v>224</v>
      </c>
    </row>
    <row r="42" spans="1:10" ht="43.2">
      <c r="A42" s="59" t="s">
        <v>203</v>
      </c>
      <c r="B42" s="33" t="s">
        <v>214</v>
      </c>
      <c r="C42" s="57" t="s">
        <v>3</v>
      </c>
      <c r="D42" s="1" t="s">
        <v>24</v>
      </c>
      <c r="E42" s="1" t="s">
        <v>11</v>
      </c>
      <c r="F42" s="2" t="s">
        <v>5</v>
      </c>
      <c r="G42" s="56"/>
      <c r="H42" s="55">
        <f>[1]Initialization!$B$10</f>
        <v>2</v>
      </c>
      <c r="I42" s="61">
        <f>IF(OR('[2]Model Selection'!$B$10=5,'[2]Model Selection'!$B$10=6),1,0)</f>
        <v>1</v>
      </c>
      <c r="J42" s="60" t="s">
        <v>225</v>
      </c>
    </row>
    <row r="43" spans="1:10" ht="43.2">
      <c r="A43" s="59" t="s">
        <v>204</v>
      </c>
      <c r="B43" s="33" t="s">
        <v>213</v>
      </c>
      <c r="C43" s="57" t="s">
        <v>3</v>
      </c>
      <c r="D43" s="1" t="s">
        <v>24</v>
      </c>
      <c r="E43" s="1" t="s">
        <v>11</v>
      </c>
      <c r="F43" s="2" t="s">
        <v>5</v>
      </c>
      <c r="G43" s="56">
        <v>1</v>
      </c>
      <c r="H43" s="55">
        <f>[1]Initialization!$B$10</f>
        <v>2</v>
      </c>
      <c r="I43" s="61">
        <f>IF(OR('[2]Model Selection'!$B$10=5,'[2]Model Selection'!$B$10=6),1,0)</f>
        <v>1</v>
      </c>
      <c r="J43" s="60" t="s">
        <v>226</v>
      </c>
    </row>
    <row r="44" spans="1:10" ht="43.2">
      <c r="A44" s="59" t="s">
        <v>205</v>
      </c>
      <c r="B44" s="33" t="s">
        <v>215</v>
      </c>
      <c r="C44" s="57" t="s">
        <v>3</v>
      </c>
      <c r="D44" s="1" t="s">
        <v>24</v>
      </c>
      <c r="E44" s="1" t="s">
        <v>11</v>
      </c>
      <c r="F44" s="2" t="s">
        <v>5</v>
      </c>
      <c r="G44" s="56"/>
      <c r="H44" s="55">
        <f>[1]Initialization!$B$10</f>
        <v>2</v>
      </c>
      <c r="I44" s="61">
        <f>IF(OR('[2]Model Selection'!$B$10=5,'[2]Model Selection'!$B$10=6),1,0)</f>
        <v>1</v>
      </c>
      <c r="J44" s="60" t="s">
        <v>227</v>
      </c>
    </row>
    <row r="45" spans="1:10" ht="14.4">
      <c r="A45" s="8" t="s">
        <v>88</v>
      </c>
      <c r="B45" s="34"/>
      <c r="C45" s="9"/>
      <c r="D45" s="10"/>
      <c r="E45" s="10"/>
      <c r="F45" s="9"/>
      <c r="G45" s="10">
        <v>1</v>
      </c>
      <c r="H45" s="10">
        <v>1</v>
      </c>
      <c r="I45" s="11">
        <v>0</v>
      </c>
      <c r="J45" s="12" t="s">
        <v>89</v>
      </c>
    </row>
  </sheetData>
  <sheetProtection algorithmName="SHA-512" hashValue="XwM6qE1x+4RWI8wTP4lzNqifqeESEnyo+uCW0iocCzTSnktTyQN1yfV0MoTyekOA9d7a9qKpdgFd1QSACouxfg==" saltValue="zfhd68OewcuEZcoik+6QAw==" spinCount="100000" sheet="1" objects="1" scenarios="1" selectLockedCells="1"/>
  <mergeCells count="2">
    <mergeCell ref="A3:J3"/>
    <mergeCell ref="J4:J8"/>
  </mergeCells>
  <conditionalFormatting sqref="B10:B45">
    <cfRule type="expression" dxfId="71" priority="19">
      <formula>IF(AND($B10&lt;&gt;"",$I10=0),1,0)</formula>
    </cfRule>
    <cfRule type="expression" dxfId="70" priority="20">
      <formula>IF($B10&lt;&gt;"",1,0)</formula>
    </cfRule>
    <cfRule type="expression" dxfId="69" priority="21">
      <formula>$I10=0</formula>
    </cfRule>
  </conditionalFormatting>
  <conditionalFormatting sqref="B13">
    <cfRule type="expression" dxfId="68" priority="10">
      <formula>IF(AND($B13&lt;&gt;"",$I13=0),1,0)</formula>
    </cfRule>
    <cfRule type="expression" dxfId="67" priority="11">
      <formula>IF($B13&lt;&gt;"",1,0)</formula>
    </cfRule>
    <cfRule type="expression" dxfId="66" priority="12">
      <formula>$I13=0</formula>
    </cfRule>
  </conditionalFormatting>
  <conditionalFormatting sqref="B10">
    <cfRule type="expression" dxfId="65" priority="7">
      <formula>IF(AND($B10&lt;&gt;"",$I10=0),1,0)</formula>
    </cfRule>
    <cfRule type="expression" dxfId="64" priority="8">
      <formula>IF($B10&lt;&gt;"",1,0)</formula>
    </cfRule>
    <cfRule type="expression" dxfId="63" priority="9">
      <formula>$I10=0</formula>
    </cfRule>
  </conditionalFormatting>
  <conditionalFormatting sqref="J4">
    <cfRule type="expression" dxfId="62" priority="2064">
      <formula>IF(COUNTA($B$10:$B$45)&lt;&gt;COUNTIF($I$10:$I$45,1),1,0)</formula>
    </cfRule>
    <cfRule type="expression" dxfId="61" priority="2065">
      <formula>IF(COUNTA($B$10:$B$45)=COUNTIF($I$10:$I$45,1),1,0)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E10:E45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F10:F45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D10:D45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IF(COUNTIF(Table19312131415[Test 3],1)=COUNTA(Table19312131415[Value]),"Ready","Not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" t="s">
        <v>84</v>
      </c>
      <c r="B10" s="33">
        <v>10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[1]Initialization!$B$10</f>
        <v>2</v>
      </c>
      <c r="I10" s="6">
        <v>1</v>
      </c>
      <c r="J10" s="5" t="s">
        <v>76</v>
      </c>
    </row>
    <row r="11" spans="1:10" ht="43.2">
      <c r="A11" s="4" t="s">
        <v>85</v>
      </c>
      <c r="B11" s="33">
        <v>10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[1]Initialization!$B$10</f>
        <v>2</v>
      </c>
      <c r="I11" s="6">
        <v>1</v>
      </c>
      <c r="J11" s="5" t="s">
        <v>76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ZBOSZs0k5eROPBR8w6A7K0vD3dSDCBqdTSNeGWj3l9dQQJvO+VBpFVNA6Kj0eC6S4yhyk52aXL1PYtk3OixEAQ==" saltValue="hwo4S/7qBwX8ynzQ6nREJg==" spinCount="100000" sheet="1" objects="1" scenarios="1" selectLockedCells="1"/>
  <mergeCells count="2">
    <mergeCell ref="A3:J3"/>
    <mergeCell ref="J4:J8"/>
  </mergeCells>
  <conditionalFormatting sqref="B12">
    <cfRule type="expression" dxfId="45" priority="10">
      <formula>IF(AND($B12&lt;&gt;"",$I12=0),1,0)</formula>
    </cfRule>
    <cfRule type="expression" dxfId="44" priority="11">
      <formula>IF($B12&lt;&gt;"",1,0)</formula>
    </cfRule>
    <cfRule type="expression" dxfId="43" priority="12">
      <formula>$I12=0</formula>
    </cfRule>
  </conditionalFormatting>
  <conditionalFormatting sqref="B10:B11">
    <cfRule type="expression" dxfId="42" priority="1">
      <formula>IF(AND($B10&lt;&gt;"",$I10=0),1,0)</formula>
    </cfRule>
    <cfRule type="expression" dxfId="41" priority="2">
      <formula>IF($B10&lt;&gt;"",1,0)</formula>
    </cfRule>
    <cfRule type="expression" dxfId="40" priority="3">
      <formula>$I10=0</formula>
    </cfRule>
  </conditionalFormatting>
  <conditionalFormatting sqref="J4">
    <cfRule type="expression" dxfId="39" priority="2052">
      <formula>IF(COUNTA($B$10:$B$12)&lt;&gt;COUNTIF($I$10:$I$12,1),1,0)</formula>
    </cfRule>
    <cfRule type="expression" dxfId="38" priority="205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D10:D12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F10:F12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IF(COUNTIF(Table1931213141516[Test 3],1)=COUNTA(Table1931213141516[Value]),"Ready","Not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6" t="s">
        <v>127</v>
      </c>
      <c r="B10" s="33"/>
      <c r="C10" s="35" t="s">
        <v>131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[2]Initialization!$B$14</f>
        <v>0</v>
      </c>
      <c r="J10" s="5" t="s">
        <v>128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+GxNW1yEw5jwezPSpOpLpUNauJE5awg9e0gvFz9Ai9cEvYCGrBesla9U76Ch08GyFiQrnJ9Wq2eztH2NSLrI+w==" saltValue="cDG082F3MY2wTWZVtPHPWg==" spinCount="100000" sheet="1" objects="1" scenarios="1" selectLockedCells="1"/>
  <mergeCells count="2">
    <mergeCell ref="A3:J3"/>
    <mergeCell ref="J4:J8"/>
  </mergeCells>
  <conditionalFormatting sqref="B11">
    <cfRule type="expression" dxfId="22" priority="7">
      <formula>IF(AND($B11&lt;&gt;"",$I11=0),1,0)</formula>
    </cfRule>
    <cfRule type="expression" dxfId="21" priority="8">
      <formula>IF($B11&lt;&gt;"",1,0)</formula>
    </cfRule>
    <cfRule type="expression" dxfId="20" priority="9">
      <formula>$I11=0</formula>
    </cfRule>
  </conditionalFormatting>
  <conditionalFormatting sqref="B10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054">
      <formula>IF(COUNTA($B$10:$B$11)&lt;&gt;COUNTIF($I$10:$I$11,1),1,0)</formula>
    </cfRule>
    <cfRule type="expression" dxfId="15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defaultColWidth="0" defaultRowHeight="14.55" customHeight="1" zeroHeight="1"/>
  <cols>
    <col min="1" max="2" width="8.77734375" style="48" customWidth="1"/>
    <col min="3" max="3" width="13.109375" style="48" customWidth="1"/>
    <col min="4" max="4" width="13.44140625" style="48" customWidth="1"/>
    <col min="5" max="7" width="8.77734375" style="48" customWidth="1"/>
    <col min="8" max="8" width="14.7773437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77734375" style="48" customWidth="1"/>
    <col min="13" max="18" width="8.77734375" style="48" customWidth="1"/>
    <col min="19" max="48" width="0" style="48" hidden="1" customWidth="1"/>
    <col min="49" max="16384" width="8.77734375" style="48" hidden="1"/>
  </cols>
  <sheetData>
    <row r="1" spans="1:18" ht="14.55" customHeight="1">
      <c r="A1" s="26" t="s">
        <v>155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96</v>
      </c>
    </row>
    <row r="2" spans="1:18" ht="14.4">
      <c r="A2" s="67" t="s">
        <v>103</v>
      </c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</row>
    <row r="3" spans="1:18" ht="14.4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4.4">
      <c r="A4" s="24" t="s">
        <v>107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4.4">
      <c r="A5" s="24"/>
      <c r="B5" s="49" t="s">
        <v>108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4.4">
      <c r="A6" s="24"/>
      <c r="B6" s="49" t="s">
        <v>109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4.4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4.4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4.4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4.4">
      <c r="A10" s="24"/>
      <c r="B10" s="49" t="s">
        <v>118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4.4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4.4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4.4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4.4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4.4">
      <c r="A15" s="24" t="s">
        <v>104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4.4">
      <c r="A16" s="24" t="s">
        <v>105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4.4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4.4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4.4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4.4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4.4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4.4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4.4">
      <c r="A23" s="24" t="s">
        <v>111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4.4">
      <c r="A24" s="24" t="s">
        <v>112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4.4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4.4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4.4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4.4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4.4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4.4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4.4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4.4">
      <c r="A32" s="24" t="s">
        <v>116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4.4">
      <c r="A33" s="24" t="s">
        <v>117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4.4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4.4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4.4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4.4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4.4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4.4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4.4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4.4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4.4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4.4">
      <c r="A43" s="24" t="s">
        <v>110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4.4">
      <c r="A44" s="24" t="s">
        <v>106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4.4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4.4">
      <c r="A46" s="24" t="s">
        <v>153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4.4">
      <c r="A47" s="24" t="s">
        <v>113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4.4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4.4">
      <c r="A49" s="24" t="s">
        <v>115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4.4">
      <c r="A50" s="24" t="s">
        <v>114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4.4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4.4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4.4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4.4">
      <c r="A54" s="24"/>
      <c r="B54" s="49" t="s">
        <v>119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4.4">
      <c r="A55" s="24"/>
      <c r="B55" s="49"/>
      <c r="C55" s="49" t="s">
        <v>123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4.4">
      <c r="A56" s="24"/>
      <c r="B56" s="49"/>
      <c r="C56" s="49"/>
      <c r="D56" s="49" t="s">
        <v>124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4.4">
      <c r="A57" s="24"/>
      <c r="B57" s="49"/>
      <c r="C57" s="49"/>
      <c r="D57" s="49" t="s">
        <v>125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4.4">
      <c r="A58" s="24"/>
      <c r="B58" s="49"/>
      <c r="C58" s="49" t="s">
        <v>126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4.4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99</v>
      </c>
    </row>
    <row r="2" spans="1:1">
      <c r="A2" t="s">
        <v>97</v>
      </c>
    </row>
    <row r="3" spans="1:1">
      <c r="A3" t="s">
        <v>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AX2"/>
  <sheetViews>
    <sheetView workbookViewId="0"/>
  </sheetViews>
  <sheetFormatPr defaultColWidth="8.77734375" defaultRowHeight="14.4"/>
  <sheetData>
    <row r="1" spans="1:50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194</v>
      </c>
      <c r="AH1" t="s">
        <v>195</v>
      </c>
      <c r="AI1" t="s">
        <v>196</v>
      </c>
      <c r="AJ1" t="s">
        <v>197</v>
      </c>
      <c r="AK1" t="s">
        <v>198</v>
      </c>
      <c r="AL1" t="s">
        <v>199</v>
      </c>
      <c r="AM1" t="s">
        <v>200</v>
      </c>
      <c r="AN1" t="s">
        <v>201</v>
      </c>
      <c r="AO1" t="s">
        <v>202</v>
      </c>
      <c r="AP1" t="s">
        <v>203</v>
      </c>
      <c r="AQ1" t="s">
        <v>204</v>
      </c>
      <c r="AR1" t="s">
        <v>205</v>
      </c>
      <c r="AS1" t="s">
        <v>88</v>
      </c>
      <c r="AT1" t="s">
        <v>84</v>
      </c>
      <c r="AU1" t="s">
        <v>85</v>
      </c>
      <c r="AV1" t="s">
        <v>88</v>
      </c>
      <c r="AW1" t="s">
        <v>127</v>
      </c>
      <c r="AX1" t="s">
        <v>88</v>
      </c>
    </row>
    <row r="2" spans="1:50">
      <c r="A2">
        <v>0.04</v>
      </c>
      <c r="C2">
        <v>1</v>
      </c>
      <c r="G2">
        <v>1.552E-3</v>
      </c>
      <c r="H2">
        <v>8.0999999999999996E-4</v>
      </c>
      <c r="J2">
        <v>298.14999999999998</v>
      </c>
      <c r="AG2" t="s">
        <v>193</v>
      </c>
      <c r="AH2" t="s">
        <v>192</v>
      </c>
      <c r="AI2" t="s">
        <v>206</v>
      </c>
      <c r="AJ2" t="s">
        <v>207</v>
      </c>
      <c r="AK2" t="s">
        <v>208</v>
      </c>
      <c r="AL2" t="s">
        <v>210</v>
      </c>
      <c r="AM2" t="s">
        <v>209</v>
      </c>
      <c r="AN2" t="s">
        <v>211</v>
      </c>
      <c r="AO2" t="s">
        <v>212</v>
      </c>
      <c r="AP2" t="s">
        <v>214</v>
      </c>
      <c r="AQ2" t="s">
        <v>213</v>
      </c>
      <c r="AR2" t="s">
        <v>215</v>
      </c>
      <c r="AT2">
        <v>10</v>
      </c>
      <c r="AU2">
        <v>10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AX2"/>
  <sheetViews>
    <sheetView topLeftCell="CC1" workbookViewId="0">
      <selection activeCell="CR2" sqref="CR2"/>
    </sheetView>
  </sheetViews>
  <sheetFormatPr defaultColWidth="8.77734375" defaultRowHeight="14.4"/>
  <sheetData>
    <row r="1" spans="1:50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194</v>
      </c>
      <c r="AH1" t="s">
        <v>195</v>
      </c>
      <c r="AI1" t="s">
        <v>196</v>
      </c>
      <c r="AJ1" t="s">
        <v>197</v>
      </c>
      <c r="AK1" t="s">
        <v>198</v>
      </c>
      <c r="AL1" t="s">
        <v>199</v>
      </c>
      <c r="AM1" t="s">
        <v>200</v>
      </c>
      <c r="AN1" t="s">
        <v>201</v>
      </c>
      <c r="AO1" t="s">
        <v>202</v>
      </c>
      <c r="AP1" t="s">
        <v>203</v>
      </c>
      <c r="AQ1" t="s">
        <v>204</v>
      </c>
      <c r="AR1" t="s">
        <v>205</v>
      </c>
      <c r="AS1" t="s">
        <v>88</v>
      </c>
      <c r="AT1" t="s">
        <v>84</v>
      </c>
      <c r="AU1" t="s">
        <v>85</v>
      </c>
      <c r="AV1" t="s">
        <v>88</v>
      </c>
      <c r="AW1" t="s">
        <v>127</v>
      </c>
      <c r="AX1" t="s">
        <v>88</v>
      </c>
    </row>
    <row r="2" spans="1:50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1</v>
      </c>
      <c r="AH2">
        <v>1</v>
      </c>
      <c r="AI2">
        <v>1</v>
      </c>
      <c r="AJ2">
        <v>1</v>
      </c>
      <c r="AK2">
        <v>1</v>
      </c>
      <c r="AL2">
        <v>1</v>
      </c>
      <c r="AM2">
        <v>1</v>
      </c>
      <c r="AN2">
        <v>1</v>
      </c>
      <c r="AO2">
        <v>1</v>
      </c>
      <c r="AP2">
        <v>1</v>
      </c>
      <c r="AQ2">
        <v>1</v>
      </c>
      <c r="AR2">
        <v>1</v>
      </c>
      <c r="AS2">
        <v>0</v>
      </c>
      <c r="AT2">
        <v>1</v>
      </c>
      <c r="AU2">
        <v>1</v>
      </c>
      <c r="AV2">
        <v>0</v>
      </c>
      <c r="AW2">
        <v>0</v>
      </c>
      <c r="AX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2023-04-10T01:55:00Z</dcterms:modified>
</cp:coreProperties>
</file>