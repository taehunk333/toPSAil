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1842D6BE-A37E-024C-876A-D8570C1421E6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<sst xmlns="http://schemas.openxmlformats.org/spreadsheetml/2006/main" count="343" uniqueCount="155">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</sst>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8D7A63-387D-D041-BA45-ED68AFD64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Reference"/>
      <sheetName val="PFD"/>
      <sheetName val="Cv"/>
      <sheetName val="Help"/>
      <sheetName val="maintenance check list"/>
      <sheetName val="Data(Transposed)"/>
      <sheetName val="Data(Test)"/>
      <sheetName val="Cycle Organizer Save"/>
      <sheetName val="Cycle Organizer Test"/>
      <sheetName val="Cycle Organizer Kayser"/>
      <sheetName val="Cv Estimator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9" dataDxfId="97" headerRowBorderDxfId="98" tableBorderDxfId="96" totalsRowBorderDxfId="95">
  <autoFilter ref="A8:J11" xr:uid="{B089C5C3-2CCE-4800-96CA-2131BB6E3E4F}"/>
  <tableColumns count="10">
    <tableColumn id="1" xr3:uid="{01DA0223-22CE-CB4E-9C47-1047FC8A078F}" name="Variable" dataDxfId="94"/>
    <tableColumn id="4" xr3:uid="{110051F6-3772-A341-9694-7D507809966D}" name="Value" dataDxfId="93"/>
    <tableColumn id="5" xr3:uid="{28A9A765-BB6C-1F4D-B83A-3F0DF09B60A5}" name="Unit" dataDxfId="92"/>
    <tableColumn id="6" xr3:uid="{D749D5D3-E113-0E44-ADF2-A62ECDA49D26}" name="Comparisons" dataDxfId="91"/>
    <tableColumn id="7" xr3:uid="{5E3ABE4C-42C0-D042-94C1-90F16FB3EE78}" name="Variable Type" dataDxfId="90"/>
    <tableColumn id="8" xr3:uid="{7A3DFEE5-7571-1D4F-82D9-2EA2D749032E}" name="Dependency" dataDxfId="89"/>
    <tableColumn id="12" xr3:uid="{2812E4DB-5B84-3049-9318-1F1305A00F4E}" name="Test 1" dataDxfId="88"/>
    <tableColumn id="10" xr3:uid="{76346A87-EAD5-A449-81A6-627159FF804B}" name="Test 2" dataDxfId="87"/>
    <tableColumn id="2" xr3:uid="{FCB7C8A7-1F69-8D4F-9A22-DEFF7CE28A77}" name="Test 3" dataDxfId="86"/>
    <tableColumn id="9" xr3:uid="{5FBD1044-5112-184F-873E-D3AF026E12E8}" name="Description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4" dataDxfId="82" headerRowBorderDxfId="83" tableBorderDxfId="81" totalsRowBorderDxfId="80">
  <autoFilter ref="A8:J12" xr:uid="{B089C5C3-2CCE-4800-96CA-2131BB6E3E4F}"/>
  <tableColumns count="10">
    <tableColumn id="1" xr3:uid="{EB070D1A-267D-FC4E-86FA-AB6400FB112F}" name="Variable" dataDxfId="79"/>
    <tableColumn id="4" xr3:uid="{6BA1C583-FB05-7A40-9383-4EE3D7EBB5A6}" name="Value" dataDxfId="78"/>
    <tableColumn id="5" xr3:uid="{8E37F76F-9A12-F34E-9CC2-95A754375792}" name="Unit" dataDxfId="77"/>
    <tableColumn id="6" xr3:uid="{7D44E20B-F716-7A42-A266-3EC48E78C0BB}" name="Comparisons" dataDxfId="76"/>
    <tableColumn id="7" xr3:uid="{ED87C482-6AF6-F24B-ADC4-B7D1E2FA62B5}" name="Variable Type" dataDxfId="75"/>
    <tableColumn id="8" xr3:uid="{AF4C12D0-D409-4C40-A0CB-670FFF5D7D14}" name="Dependency" dataDxfId="74"/>
    <tableColumn id="12" xr3:uid="{E4463107-7A12-8843-AA11-7F3315B04820}" name="Test 1" dataDxfId="73"/>
    <tableColumn id="10" xr3:uid="{952C86A5-160A-6B44-92F4-DA9050108B20}" name="Test 2" dataDxfId="72"/>
    <tableColumn id="2" xr3:uid="{94373CB7-B657-BC41-A812-5EE2BC744030}" name="Test 3" dataDxfId="71"/>
    <tableColumn id="9" xr3:uid="{CCDF193B-8D61-CC44-8377-03024848C399}" name="Description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69" dataDxfId="67" headerRowBorderDxfId="68" tableBorderDxfId="66" totalsRowBorderDxfId="65">
  <autoFilter ref="A8:J11" xr:uid="{B089C5C3-2CCE-4800-96CA-2131BB6E3E4F}"/>
  <tableColumns count="10">
    <tableColumn id="1" xr3:uid="{732501C0-E026-284D-B155-9A33B2B17600}" name="Variable" dataDxfId="64"/>
    <tableColumn id="4" xr3:uid="{CB111A13-20F0-9247-A014-A93122AA9E1C}" name="Value" dataDxfId="63"/>
    <tableColumn id="5" xr3:uid="{ED2D8929-C2F5-374F-B8C9-4B3472CD90F4}" name="Unit" dataDxfId="62"/>
    <tableColumn id="6" xr3:uid="{198489CA-F45F-7646-81E3-E760607C7908}" name="Comparisons" dataDxfId="61"/>
    <tableColumn id="7" xr3:uid="{DD70562F-3B71-254A-8B18-3EE4CB0322EF}" name="Variable Type" dataDxfId="60"/>
    <tableColumn id="8" xr3:uid="{E9A76945-4B8A-2D47-866C-77B1639DE62B}" name="Dependency" dataDxfId="59"/>
    <tableColumn id="12" xr3:uid="{F70FC7F1-1958-E74C-846F-D01FE0A82638}" name="Test 1" dataDxfId="58"/>
    <tableColumn id="10" xr3:uid="{62D2D5D5-C9D1-BE42-8772-B460D2095377}" name="Test 2" dataDxfId="57"/>
    <tableColumn id="2" xr3:uid="{B86B77BE-9293-DC45-96B3-E49A6C6240F0}" name="Test 3" dataDxfId="56"/>
    <tableColumn id="9" xr3:uid="{1526814F-49FB-AA4E-B917-7CCB80188409}" name="Description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4" dataDxfId="52" headerRowBorderDxfId="53" tableBorderDxfId="51" totalsRowBorderDxfId="50">
  <autoFilter ref="A8:J16" xr:uid="{B089C5C3-2CCE-4800-96CA-2131BB6E3E4F}"/>
  <tableColumns count="10">
    <tableColumn id="1" xr3:uid="{649A7866-80DF-41E6-B30C-D79515D3A794}" name="Variable" dataDxfId="49"/>
    <tableColumn id="4" xr3:uid="{1B7C9099-8547-4DD7-A9E2-B725774B3278}" name="Value" dataDxfId="48"/>
    <tableColumn id="5" xr3:uid="{DE8E51CF-F39A-49BE-8ADB-006A27BF49D1}" name="Unit" dataDxfId="47"/>
    <tableColumn id="6" xr3:uid="{1E18E5A8-84AE-4BCE-A03C-6EB014B6C0A8}" name="Comparisons" dataDxfId="46"/>
    <tableColumn id="7" xr3:uid="{27BDE7AA-390E-4E0E-B228-55927BB9787E}" name="Variable Type" dataDxfId="45"/>
    <tableColumn id="8" xr3:uid="{01F08440-7AF0-4C09-89BF-A8CA2A509379}" name="Dependency" dataDxfId="44"/>
    <tableColumn id="12" xr3:uid="{A8F75C8D-4415-418C-8B4C-053532C2C537}" name="Test 1" dataDxfId="43"/>
    <tableColumn id="10" xr3:uid="{C8785F39-41F6-4DF0-A4EE-89820B845800}" name="Test 2" dataDxfId="42"/>
    <tableColumn id="2" xr3:uid="{FEF9A6BC-BB9A-4929-BA3A-474EB9BB7CF1}" name="Test 3" dataDxfId="41"/>
    <tableColumn id="9" xr3:uid="{99B9FDBF-9DA8-4356-865C-410432D0F6B7}" name="Descript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39" dataDxfId="37" headerRowBorderDxfId="38" tableBorderDxfId="36" totalsRowBorderDxfId="35">
  <autoFilter ref="A8:J13" xr:uid="{B089C5C3-2CCE-4800-96CA-2131BB6E3E4F}"/>
  <tableColumns count="10">
    <tableColumn id="1" xr3:uid="{3E862B60-96F3-4457-8596-3DCA37BD39D6}" name="Variable" dataDxfId="34"/>
    <tableColumn id="4" xr3:uid="{664B7B39-0A9C-4666-8675-DB2C0B5C05DC}" name="Value" dataDxfId="33"/>
    <tableColumn id="5" xr3:uid="{0D5B0BC8-30B6-4778-A5F9-DAE48CF1B50B}" name="Unit" dataDxfId="32"/>
    <tableColumn id="6" xr3:uid="{EB5AFC2B-0570-478F-900A-245CE1E2ACC4}" name="Comparisons" dataDxfId="31"/>
    <tableColumn id="7" xr3:uid="{DD0B2A4A-5D8A-4AC0-8DD1-DDC1EE553BCC}" name="Variable Type" dataDxfId="30"/>
    <tableColumn id="8" xr3:uid="{4715F5BD-270D-4CA4-A95C-8CF1A5273635}" name="Dependency" dataDxfId="29"/>
    <tableColumn id="12" xr3:uid="{5B091011-3849-4251-9869-40293301771A}" name="Test 1" dataDxfId="28"/>
    <tableColumn id="10" xr3:uid="{794FDB6F-AB9D-42B3-A19B-E1E54E1B62D6}" name="Test 2" dataDxfId="27"/>
    <tableColumn id="2" xr3:uid="{1750D95A-F5C8-483F-95EC-EDCC8913D886}" name="Test 3" dataDxfId="26"/>
    <tableColumn id="9" xr3:uid="{443478B3-66F2-447E-9CA5-5D827478F1B2}" name="Description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80" x14ac:dyDescent="0.2">
      <c r="D9" s="42">
        <v>3</v>
      </c>
      <c r="E9" s="43" t="s">
        <v>153</v>
      </c>
      <c r="F9" s="44">
        <v>45649</v>
      </c>
      <c r="G9" s="42" t="s">
        <v>42</v>
      </c>
      <c r="H9" s="42"/>
      <c r="I9" s="42"/>
      <c r="J9" s="43" t="s">
        <v>154</v>
      </c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88" x14ac:dyDescent="0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2pqCVP6fwxSjdGWFzGEZziGLoRI1Lpiv1baVR2VYn7ro/U0f4lha84GOhVMnq/PFAw2IUdg8mk8Ny48JFI+Jfg==" saltValue="CiEro4130tj9Ub8UvrD26A==" spinCount="100000" sheet="1" objects="1" scenarios="1" selectLockedCells="1"/>
  <mergeCells count="2">
    <mergeCell ref="A2:J2"/>
    <mergeCell ref="J3:J7"/>
  </mergeCells>
  <conditionalFormatting sqref="B9:B11">
    <cfRule type="expression" dxfId="24" priority="1">
      <formula>IF(AND($B9&lt;&gt;"",$I9=0),1,0)</formula>
    </cfRule>
    <cfRule type="expression" dxfId="23" priority="2">
      <formula>IF($B9&lt;&gt;"",1,0)</formula>
    </cfRule>
    <cfRule type="expression" dxfId="22" priority="3">
      <formula>$I9=0</formula>
    </cfRule>
  </conditionalFormatting>
  <conditionalFormatting sqref="J3">
    <cfRule type="expression" dxfId="21" priority="2451">
      <formula>IF(COUNTA($B$9:$B$11)&lt;&gt;COUNTIF($I$9:$I$11,1),1,0)</formula>
    </cfRule>
    <cfRule type="expression" dxfId="20" priority="2452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PYDlqTYmIcg5yDLfON8Ug7q0XmsZH7CiqlqBUMSmyw1DsbLzWenMloJ3IcLcGrbIALhut2hE76fQb6b+Qc0Bnw==" saltValue="uLlbQaW2P/d+QgM9MNTp1w==" spinCount="100000" sheet="1" objects="1" scenarios="1" selectLockedCells="1"/>
  <mergeCells count="2">
    <mergeCell ref="A2:J2"/>
    <mergeCell ref="J3:J7"/>
  </mergeCells>
  <conditionalFormatting sqref="B9:B12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440">
      <formula>IF(COUNTA($B$9:$B$12)&lt;&gt;COUNTIF($I$9:$I$12,1),1,0)</formula>
    </cfRule>
    <cfRule type="expression" dxfId="15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bL5K3JMPGXzlZOziyQQMaBwHw3Cbn1ycq+zfLPaM/PjIFSBReIGP8ZcWZTH5hYnpxrcPK+w/DImlGPHf/c1F/g==" saltValue="xlA/kPb+4Wff3Kc1CSOMgw==" spinCount="100000" sheet="1" objects="1" scenarios="1" selectLockedCells="1"/>
  <mergeCells count="2">
    <mergeCell ref="A2:J2"/>
    <mergeCell ref="J3:J7"/>
  </mergeCells>
  <conditionalFormatting sqref="B9:B11">
    <cfRule type="expression" dxfId="14" priority="1">
      <formula>IF(AND($B9&lt;&gt;"",$I9=0),1,0)</formula>
    </cfRule>
    <cfRule type="expression" dxfId="13" priority="2">
      <formula>IF($B9&lt;&gt;"",1,0)</formula>
    </cfRule>
    <cfRule type="expression" dxfId="12" priority="3">
      <formula>$I9=0</formula>
    </cfRule>
  </conditionalFormatting>
  <conditionalFormatting sqref="J3">
    <cfRule type="expression" dxfId="11" priority="2432">
      <formula>IF(COUNTA($B$9:$B$11)&lt;&gt;COUNTIF($I$9:$I$11,1),1,0)</formula>
    </cfRule>
    <cfRule type="expression" dxfId="10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8" x14ac:dyDescent="0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IF([3]Initialization!$B$12=0,0,IF([3]Initialization!$B$12=1,1,Table1102367[]))</f>
        <v>0</v>
      </c>
      <c r="J10" s="5" t="s">
        <v>141</v>
      </c>
    </row>
    <row r="11" spans="1:10" ht="48" x14ac:dyDescent="0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IF([3]Initialization!$B$12=0,0,IF([3]Initialization!$B$12=1,1,Table1102367[]))</f>
        <v>0</v>
      </c>
      <c r="J11" s="5" t="s">
        <v>138</v>
      </c>
    </row>
    <row r="12" spans="1:10" ht="64" x14ac:dyDescent="0.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8" x14ac:dyDescent="0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IF([3]Initialization!$B$12=0,0,IF([3]Initialization!$B$12=1,1,Table1102367[]))</f>
        <v>0</v>
      </c>
      <c r="J13" s="5" t="s">
        <v>140</v>
      </c>
    </row>
    <row r="14" spans="1:10" ht="48" x14ac:dyDescent="0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IF([3]Initialization!$B$12=0,0,IF([3]Initialization!$B$12=1,1,Table1102367[]))</f>
        <v>0</v>
      </c>
      <c r="J14" s="5" t="s">
        <v>139</v>
      </c>
    </row>
    <row r="15" spans="1:10" ht="48" x14ac:dyDescent="0.2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38dcyxgTOH/RDeJ9Q9hSTiDZpIcPvZcMsS6cCSeJOTqNEV35PLY2cJ0WLUy0jhrTmC/bIdkakEz2Zjn6+nssbQ==" saltValue="hKwdq6O1Q0tu4OzoueDhtA==" spinCount="100000" sheet="1" objects="1" scenarios="1" selectLockedCells="1"/>
  <mergeCells count="2">
    <mergeCell ref="A2:J2"/>
    <mergeCell ref="J3:J7"/>
  </mergeCells>
  <conditionalFormatting sqref="B9:B16">
    <cfRule type="expression" dxfId="9" priority="7">
      <formula>IF(AND($B9&lt;&gt;"",$I9=0),1,0)</formula>
    </cfRule>
    <cfRule type="expression" dxfId="8" priority="8">
      <formula>IF($B9&lt;&gt;"",1,0)</formula>
    </cfRule>
    <cfRule type="expression" dxfId="7" priority="9">
      <formula>$I9=0</formula>
    </cfRule>
  </conditionalFormatting>
  <conditionalFormatting sqref="J3">
    <cfRule type="expression" dxfId="6" priority="2411">
      <formula>IF(COUNTA($B$9:$B$16)&lt;&gt;COUNTIF($I$9:$I$16,1),1,0)</formula>
    </cfRule>
    <cfRule type="expression" dxfId="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[3]Initialization!$B$14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[3]Initialization!$B$14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[3]Initialization!$B$14</f>
        <v>0</v>
      </c>
      <c r="J12" s="5" t="s">
        <v>152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l1Qw2P7ajDBu1VZ/iBMpK/Yo/RwA3hF3ol1bWp5PsqnSFZJK0eVk8CqH8p7ZlRmg728gwcpq7YOFZZqkrnTc4g==" saltValue="q17XdEGeeZnKH4+mChj8LQ==" spinCount="100000" sheet="1" objects="1" scenarios="1" selectLockedCells="1"/>
  <mergeCells count="2">
    <mergeCell ref="A2:J2"/>
    <mergeCell ref="J3:J7"/>
  </mergeCells>
  <conditionalFormatting sqref="B9:B13">
    <cfRule type="expression" dxfId="4" priority="1">
      <formula>IF(AND($B9&lt;&gt;"",$I9=0),1,0)</formula>
    </cfRule>
    <cfRule type="expression" dxfId="3" priority="2">
      <formula>IF($B9&lt;&gt;"",1,0)</formula>
    </cfRule>
    <cfRule type="expression" dxfId="2" priority="3">
      <formula>$I9=0</formula>
    </cfRule>
  </conditionalFormatting>
  <conditionalFormatting sqref="J3">
    <cfRule type="expression" dxfId="1" priority="2291">
      <formula>IF(COUNTA($B$9:$B$13)&lt;&gt;COUNTIF($I$9:$I$13,1),1,0)</formula>
    </cfRule>
    <cfRule type="expression" dxfId="0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2024-12-24T01:43:41Z</dcterms:modified>
</cp:coreProperties>
</file>