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C11F4F97-D056-2542-A05A-AFFAA3E2CF1F}" xr6:coauthVersionLast="47" xr6:coauthVersionMax="47" xr10:uidLastSave="{00000000-0000-0000-0000-000000000000}"/>
  <bookViews>
    <workbookView xWindow="4920" yWindow="3960" windowWidth="23260" windowHeight="13180" tabRatio="818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externalReferences>
    <externalReference r:id="rId10"/>
    <externalReference r:id="rId11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2" i="44" l="1"/>
  <c r="I11" i="44"/>
  <c r="I10" i="44"/>
  <c r="I13" i="31"/>
  <c r="I11" i="31"/>
  <c r="I10" i="31"/>
  <c r="J4" i="44" l="1"/>
  <c r="J2" i="44"/>
  <c r="A2" i="44"/>
  <c r="J2" i="3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<sst xmlns="http://schemas.openxmlformats.org/spreadsheetml/2006/main" count="284" uniqueCount="142">
  <si>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</si>
  <si>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</si>
  <si>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</si>
  <si>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</si>
  <si>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</si>
  <si>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</si>
  <si>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</si>
  <si>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</si>
  <si>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</si>
  <si>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</si>
  <si>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</si>
  <si>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</si>
  <si>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</si>
  <si>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</si>
  <si>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</si>
  <si>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</si>
  <si>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</si>
  <si>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</si>
  <si>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</si>
  <si>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</si>
  <si>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</si>
  <si>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</si>
  <si>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</si>
  <si>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</si>
  <si>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</si>
  <si>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</si>
  <si>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</si>
  <si>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</si>
  <si>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</si>
  <si>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</si>
  <si>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</si>
  <si>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</si>
  <si>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</si>
  <si>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</si>
  <si>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</si>
  <si>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</si>
  <si>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</si>
  <si>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</si>
  <si>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</si>
  <si>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</si>
  <si>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</si>
  <si>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</si>
  <si>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</si>
  <si>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</si>
  <si>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</si>
  <si>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</si>
  <si>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</si>
  <si>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</si>
  <si>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</si>
  <si>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</si>
  <si>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</si>
  <si>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</si>
  <si>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</si>
  <si>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</si>
  <si>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</si>
  <si>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</si>
  <si>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</si>
  <si>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</si>
  <si>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</si>
  <si>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</si>
  <si>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</si>
  <si>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</si>
  <si>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</si>
  <si>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</si>
  <si>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</si>
  <si>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</si>
  <si>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</si>
  <si>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</si>
  <si>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</si>
  <si>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</si>
  <si>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</si>
  <si>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</si>
  <si>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</si>
  <si>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</si>
  <si>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</si>
  <si>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</si>
  <si>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</si>
  <si>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</si>
  <si>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</si>
  <si>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</si>
  <si>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</si>
  <si>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</si>
  <si>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</si>
  <si>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</si>
  <si>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</si>
  <si>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</si>
  <si>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</si>
  <si>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</si>
  <si>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</si>
  <si>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</si>
  <si>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</si>
  <si>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</si>
  <si>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</si>
  <si>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</si>
  <si>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</si>
  <si>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</si>
  <si>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</si>
  <si>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</si>
  <si>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</si>
  <si>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</si>
  <si>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</si>
  <si>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</si>
  <si>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</si>
  <si>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</si>
  <si>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</si>
  <si>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</si>
  <si>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</si>
  <si>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</si>
  <si>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</si>
  <si>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</si>
  <si>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</si>
  <si>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</si>
  <si>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</si>
  <si>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</si>
  <si>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</si>
  <si>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</si>
  <si>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</si>
  <si>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</si>
  <si>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</si>
  <si>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</si>
  <si>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</si>
  <si>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</si>
  <si>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</si>
  <si>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</si>
  <si>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</si>
  <si>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</si>
  <si>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</si>
  <si>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</si>
  <si>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</si>
  <si>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</si>
  <si>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</si>
  <si>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</si>
  <si>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</si>
  <si>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</si>
  <si>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</si>
  <si>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</si>
  <si>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</si>
  <si>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</si>
  <si>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</si>
  <si>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</si>
  <si>
    <t>Major updates on the macros.</t>
  </si>
  <si>
    <t>Macros were moved to a centeralized location: ./toPSAil/3_resources/10_macros/InputParsingMacros.xlam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</si>
</sst>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0" fontId="4" fillId="6" borderId="1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8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/>
        <i/>
        <strike val="0"/>
        <color rgb="FFFFFF00"/>
      </font>
      <fill>
        <patternFill>
          <bgColor rgb="FF00B05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0</xdr:rowOff>
    </xdr:from>
    <xdr:to>
      <xdr:col>7</xdr:col>
      <xdr:colOff>216904</xdr:colOff>
      <xdr:row>1048576</xdr:row>
      <xdr:rowOff>139700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2D9EE8D-A4AE-3D4E-8D0C-E0A58F652E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5156200" y="5359400"/>
          <a:ext cx="2439404" cy="2425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4_example/case_study_1.0/1_simulation_inputs/0.1_simulation_configurations.xlsm" TargetMode="External"/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Coms"/>
      <definedName name="Macros.pushData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1">
          <cell r="B11">
            <v>0</v>
          </cell>
        </row>
        <row r="13">
          <cell r="B13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74" dataDxfId="72" headerRowBorderDxfId="73" tableBorderDxfId="71" totalsRowBorderDxfId="70">
  <autoFilter ref="A9:J13" xr:uid="{B089C5C3-2CCE-4800-96CA-2131BB6E3E4F}"/>
  <tableColumns count="10">
    <tableColumn id="1" xr3:uid="{3E4F27FA-9CCD-488C-9FFE-8189DF89B2B5}" name="Variable" dataDxfId="69"/>
    <tableColumn id="4" xr3:uid="{4D38B92D-B1E9-4DDE-B914-6A4E9DB63C9E}" name="Value" dataDxfId="68"/>
    <tableColumn id="5" xr3:uid="{DE2ACEA5-F459-4C5B-ADEC-6214F75935FA}" name="Unit" dataDxfId="67"/>
    <tableColumn id="6" xr3:uid="{BBE9846A-4956-4FAF-848B-0B1F56311296}" name="Comparisons" dataDxfId="66"/>
    <tableColumn id="7" xr3:uid="{7604F104-935C-4D6C-98BF-97589769DD42}" name="Variable Type" dataDxfId="65"/>
    <tableColumn id="8" xr3:uid="{7D3892CD-8765-4699-977F-B3AA8A9AB120}" name="Dependency" dataDxfId="64"/>
    <tableColumn id="12" xr3:uid="{161D2FD1-7A78-4D8E-8024-885B20FF313F}" name="Test 1" dataDxfId="63"/>
    <tableColumn id="10" xr3:uid="{1AA44E52-6629-487F-B43F-5CEC7D36BB2A}" name="Test 2" dataDxfId="62"/>
    <tableColumn id="2" xr3:uid="{6AF5B301-E925-40CD-B0FD-ED73E5B71C10}" name="Test 3" dataDxfId="61"/>
    <tableColumn id="9" xr3:uid="{29E572B6-C772-4761-B1A5-7C1BBC5A9A8E}" name="Description" dataDxfId="6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54" dataDxfId="52" headerRowBorderDxfId="53" tableBorderDxfId="51" totalsRowBorderDxfId="50">
  <autoFilter ref="A9:J13" xr:uid="{B089C5C3-2CCE-4800-96CA-2131BB6E3E4F}"/>
  <tableColumns count="10">
    <tableColumn id="1" xr3:uid="{33A6A58D-364D-4A35-922C-DE212771E5A3}" name="Variable" dataDxfId="49"/>
    <tableColumn id="4" xr3:uid="{941C2A7D-BF3F-418E-B42D-DD80A4DE2A81}" name="Value" dataDxfId="48"/>
    <tableColumn id="5" xr3:uid="{C4E86D48-03E8-46FA-B8CA-6F5D6C6A2D12}" name="Unit" dataDxfId="47"/>
    <tableColumn id="6" xr3:uid="{665361F6-20BF-415D-BBF1-F45B832A29DE}" name="Comparisons" dataDxfId="46"/>
    <tableColumn id="7" xr3:uid="{F7A189BB-30E4-471C-9393-FF44966433C9}" name="Variable Type" dataDxfId="45"/>
    <tableColumn id="8" xr3:uid="{536CEEB4-5D6D-4FC9-B347-8D4F6CE10C67}" name="Dependency" dataDxfId="44"/>
    <tableColumn id="12" xr3:uid="{41F5DBE5-C5A3-4D63-A4BF-9774F11F14D3}" name="Test 1" dataDxfId="43"/>
    <tableColumn id="10" xr3:uid="{75ACAF5C-BDFE-45DE-AD7B-8EA0171A905D}" name="Test 2" dataDxfId="42"/>
    <tableColumn id="2" xr3:uid="{E0C16DCE-CCB9-4239-B5AF-7F90FE1422EF}" name="Test 3" dataDxfId="41"/>
    <tableColumn id="9" xr3:uid="{11A90378-9784-4E77-9A9A-BDE1BD80CAC4}" name="Description" dataDxfId="4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4" dataDxfId="32" headerRowBorderDxfId="33" tableBorderDxfId="31" totalsRowBorderDxfId="30">
  <autoFilter ref="A9:J14" xr:uid="{B089C5C3-2CCE-4800-96CA-2131BB6E3E4F}"/>
  <tableColumns count="10">
    <tableColumn id="1" xr3:uid="{897C7A45-3F96-4FAD-9D88-64BEDA59EE04}" name="Variable" dataDxfId="29"/>
    <tableColumn id="4" xr3:uid="{AC44F3C7-74B4-4404-BA30-07059568F4CD}" name="Value" dataDxfId="28"/>
    <tableColumn id="5" xr3:uid="{6083DF57-24E4-4D4A-B84A-AB4CE9566C0A}" name="Unit" dataDxfId="27"/>
    <tableColumn id="6" xr3:uid="{7B5B4F38-11BC-48C2-B29A-22FAFA39A76A}" name="Comparisons" dataDxfId="26"/>
    <tableColumn id="7" xr3:uid="{687831A6-7122-45C8-9279-6A017FA30571}" name="Variable Type" dataDxfId="25"/>
    <tableColumn id="8" xr3:uid="{F0D98687-63CA-49F2-A0F5-F43443FEED82}" name="Dependency" dataDxfId="24"/>
    <tableColumn id="12" xr3:uid="{57EFF7D5-281B-4073-9550-73D369BA3603}" name="Test 1" dataDxfId="23"/>
    <tableColumn id="10" xr3:uid="{886EC4A5-54AE-4612-B5FF-8B6E7B32A853}" name="Test 2" dataDxfId="22"/>
    <tableColumn id="2" xr3:uid="{C5B5DD0C-C82D-4FD9-A165-974B4B54478C}" name="Test 3" dataDxfId="21"/>
    <tableColumn id="9" xr3:uid="{E8B12666-0292-4BAB-9166-E185CB24DBFE}" name="Description" dataDxfId="2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/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 x14ac:dyDescent="0.2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 x14ac:dyDescent="0.2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 x14ac:dyDescent="0.2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 x14ac:dyDescent="0.2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 x14ac:dyDescent="0.2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 x14ac:dyDescent="0.2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 x14ac:dyDescent="0.2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 x14ac:dyDescent="0.2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54</v>
      </c>
      <c r="J13">
        <v>1</v>
      </c>
    </row>
    <row r="14" spans="1:21" x14ac:dyDescent="0.2">
      <c r="B14" t="s">
        <v>23</v>
      </c>
      <c r="C14" t="s">
        <v>55</v>
      </c>
      <c r="J14">
        <v>2</v>
      </c>
    </row>
    <row r="15" spans="1:21" x14ac:dyDescent="0.2">
      <c r="B15" t="s">
        <v>15</v>
      </c>
      <c r="C15" t="s">
        <v>56</v>
      </c>
    </row>
    <row r="16" spans="1:21" x14ac:dyDescent="0.2">
      <c r="B16" t="s">
        <v>60</v>
      </c>
      <c r="C16" t="s">
        <v>57</v>
      </c>
      <c r="J16" t="s">
        <v>103</v>
      </c>
    </row>
    <row r="17" spans="2:10" x14ac:dyDescent="0.2">
      <c r="B17" t="s">
        <v>18</v>
      </c>
      <c r="C17" t="s">
        <v>58</v>
      </c>
      <c r="J17" t="s">
        <v>8</v>
      </c>
    </row>
    <row r="18" spans="2:10" x14ac:dyDescent="0.2">
      <c r="B18" t="s">
        <v>19</v>
      </c>
      <c r="C18" t="s">
        <v>59</v>
      </c>
      <c r="J18">
        <v>1</v>
      </c>
    </row>
    <row r="19" spans="2:10" x14ac:dyDescent="0.2">
      <c r="C19" t="s">
        <v>31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44</v>
      </c>
      <c r="J21">
        <v>4</v>
      </c>
    </row>
    <row r="22" spans="2:10" x14ac:dyDescent="0.2">
      <c r="C22" t="s">
        <v>43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8" zoomScaleNormal="85" zoomScaleSheetLayoutView="100" workbookViewId="0">
      <selection activeCell="F18" sqref="F18"/>
    </sheetView>
  </sheetViews>
  <sheetFormatPr baseColWidth="10" defaultColWidth="0" defaultRowHeight="14.5" customHeight="1" zeroHeight="1" x14ac:dyDescent="0.2"/>
  <cols>
    <col min="1" max="2" width="3.33203125" style="39" hidden="1" customWidth="1"/>
    <col min="3" max="3" width="2.5" style="39" customWidth="1"/>
    <col min="4" max="4" width="13.83203125" style="39" customWidth="1"/>
    <col min="5" max="5" width="51.33203125" style="40" bestFit="1" customWidth="1"/>
    <col min="6" max="6" width="15.83203125" style="41" bestFit="1" customWidth="1"/>
    <col min="7" max="9" width="13.33203125" style="39" customWidth="1"/>
    <col min="10" max="10" width="48.83203125" style="39" customWidth="1"/>
    <col min="11" max="11" width="2.5" style="39" customWidth="1"/>
    <col min="12" max="12" width="0" style="39" hidden="1" customWidth="1"/>
    <col min="13" max="16384" width="9" style="39" hidden="1"/>
  </cols>
  <sheetData>
    <row r="3" spans="4:10" ht="15" x14ac:dyDescent="0.2"/>
    <row r="4" spans="4:10" ht="19" x14ac:dyDescent="0.25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40" x14ac:dyDescent="0.2">
      <c r="D5" s="55" t="s">
        <v>39</v>
      </c>
      <c r="E5" s="55"/>
      <c r="F5" s="55"/>
      <c r="G5" s="55"/>
      <c r="H5" s="55"/>
      <c r="I5" s="55"/>
      <c r="J5" s="55"/>
    </row>
    <row r="6" spans="4:10" ht="20" x14ac:dyDescent="0.2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60" x14ac:dyDescent="0.2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40" x14ac:dyDescent="0.2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80" x14ac:dyDescent="0.2">
      <c r="D9" s="47">
        <v>3</v>
      </c>
      <c r="E9" s="48" t="s">
        <v>140</v>
      </c>
      <c r="F9" s="49">
        <v>45649</v>
      </c>
      <c r="G9" s="47" t="s">
        <v>40</v>
      </c>
      <c r="H9" s="47"/>
      <c r="I9" s="47"/>
      <c r="J9" s="48" t="s">
        <v>141</v>
      </c>
    </row>
    <row r="10" spans="4:10" ht="19" x14ac:dyDescent="0.2">
      <c r="D10" s="47">
        <v>4</v>
      </c>
      <c r="E10" s="48"/>
      <c r="F10" s="49"/>
      <c r="G10" s="47"/>
      <c r="H10" s="47"/>
      <c r="I10" s="47"/>
      <c r="J10" s="48"/>
    </row>
    <row r="11" spans="4:10" ht="19" x14ac:dyDescent="0.2">
      <c r="D11" s="47">
        <v>5</v>
      </c>
      <c r="E11" s="48"/>
      <c r="F11" s="49"/>
      <c r="G11" s="47"/>
      <c r="H11" s="47"/>
      <c r="I11" s="47"/>
      <c r="J11" s="48"/>
    </row>
    <row r="12" spans="4:10" ht="19" x14ac:dyDescent="0.2">
      <c r="D12" s="47">
        <v>6</v>
      </c>
      <c r="E12" s="48"/>
      <c r="F12" s="49"/>
      <c r="G12" s="47"/>
      <c r="H12" s="47"/>
      <c r="I12" s="47"/>
      <c r="J12" s="48"/>
    </row>
    <row r="13" spans="4:10" ht="19" x14ac:dyDescent="0.2">
      <c r="D13" s="47">
        <v>7</v>
      </c>
      <c r="E13" s="48"/>
      <c r="F13" s="49"/>
      <c r="G13" s="47"/>
      <c r="H13" s="47"/>
      <c r="I13" s="47"/>
      <c r="J13" s="48"/>
    </row>
    <row r="14" spans="4:10" ht="19" x14ac:dyDescent="0.2">
      <c r="D14" s="47">
        <v>8</v>
      </c>
      <c r="E14" s="48"/>
      <c r="F14" s="49"/>
      <c r="G14" s="47"/>
      <c r="H14" s="47"/>
      <c r="I14" s="47"/>
      <c r="J14" s="48"/>
    </row>
    <row r="15" spans="4:10" ht="19" x14ac:dyDescent="0.2">
      <c r="D15" s="47">
        <v>9</v>
      </c>
      <c r="E15" s="48"/>
      <c r="F15" s="49"/>
      <c r="G15" s="47"/>
      <c r="H15" s="47"/>
      <c r="I15" s="47"/>
      <c r="J15" s="48"/>
    </row>
    <row r="16" spans="4:10" ht="19" x14ac:dyDescent="0.2">
      <c r="D16" s="47">
        <v>10</v>
      </c>
      <c r="E16" s="48"/>
      <c r="F16" s="49"/>
      <c r="G16" s="47"/>
      <c r="H16" s="47"/>
      <c r="I16" s="47"/>
      <c r="J16" s="50"/>
    </row>
    <row r="17" ht="15" x14ac:dyDescent="0.2"/>
    <row r="18" ht="15" x14ac:dyDescent="0.2"/>
    <row r="19" ht="15" x14ac:dyDescent="0.2"/>
    <row r="20" ht="15" x14ac:dyDescent="0.2"/>
    <row r="21" ht="15" x14ac:dyDescent="0.2"/>
    <row r="22" ht="15" x14ac:dyDescent="0.2"/>
    <row r="23" ht="15" x14ac:dyDescent="0.2"/>
    <row r="24" ht="15" x14ac:dyDescent="0.2"/>
    <row r="25" ht="15" x14ac:dyDescent="0.2"/>
    <row r="26" ht="15" x14ac:dyDescent="0.2"/>
    <row r="27" ht="15" x14ac:dyDescent="0.2"/>
    <row r="28" ht="15" x14ac:dyDescent="0.2"/>
    <row r="29" ht="15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IF(COUNTIF(Table11024122[Test 3],1)=COUNTA(Table11024122[Value]),"Ready","Not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12" x14ac:dyDescent="0.2">
      <c r="A10" s="4" t="s">
        <v>101</v>
      </c>
      <c r="B10" s="32">
        <v>4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6" x14ac:dyDescent="0.2">
      <c r="A11" s="38" t="s">
        <v>114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6" x14ac:dyDescent="0.2">
      <c r="A12" s="4" t="s">
        <v>115</v>
      </c>
      <c r="B12" s="53">
        <v>3.0856051519999999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sheet="1" objects="1" scenarios="1" selectLockedCells="1"/>
  <mergeCells count="2">
    <mergeCell ref="A3:J3"/>
    <mergeCell ref="J4:J8"/>
  </mergeCells>
  <conditionalFormatting sqref="B10:B11">
    <cfRule type="expression" dxfId="83" priority="5">
      <formula>IF(AND($B10&lt;&gt;"",$I10=0),1,0)</formula>
    </cfRule>
    <cfRule type="expression" dxfId="82" priority="6">
      <formula>IF($B10&lt;&gt;"",1,0)</formula>
    </cfRule>
    <cfRule type="expression" dxfId="81" priority="7">
      <formula>$I10=0</formula>
    </cfRule>
  </conditionalFormatting>
  <conditionalFormatting sqref="B12">
    <cfRule type="notContainsBlanks" dxfId="80" priority="1">
      <formula>LEN(TRIM(B12))&gt;0</formula>
    </cfRule>
  </conditionalFormatting>
  <conditionalFormatting sqref="B13">
    <cfRule type="expression" dxfId="79" priority="44">
      <formula>IF(AND($B13&lt;&gt;"",$I13=0),1,0)</formula>
    </cfRule>
    <cfRule type="expression" dxfId="78" priority="45">
      <formula>IF($B13&lt;&gt;"",1,0)</formula>
    </cfRule>
    <cfRule type="expression" dxfId="77" priority="46">
      <formula>$I13=0</formula>
    </cfRule>
  </conditionalFormatting>
  <conditionalFormatting sqref="J4">
    <cfRule type="expression" dxfId="76" priority="2250">
      <formula>IF(COUNTA($B$10:$B$13)&lt;&gt;COUNTIF($I$10:$I$13,1),1,0)</formula>
    </cfRule>
    <cfRule type="expression" dxfId="75" priority="2251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O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IF(COUNTIF(Table11024123[Test 3],1)=COUNTA(Table11024123[Value]),"Ready","Not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6" x14ac:dyDescent="0.2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6" x14ac:dyDescent="0.2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sheet="1" objects="1" scenarios="1" selectLockedCells="1"/>
  <mergeCells count="2">
    <mergeCell ref="A3:J3"/>
    <mergeCell ref="J4:J8"/>
  </mergeCells>
  <conditionalFormatting sqref="B10:B13">
    <cfRule type="expression" dxfId="59" priority="1">
      <formula>IF(AND($B10&lt;&gt;"",$I10=0),1,0)</formula>
    </cfRule>
    <cfRule type="expression" dxfId="58" priority="2">
      <formula>IF($B10&lt;&gt;"",1,0)</formula>
    </cfRule>
    <cfRule type="expression" dxfId="57" priority="3">
      <formula>$I10=0</formula>
    </cfRule>
  </conditionalFormatting>
  <conditionalFormatting sqref="J4">
    <cfRule type="expression" dxfId="56" priority="2251">
      <formula>IF(COUNTA($B$10:$B$13)&lt;&gt;COUNTIF($I$10:$I$13,1),1,0)</formula>
    </cfRule>
    <cfRule type="expression" dxfId="55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IF(COUNTIF(Table1102412[Test 3],1)=COUNTA(Table1102412[Value]),"Ready","Not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2" x14ac:dyDescent="0.2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[2]Initialization!$B$13</f>
        <v>0</v>
      </c>
      <c r="J10" s="5" t="s">
        <v>136</v>
      </c>
    </row>
    <row r="11" spans="1:10" ht="32" x14ac:dyDescent="0.2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[2]Initialization!$B$13</f>
        <v>0</v>
      </c>
      <c r="J11" s="5" t="s">
        <v>137</v>
      </c>
    </row>
    <row r="12" spans="1:10" ht="16" x14ac:dyDescent="0.2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6" x14ac:dyDescent="0.2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[2]Initialization!$B$13</f>
        <v>0</v>
      </c>
      <c r="J13" s="5" t="s">
        <v>139</v>
      </c>
    </row>
    <row r="14" spans="1:10" ht="16" x14ac:dyDescent="0.2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sheet="1" objects="1" scenarios="1" selectLockedCells="1"/>
  <mergeCells count="2">
    <mergeCell ref="A3:J3"/>
    <mergeCell ref="J4:J8"/>
  </mergeCells>
  <conditionalFormatting sqref="B10:B14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$I10=0</formula>
    </cfRule>
  </conditionalFormatting>
  <conditionalFormatting sqref="J4">
    <cfRule type="expression" dxfId="36" priority="2253">
      <formula>IF(COUNTA($B$10:$B$14)&lt;&gt;COUNTIF($I$10:$I$14,1),1,0)</formula>
    </cfRule>
    <cfRule type="expression" dxfId="35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71" width="0" style="3" hidden="1" customWidth="1"/>
    <col min="72" max="16384" width="0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IF(COUNTIF(Table11024124[Test 3],1)=COUNTA(Table11024124[Value]),"Ready","Not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127</v>
      </c>
      <c r="B10" s="53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4">
        <f>[2]Initialization!$B$11</f>
        <v>0</v>
      </c>
      <c r="J10" s="5" t="s">
        <v>128</v>
      </c>
    </row>
    <row r="11" spans="1:10" ht="16" x14ac:dyDescent="0.2">
      <c r="A11" s="38" t="s">
        <v>126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[2]Initialization!$B$11</f>
        <v>0</v>
      </c>
      <c r="J11" s="5" t="s">
        <v>129</v>
      </c>
    </row>
    <row r="12" spans="1:10" ht="32" x14ac:dyDescent="0.2">
      <c r="A12" s="38" t="s">
        <v>125</v>
      </c>
      <c r="B12" s="51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[2]Initialization!$B$11</f>
        <v>0</v>
      </c>
      <c r="J12" s="5" t="s">
        <v>130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sheet="1" objects="1" scenarios="1" selectLockedCells="1"/>
  <mergeCells count="2">
    <mergeCell ref="A3:J3"/>
    <mergeCell ref="J4:J8"/>
  </mergeCells>
  <conditionalFormatting sqref="B10:B13">
    <cfRule type="expression" dxfId="19" priority="8">
      <formula>IF(AND($B10&lt;&gt;"",$I10=0),1,0)</formula>
    </cfRule>
    <cfRule type="expression" dxfId="18" priority="9">
      <formula>IF($B10&lt;&gt;"",1,0)</formula>
    </cfRule>
    <cfRule type="expression" dxfId="17" priority="10">
      <formula>$I10=0</formula>
    </cfRule>
  </conditionalFormatting>
  <conditionalFormatting sqref="J4">
    <cfRule type="expression" dxfId="16" priority="2259">
      <formula>IF(COUNTA($B$10:$B$13)&lt;&gt;COUNTIF($I$10:$I$13,1),1,0)</formula>
    </cfRule>
    <cfRule type="expression" dxfId="15" priority="2260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89</v>
      </c>
    </row>
    <row r="2" spans="1:1" x14ac:dyDescent="0.2">
      <c r="A2" t="s">
        <v>87</v>
      </c>
    </row>
    <row r="3" spans="1:1" x14ac:dyDescent="0.2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baseColWidth="10" defaultColWidth="8.83203125" defaultRowHeight="15" x14ac:dyDescent="0.2"/>
  <sheetData>
    <row r="1" spans="1:17" x14ac:dyDescent="0.2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 x14ac:dyDescent="0.2">
      <c r="A2">
        <v>4</v>
      </c>
      <c r="B2">
        <v>318.14999999999998</v>
      </c>
      <c r="C2">
        <v>3.0856051519999999</v>
      </c>
      <c r="E2">
        <v>20</v>
      </c>
      <c r="F2">
        <v>20.5</v>
      </c>
      <c r="G2">
        <v>33.800769771555913</v>
      </c>
      <c r="K2">
        <v>7.8300000000000002E-3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baseColWidth="10" defaultColWidth="8.83203125" defaultRowHeight="15" x14ac:dyDescent="0.2"/>
  <sheetData>
    <row r="1" spans="1:17" x14ac:dyDescent="0.2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 x14ac:dyDescent="0.2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2025-02-19T05:20:55Z</dcterms:modified>
</cp:coreProperties>
</file>