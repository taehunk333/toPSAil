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1.0\1_simulation_inputs\"/>
    </mc:Choice>
  </mc:AlternateContent>
  <xr:revisionPtr revIDLastSave="0" documentId="13_ncr:1_{497AB9C0-0A8B-4BD5-BDB5-ECA47A8C3185}" xr6:coauthVersionLast="47" xr6:coauthVersionMax="47" xr10:uidLastSave="{00000000-0000-0000-0000-000000000000}"/>
  <bookViews>
    <workbookView xWindow="-108" yWindow="-108" windowWidth="23256" windowHeight="13176" tabRatio="818" firstSheet="1" activeTab="5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3" i="31" l="1"/>
  <c r="I11" i="31"/>
  <c r="I10" i="31"/>
  <c r="I12" i="44"/>
  <c r="I11" i="44"/>
  <c r="I10" i="44"/>
  <c r="J4" i="44" l="1"/>
  <c r="J2" i="44"/>
  <c r="A2" i="44"/>
  <c r="J2" i="31"/>
  <c r="A2" i="31"/>
  <c r="J2" i="43"/>
  <c r="A2" i="43"/>
  <c r="J2" i="40"/>
  <c r="A2" i="40"/>
  <c r="J4" i="43" l="1"/>
  <c r="J4" i="40" l="1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tc={140666CE-EF2C-9944-9876-798DC985D3F5}</author>
    <author>tc={5159B78C-B001-9C4E-94CE-CB20C78B8A53}</author>
    <author>tc={8A269DA9-18AE-CD40-B00D-60DD3F6D3339}</author>
  </authors>
  <commentList>
    <comment ref="G9" authorId="0" shapeId="0" xr:uid="{140666CE-EF2C-9944-9876-798DC985D3F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5159B78C-B001-9C4E-94CE-CB20C78B8A5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A269DA9-18AE-CD40-B00D-60DD3F6D3339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<sst xmlns="http://schemas.openxmlformats.org/spreadsheetml/2006/main" count="281" uniqueCount="140">
  <si>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</si>
  <si>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</si>
  <si>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</si>
  <si>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</si>
  <si>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</si>
  <si>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</si>
  <si>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</si>
  <si>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</si>
  <si>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</si>
  <si>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</si>
  <si>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</si>
  <si>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</si>
  <si>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</si>
  <si>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</si>
  <si>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</si>
  <si>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</si>
  <si>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</si>
  <si>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</si>
  <si>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</si>
  <si>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</si>
  <si>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</si>
  <si>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</si>
  <si>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</si>
  <si>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</si>
  <si>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</si>
  <si>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</si>
  <si>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</si>
  <si>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</si>
  <si>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</si>
  <si>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</si>
  <si>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</si>
  <si>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</si>
  <si>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</si>
  <si>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</si>
  <si>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</si>
  <si>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</si>
  <si>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</si>
  <si>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</si>
  <si>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</si>
  <si>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</si>
  <si>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</si>
  <si>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</si>
  <si>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</si>
  <si>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</si>
  <si>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</si>
  <si>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</si>
  <si>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</si>
  <si>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</si>
  <si>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</si>
  <si>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</si>
  <si>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</si>
  <si>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</si>
  <si>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</si>
  <si>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</si>
  <si>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</si>
  <si>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</si>
  <si>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</si>
  <si>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</si>
  <si>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</si>
  <si>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</si>
  <si>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</si>
  <si>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</si>
  <si>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</si>
  <si>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</si>
  <si>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</si>
  <si>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</si>
  <si>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</si>
  <si>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</si>
  <si>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</si>
  <si>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</si>
  <si>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</si>
  <si>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</si>
  <si>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</si>
  <si>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</si>
  <si>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</si>
  <si>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</si>
  <si>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</si>
  <si>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</si>
  <si>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</si>
  <si>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</si>
  <si>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</si>
  <si>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</si>
  <si>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</si>
  <si>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</si>
  <si>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</si>
  <si>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</si>
  <si>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</si>
  <si>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</si>
  <si>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</si>
  <si>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</si>
  <si>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</si>
  <si>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</si>
  <si>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</si>
  <si>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</si>
  <si>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</si>
  <si>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</si>
  <si>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</si>
  <si>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</si>
  <si>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</si>
  <si>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</si>
  <si>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</si>
  <si>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inConRaTa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</si>
  <si>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</si>
  <si>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</si>
  <si>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</si>
  <si>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</si>
  <si>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</si>
  <si>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</si>
  <si>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</si>
  <si>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</si>
  <si>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</si>
  <si>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</si>
  <si>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</si>
  <si>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</si>
  <si>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tempRaTa</t>
  </si>
  <si>
    <t>presRaTa</t>
  </si>
  <si>
    <t>radInRaTa</t>
  </si>
  <si>
    <t>radOutRaTa</t>
  </si>
  <si>
    <t>heightRaTa</t>
  </si>
  <si>
    <t>htTrCoInRaTa</t>
  </si>
  <si>
    <t>htTrCoOutRaTa</t>
  </si>
  <si>
    <t>waDensRaTa</t>
  </si>
  <si>
    <t>htCapRaTa</t>
  </si>
  <si>
    <t>Raffinate tank initial temperature</t>
  </si>
  <si>
    <t>The initial pressure for the raffinate tank</t>
  </si>
  <si>
    <t>valRaTaFull</t>
  </si>
  <si>
    <t>presRaTaFull</t>
  </si>
  <si>
    <t>presRaTaSet</t>
  </si>
  <si>
    <t>Raffinate tank set pressure value</t>
  </si>
  <si>
    <t>Raffinate tank fully open pressure value</t>
  </si>
  <si>
    <t>Fully-open raffinate product tank outlet linear valve constant</t>
  </si>
  <si>
    <t>kmol/bar-sec</t>
  </si>
  <si>
    <t>Finalized the spreadsheet for the v1.0 release</t>
  </si>
  <si>
    <t>REV. NO.2 (9/14/2022)</t>
  </si>
  <si>
    <t>Initial development of the "3.3_raffinate_tank_properties.xlsm" sheet.</t>
  </si>
  <si>
    <t>1 = raffinate product gas with no heavy keys at the high pressure
2 = raffinate product gas with no heavy keys at the raffinate product pressure
3 = raffinate product gas at a high pressure
4 = raffinate product gas at a raffinate product pressure</t>
  </si>
  <si>
    <t>the heat transfer coefficient from the raffinate tank to its wall</t>
  </si>
  <si>
    <t>the heat transfer coefficient from the raffinate tank wall to the ambient environment</t>
  </si>
  <si>
    <t>the wall density for the raffinate tank</t>
  </si>
  <si>
    <t>the heat capacity of the raffinate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</si>
</sst>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  <font>
      <b/>
      <i/>
      <sz val="11"/>
      <color theme="1"/>
      <name val="Consolas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1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6" borderId="6" xfId="0" applyFont="1" applyFill="1" applyBorder="1" applyAlignment="1">
      <alignment horizontal="center" vertical="center"/>
    </xf>
    <xf numFmtId="0" fontId="19" fillId="2" borderId="1" xfId="0" applyFont="1" applyFill="1" applyBorder="1" applyAlignment="1" applyProtection="1">
      <alignment horizontal="center" vertical="center"/>
      <protection locked="0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9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/>
        <i/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7" name="Button 1" hidden="1">
                <a:extLst>
                  <a:ext uri="{63B3BB69-23CF-44E3-9099-C40C66FF867C}">
                    <a14:compatExt spid="_x0000_s65537"/>
                  </a:ext>
                  <a:ext uri="{FF2B5EF4-FFF2-40B4-BE49-F238E27FC236}">
                    <a16:creationId xmlns:a16="http://schemas.microsoft.com/office/drawing/2014/main" id="{00000000-0008-0000-0500-0000010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8" name="Button 2" hidden="1">
                <a:extLst>
                  <a:ext uri="{63B3BB69-23CF-44E3-9099-C40C66FF867C}">
                    <a14:compatExt spid="_x0000_s65538"/>
                  </a:ext>
                  <a:ext uri="{FF2B5EF4-FFF2-40B4-BE49-F238E27FC236}">
                    <a16:creationId xmlns:a16="http://schemas.microsoft.com/office/drawing/2014/main" id="{00000000-0008-0000-0500-0000020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9" name="Button 3" hidden="1">
                <a:extLst>
                  <a:ext uri="{63B3BB69-23CF-44E3-9099-C40C66FF867C}">
                    <a14:compatExt spid="_x0000_s65539"/>
                  </a:ext>
                  <a:ext uri="{FF2B5EF4-FFF2-40B4-BE49-F238E27FC236}">
                    <a16:creationId xmlns:a16="http://schemas.microsoft.com/office/drawing/2014/main" id="{00000000-0008-0000-0500-00000300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6" dataDxfId="84" headerRowBorderDxfId="85" tableBorderDxfId="83" totalsRowBorderDxfId="82">
  <autoFilter ref="A9:J13" xr:uid="{B089C5C3-2CCE-4800-96CA-2131BB6E3E4F}"/>
  <tableColumns count="10">
    <tableColumn id="1" xr3:uid="{3E4F27FA-9CCD-488C-9FFE-8189DF89B2B5}" name="Variable" dataDxfId="81"/>
    <tableColumn id="4" xr3:uid="{4D38B92D-B1E9-4DDE-B914-6A4E9DB63C9E}" name="Value" dataDxfId="80"/>
    <tableColumn id="5" xr3:uid="{DE2ACEA5-F459-4C5B-ADEC-6214F75935FA}" name="Unit" dataDxfId="79"/>
    <tableColumn id="6" xr3:uid="{BBE9846A-4956-4FAF-848B-0B1F56311296}" name="Comparisons" dataDxfId="78"/>
    <tableColumn id="7" xr3:uid="{7604F104-935C-4D6C-98BF-97589769DD42}" name="Variable Type" dataDxfId="77"/>
    <tableColumn id="8" xr3:uid="{7D3892CD-8765-4699-977F-B3AA8A9AB120}" name="Dependency" dataDxfId="76"/>
    <tableColumn id="12" xr3:uid="{161D2FD1-7A78-4D8E-8024-885B20FF313F}" name="Test 1" dataDxfId="75"/>
    <tableColumn id="10" xr3:uid="{1AA44E52-6629-487F-B43F-5CEC7D36BB2A}" name="Test 2" dataDxfId="74"/>
    <tableColumn id="2" xr3:uid="{6AF5B301-E925-40CD-B0FD-ED73E5B71C10}" name="Test 3" dataDxfId="73"/>
    <tableColumn id="9" xr3:uid="{29E572B6-C772-4761-B1A5-7C1BBC5A9A8E}" name="Description" dataDxfId="7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3" dataDxfId="61" headerRowBorderDxfId="62" tableBorderDxfId="60" totalsRowBorderDxfId="59">
  <autoFilter ref="A9:J13" xr:uid="{B089C5C3-2CCE-4800-96CA-2131BB6E3E4F}"/>
  <tableColumns count="10">
    <tableColumn id="1" xr3:uid="{33A6A58D-364D-4A35-922C-DE212771E5A3}" name="Variable" dataDxfId="58"/>
    <tableColumn id="4" xr3:uid="{941C2A7D-BF3F-418E-B42D-DD80A4DE2A81}" name="Value" dataDxfId="57"/>
    <tableColumn id="5" xr3:uid="{C4E86D48-03E8-46FA-B8CA-6F5D6C6A2D12}" name="Unit" dataDxfId="56"/>
    <tableColumn id="6" xr3:uid="{665361F6-20BF-415D-BBF1-F45B832A29DE}" name="Comparisons" dataDxfId="55"/>
    <tableColumn id="7" xr3:uid="{F7A189BB-30E4-471C-9393-FF44966433C9}" name="Variable Type" dataDxfId="54"/>
    <tableColumn id="8" xr3:uid="{536CEEB4-5D6D-4FC9-B347-8D4F6CE10C67}" name="Dependency" dataDxfId="53"/>
    <tableColumn id="12" xr3:uid="{41F5DBE5-C5A3-4D63-A4BF-9774F11F14D3}" name="Test 1" dataDxfId="52"/>
    <tableColumn id="10" xr3:uid="{75ACAF5C-BDFE-45DE-AD7B-8EA0171A905D}" name="Test 2" dataDxfId="51"/>
    <tableColumn id="2" xr3:uid="{E0C16DCE-CCB9-4239-B5AF-7F90FE1422EF}" name="Test 3" dataDxfId="50"/>
    <tableColumn id="9" xr3:uid="{11A90378-9784-4E77-9A9A-BDE1BD80CAC4}" name="Description" dataDxfId="4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37" dataDxfId="35" headerRowBorderDxfId="36" tableBorderDxfId="34" totalsRowBorderDxfId="33">
  <autoFilter ref="A9:J14" xr:uid="{B089C5C3-2CCE-4800-96CA-2131BB6E3E4F}"/>
  <tableColumns count="10">
    <tableColumn id="1" xr3:uid="{897C7A45-3F96-4FAD-9D88-64BEDA59EE04}" name="Variable" dataDxfId="32"/>
    <tableColumn id="4" xr3:uid="{AC44F3C7-74B4-4404-BA30-07059568F4CD}" name="Value" dataDxfId="31"/>
    <tableColumn id="5" xr3:uid="{6083DF57-24E4-4D4A-B84A-AB4CE9566C0A}" name="Unit" dataDxfId="30"/>
    <tableColumn id="6" xr3:uid="{7B5B4F38-11BC-48C2-B29A-22FAFA39A76A}" name="Comparisons" dataDxfId="29"/>
    <tableColumn id="7" xr3:uid="{687831A6-7122-45C8-9279-6A017FA30571}" name="Variable Type" dataDxfId="28"/>
    <tableColumn id="8" xr3:uid="{F0D98687-63CA-49F2-A0F5-F43443FEED82}" name="Dependency" dataDxfId="27"/>
    <tableColumn id="12" xr3:uid="{57EFF7D5-281B-4073-9550-73D369BA3603}" name="Test 1" dataDxfId="26"/>
    <tableColumn id="10" xr3:uid="{886EC4A5-54AE-4612-B5FF-8B6E7B32A853}" name="Test 2" dataDxfId="25"/>
    <tableColumn id="2" xr3:uid="{C5B5DD0C-C82D-4FD9-A165-974B4B54478C}" name="Test 3" dataDxfId="24"/>
    <tableColumn id="9" xr3:uid="{E8B12666-0292-4BAB-9166-E185CB24DBFE}" name="Description" dataDxfId="2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F3A194F-7075-4C40-A9F5-D75D6CB2C8B3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7B96E1E5-F914-134F-92CB-11A246CE83CF}" name="Variable" dataDxfId="9"/>
    <tableColumn id="4" xr3:uid="{769FCB14-07FC-C744-854D-32A560D0AF7A}" name="Value" dataDxfId="8"/>
    <tableColumn id="5" xr3:uid="{72A57B60-A9BA-AE4D-A8F2-15A7CE6E01F2}" name="Unit" dataDxfId="7"/>
    <tableColumn id="6" xr3:uid="{0B5A6A21-E099-944F-B63D-34DD49049A32}" name="Comparisons" dataDxfId="6"/>
    <tableColumn id="7" xr3:uid="{FA5D9905-FBB3-8046-A15F-70FC367F1300}" name="Variable Type" dataDxfId="5"/>
    <tableColumn id="8" xr3:uid="{B5D6DCA6-6A6D-FF4C-8D65-BCD68325F679}" name="Dependency" dataDxfId="4"/>
    <tableColumn id="12" xr3:uid="{6E9A6F79-99F9-4743-BEFC-2D32C4AC335A}" name="Test 1" dataDxfId="3"/>
    <tableColumn id="10" xr3:uid="{C289927B-FF71-D34E-934B-A67BC094E72F}" name="Test 2" dataDxfId="2"/>
    <tableColumn id="2" xr3:uid="{BB8A802E-BB46-104C-AA29-A71DDC86E102}" name="Test 3" dataDxfId="1"/>
    <tableColumn id="9" xr3:uid="{933A5953-2B8A-914C-A6C0-D1761A99B72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40666CE-EF2C-9944-9876-798DC985D3F5}">
    <text>place 1 if we want to keep the row when re-initializing. Otherwise, leave it as a blank.</text>
  </threadedComment>
  <threadedComment ref="H9" dT="2020-11-26T18:35:03.27" personId="{7F98AE94-13FB-49E1-9262-339C11E0EDB4}" id="{5159B78C-B001-9C4E-94CE-CB20C78B8A53}">
    <text>supply a value greater than 1 if you want to duplicate the row</text>
  </threadedComment>
  <threadedComment ref="I9" dT="2020-11-28T01:53:47.29" personId="{7F98AE94-13FB-49E1-9262-339C11E0EDB4}" id="{8A269DA9-18AE-CD40-B00D-60DD3F6D3339}">
    <text>1 means we need to have the variable specified; 0 means we need not have the variable specified</text>
  </threadedComment>
  <threadedComment ref="I9" dT="2020-11-28T01:56:42.32" personId="{7F98AE94-13FB-49E1-9262-339C11E0EDB4}" id="{696BD74B-E7C5-604D-82AC-DFE3EB4C9F15}" parentId="{8A269DA9-18AE-CD40-B00D-60DD3F6D3339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104</v>
      </c>
      <c r="U1" t="s">
        <v>105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106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107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108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109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110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111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112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102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103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36">
      <c r="D5" s="54" t="s">
        <v>39</v>
      </c>
      <c r="E5" s="54"/>
      <c r="F5" s="54"/>
      <c r="G5" s="54"/>
      <c r="H5" s="54"/>
      <c r="I5" s="54"/>
      <c r="J5" s="54"/>
    </row>
    <row r="6" spans="4:10" ht="18">
      <c r="D6" s="46" t="s">
        <v>33</v>
      </c>
      <c r="E6" s="46" t="s">
        <v>113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J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0.8">
      <c r="A10" s="4" t="s">
        <v>101</v>
      </c>
      <c r="B10" s="32">
        <v>4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4.4">
      <c r="A11" s="38" t="s">
        <v>114</v>
      </c>
      <c r="B11" s="32">
        <v>318.14999999999998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4.4">
      <c r="A12" s="4" t="s">
        <v>115</v>
      </c>
      <c r="B12" s="53">
        <v>3.0856051519999999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RD7RiemFeU1gSgRGZqSAWFoqCeOHZ+RO2MHoqF0X3HAKNOwo2hSE6nhaf67gaAb7rJWnTcEly2YD+dP1VLj8/g==" saltValue="ooqwCV1c7c4i8dJrtj3/cg==" spinCount="100000" sheet="1" objects="1" scenarios="1" selectLockedCells="1"/>
  <mergeCells count="2">
    <mergeCell ref="A3:J3"/>
    <mergeCell ref="J4:J8"/>
  </mergeCells>
  <conditionalFormatting sqref="B13">
    <cfRule type="expression" dxfId="98" priority="44">
      <formula>IF(AND($B13&lt;&gt;"",$I13=0),1,0)</formula>
    </cfRule>
    <cfRule type="expression" dxfId="97" priority="45">
      <formula>IF($B13&lt;&gt;"",1,0)</formula>
    </cfRule>
    <cfRule type="expression" dxfId="96" priority="46">
      <formula>$I13=0</formula>
    </cfRule>
  </conditionalFormatting>
  <conditionalFormatting sqref="B10">
    <cfRule type="expression" dxfId="95" priority="35">
      <formula>IF(AND($B10&lt;&gt;"",$I10=0),1,0)</formula>
    </cfRule>
    <cfRule type="expression" dxfId="94" priority="36">
      <formula>IF($B10&lt;&gt;"",1,0)</formula>
    </cfRule>
    <cfRule type="expression" dxfId="93" priority="37">
      <formula>$I10=0</formula>
    </cfRule>
  </conditionalFormatting>
  <conditionalFormatting sqref="B11">
    <cfRule type="expression" dxfId="92" priority="5">
      <formula>IF(AND($B11&lt;&gt;"",$I11=0),1,0)</formula>
    </cfRule>
    <cfRule type="expression" dxfId="91" priority="6">
      <formula>IF($B11&lt;&gt;"",1,0)</formula>
    </cfRule>
    <cfRule type="expression" dxfId="90" priority="7">
      <formula>$I11=0</formula>
    </cfRule>
  </conditionalFormatting>
  <conditionalFormatting sqref="J4">
    <cfRule type="expression" dxfId="89" priority="2250">
      <formula>IF(COUNTA($B$10:$B$13)&lt;&gt;COUNTIF($I$10:$I$13,1),1,0)</formula>
    </cfRule>
    <cfRule type="expression" dxfId="88" priority="2251">
      <formula>IF(COUNTA($B$10:$B$13)=COUNTIF($I$10:$I$13,1),1,0)</formula>
    </cfRule>
  </conditionalFormatting>
  <conditionalFormatting sqref="B12">
    <cfRule type="notContainsBlanks" dxfId="87" priority="1">
      <formula>LEN(TRIM(B12))&gt;0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O1048576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4.4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4.4">
      <c r="A12" s="38" t="s">
        <v>118</v>
      </c>
      <c r="B12" s="32">
        <v>33.800769771555913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Pf8fsiUkfKCDuFYAl6e7ENWxDcbBNzRyggCX4UUfWNi/ghLrnwe23ExBMzkSWJq7fBMxNpW9KSztn+ZrWL3TJw==" saltValue="Ba+L6wvnNxG14nnpajKNSA==" spinCount="100000" sheet="1" objects="1" scenarios="1" selectLockedCells="1"/>
  <mergeCells count="2">
    <mergeCell ref="A3:J3"/>
    <mergeCell ref="J4:J8"/>
  </mergeCells>
  <conditionalFormatting sqref="B13">
    <cfRule type="expression" dxfId="71" priority="31">
      <formula>IF(AND($B13&lt;&gt;"",$I13=0),1,0)</formula>
    </cfRule>
    <cfRule type="expression" dxfId="70" priority="32">
      <formula>IF($B13&lt;&gt;"",1,0)</formula>
    </cfRule>
    <cfRule type="expression" dxfId="69" priority="33">
      <formula>$I13=0</formula>
    </cfRule>
  </conditionalFormatting>
  <conditionalFormatting sqref="B10:B12">
    <cfRule type="expression" dxfId="68" priority="1">
      <formula>IF(AND($B10&lt;&gt;"",$I10=0),1,0)</formula>
    </cfRule>
    <cfRule type="expression" dxfId="67" priority="2">
      <formula>IF($B10&lt;&gt;"",1,0)</formula>
    </cfRule>
    <cfRule type="expression" dxfId="66" priority="3">
      <formula>$I10=0</formula>
    </cfRule>
  </conditionalFormatting>
  <conditionalFormatting sqref="J4">
    <cfRule type="expression" dxfId="65" priority="2251">
      <formula>IF(COUNTA($B$10:$B$13)&lt;&gt;COUNTIF($I$10:$I$13,1),1,0)</formula>
    </cfRule>
    <cfRule type="expression" dxfId="64" priority="2252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119</v>
      </c>
      <c r="B10" s="32"/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2">
        <f>[1]Initialization!$B$14</f>
        <v>0</v>
      </c>
      <c r="J10" s="5" t="s">
        <v>136</v>
      </c>
    </row>
    <row r="11" spans="1:10" ht="28.8">
      <c r="A11" s="38" t="s">
        <v>120</v>
      </c>
      <c r="B11" s="32"/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2">
        <f>[1]Initialization!$B$14</f>
        <v>0</v>
      </c>
      <c r="J11" s="5" t="s">
        <v>137</v>
      </c>
    </row>
    <row r="12" spans="1:10" ht="14.4">
      <c r="A12" s="38" t="s">
        <v>121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4.4">
      <c r="A13" s="38" t="s">
        <v>122</v>
      </c>
      <c r="B13" s="32"/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2">
        <f>[1]Initialization!$B$14</f>
        <v>0</v>
      </c>
      <c r="J13" s="5" t="s">
        <v>139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GKA3k1dl5RTIfLGTKQxI8KuI8lywOyi3foKlGVR9x/Mp5fFfmt1SOXBZBN6YLbeYPXvcUU9igKdTMqfmeXIUNA==" saltValue="IQEMsRqfJcVRMBKDzF1u4A==" spinCount="100000" sheet="1" objects="1" scenarios="1" selectLockedCells="1"/>
  <mergeCells count="2">
    <mergeCell ref="A3:J3"/>
    <mergeCell ref="J4:J8"/>
  </mergeCells>
  <conditionalFormatting sqref="B14">
    <cfRule type="expression" dxfId="48" priority="94">
      <formula>IF(AND($B14&lt;&gt;"",$I14=0),1,0)</formula>
    </cfRule>
    <cfRule type="expression" dxfId="47" priority="95">
      <formula>IF($B14&lt;&gt;"",1,0)</formula>
    </cfRule>
    <cfRule type="expression" dxfId="46" priority="96">
      <formula>$I14=0</formula>
    </cfRule>
  </conditionalFormatting>
  <conditionalFormatting sqref="B10:B11">
    <cfRule type="expression" dxfId="45" priority="1">
      <formula>IF(AND($B10&lt;&gt;"",$I10=0),1,0)</formula>
    </cfRule>
    <cfRule type="expression" dxfId="44" priority="2">
      <formula>IF($B10&lt;&gt;"",1,0)</formula>
    </cfRule>
    <cfRule type="expression" dxfId="43" priority="3">
      <formula>$I10=0</formula>
    </cfRule>
  </conditionalFormatting>
  <conditionalFormatting sqref="B12:B13">
    <cfRule type="expression" dxfId="42" priority="4">
      <formula>IF(AND($B12&lt;&gt;"",$I12=0),1,0)</formula>
    </cfRule>
    <cfRule type="expression" dxfId="41" priority="5">
      <formula>IF($B12&lt;&gt;"",1,0)</formula>
    </cfRule>
    <cfRule type="expression" dxfId="40" priority="6">
      <formula>$I12=0</formula>
    </cfRule>
  </conditionalFormatting>
  <conditionalFormatting sqref="J4">
    <cfRule type="expression" dxfId="39" priority="2253">
      <formula>IF(COUNTA($B$10:$B$14)&lt;&gt;COUNTIF($I$10:$I$14,1),1,0)</formula>
    </cfRule>
    <cfRule type="expression" dxfId="38" priority="2254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D86E7-A740-EC40-ACD3-CEC24CCC78F1}">
  <sheetPr codeName="Sheet21">
    <tabColor rgb="FF00B050"/>
  </sheetPr>
  <dimension ref="A1:J13"/>
  <sheetViews>
    <sheetView showGridLines="0" tabSelected="1" zoomScaleNormal="100" zoomScaleSheetLayoutView="85" workbookViewId="0">
      <pane ySplit="9" topLeftCell="A10" activePane="bottomLeft" state="frozen"/>
      <selection activeCell="C24" sqref="C24"/>
      <selection pane="bottomLeft" sqref="A1:XFD1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71" width="0" style="3" hidden="1" customWidth="1"/>
    <col min="72" max="16384" width="0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IF(COUNTIF(Table11024124[Test 3],1)=COUNTA(Table11024124[Value]),"Ready","Not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127</v>
      </c>
      <c r="B10" s="32"/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52">
        <f>[1]Initialization!$B$12</f>
        <v>0</v>
      </c>
      <c r="J10" s="5" t="s">
        <v>128</v>
      </c>
    </row>
    <row r="11" spans="1:10" ht="14.4">
      <c r="A11" s="38" t="s">
        <v>126</v>
      </c>
      <c r="B11" s="32"/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2">
        <f>[1]Initialization!$B$12</f>
        <v>0</v>
      </c>
      <c r="J11" s="5" t="s">
        <v>129</v>
      </c>
    </row>
    <row r="12" spans="1:10" ht="28.8">
      <c r="A12" s="38" t="s">
        <v>125</v>
      </c>
      <c r="B12" s="51"/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2">
        <f>[1]Initialization!$B$12</f>
        <v>0</v>
      </c>
      <c r="J12" s="5" t="s">
        <v>130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/9xPItLMvdkgmIuCV3AGaCZJP3mCBEJg4pzjjVZXBSJcwUjoE7u4MpFReiebuvBh7i2kLg8QSvfs/P254Y51vA==" saltValue="fdBEtJHSpNC11Z9PBohVMQ==" spinCount="100000" sheet="1" objects="1" scenarios="1" selectLockedCells="1"/>
  <mergeCells count="2">
    <mergeCell ref="A3:J3"/>
    <mergeCell ref="J4:J8"/>
  </mergeCells>
  <conditionalFormatting sqref="B12:B13">
    <cfRule type="expression" dxfId="22" priority="7">
      <formula>IF(AND($B12&lt;&gt;"",$I12=0),1,0)</formula>
    </cfRule>
    <cfRule type="expression" dxfId="21" priority="8">
      <formula>IF($B12&lt;&gt;"",1,0)</formula>
    </cfRule>
    <cfRule type="expression" dxfId="20" priority="9">
      <formula>$I12=0</formula>
    </cfRule>
  </conditionalFormatting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58">
      <formula>IF(COUNTA($B$10:$B$13)&lt;&gt;COUNTIF($I$10:$I$13,1),1,0)</formula>
    </cfRule>
    <cfRule type="expression" dxfId="15" priority="22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18A1AF5-0FC2-4348-B5D8-583F6265B6C2}">
          <x14:formula1>
            <xm:f>Reference!$C$2:$C$23</xm:f>
          </x14:formula1>
          <xm:sqref>F10:F13</xm:sqref>
        </x14:dataValidation>
        <x14:dataValidation type="list" allowBlank="1" showInputMessage="1" showErrorMessage="1" xr:uid="{CB1BD7BB-BA70-0446-8F01-70AF46ECDFD9}">
          <x14:formula1>
            <xm:f>Reference!$A$2:$A$8</xm:f>
          </x14:formula1>
          <xm:sqref>E10:E13</xm:sqref>
        </x14:dataValidation>
        <x14:dataValidation type="list" allowBlank="1" showInputMessage="1" showErrorMessage="1" xr:uid="{FAE96949-E98F-E64C-9FFF-083405A71766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4</v>
      </c>
      <c r="B2">
        <v>318.14999999999998</v>
      </c>
      <c r="C2">
        <v>3.0856051519999999</v>
      </c>
      <c r="E2">
        <v>20</v>
      </c>
      <c r="F2">
        <v>20.5</v>
      </c>
      <c r="G2">
        <v>33.800769771555913</v>
      </c>
      <c r="K2">
        <v>7.8300000000000002E-3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workbookViewId="0">
      <selection activeCell="CR2" sqref="CR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2022-11-24T23:20:21Z</dcterms:modified>
</cp:coreProperties>
</file>