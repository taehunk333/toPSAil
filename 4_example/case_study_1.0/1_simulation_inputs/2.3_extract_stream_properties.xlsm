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9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k/Documents/GitHub/toPSAil/4_example/case_study_1.0/1_simulation_inputs/"/>
    </mc:Choice>
  </mc:AlternateContent>
  <xr:revisionPtr revIDLastSave="0" documentId="13_ncr:1_{E311D155-D6D0-AA4D-A84B-0D9FCEDA55B9}" xr6:coauthVersionLast="47" xr6:coauthVersionMax="47" xr10:uidLastSave="{00000000-0000-0000-0000-000000000000}"/>
  <bookViews>
    <workbookView xWindow="0" yWindow="640" windowWidth="23260" windowHeight="13180" tabRatio="818" activeTab="1" xr2:uid="{CB583278-6AF7-49E7-A969-6064EAB4A9B4}"/>
  </bookViews>
  <sheets>
    <sheet name="Revision History" sheetId="4" r:id="rId1"/>
    <sheet name="Stream Properties" sheetId="40" r:id="rId2"/>
    <sheet name="Reference" sheetId="2" state="hidden" r:id="rId3"/>
    <sheet name="maintenance check list" sheetId="28" state="hidden" r:id="rId4"/>
    <sheet name="Data(Transposed)" sheetId="3" state="hidden" r:id="rId5"/>
    <sheet name="Data(Test)" sheetId="9" state="hidden" r:id="rId6"/>
  </sheets>
  <externalReferences>
    <externalReference r:id="rId7"/>
    <externalReference r:id="rId8"/>
  </externalReferences>
  <definedNames>
    <definedName name="_xlnm._FilterDatabase" localSheetId="1" hidden="1">'Stream Properties'!$A$9:$J$9</definedName>
    <definedName name="_xlnm.Print_Area" localSheetId="0">'Revision History'!$C$3:$K$51</definedName>
    <definedName name="_xlnm.Print_Area" localSheetId="1">'Stream Properties'!$A$2:$J$12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1" i="40" l="1"/>
  <c r="J2" i="40" l="1"/>
  <c r="A2" i="40"/>
  <c r="H10" i="40" l="1"/>
  <c r="J4" i="40"/>
</calcChain>
</file>

<file path=xl/sharedStrings.xml><?xml version="1.0" encoding="utf-8"?>
<sst xmlns="http://schemas.openxmlformats.org/spreadsheetml/2006/main" count="151" uniqueCount="112">
  <si>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</si>
  <si>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</si>
  <si>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</si>
  <si>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</si>
  <si>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</si>
  <si>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</si>
  <si>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</si>
  <si>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</si>
  <si>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</si>
  <si>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</si>
  <si>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</si>
  <si>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</si>
  <si>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</si>
  <si>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</si>
  <si>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</si>
  <si>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</si>
  <si>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</si>
  <si>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</si>
  <si>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</si>
  <si>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</si>
  <si>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</si>
  <si>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</si>
  <si>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</si>
  <si>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</si>
  <si>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</si>
  <si>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</si>
  <si>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</si>
  <si>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</si>
  <si>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</si>
  <si>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</si>
  <si>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</si>
  <si>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</si>
  <si>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</si>
  <si>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</si>
  <si>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</si>
  <si>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</si>
  <si>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</si>
  <si>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</si>
  <si>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</si>
  <si>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</si>
  <si>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</si>
  <si>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</si>
  <si>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</si>
  <si>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</si>
  <si>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</si>
  <si>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</si>
  <si>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</si>
  <si>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</si>
  <si>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</si>
  <si>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</si>
  <si>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</si>
  <si>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</si>
  <si>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</si>
  <si>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</si>
  <si>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</si>
  <si>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</si>
  <si>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</si>
  <si>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</si>
  <si>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</si>
  <si>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</si>
  <si>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</si>
  <si>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</si>
  <si>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</si>
  <si>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</si>
  <si>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</si>
  <si>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</si>
  <si>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</si>
  <si>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</si>
  <si>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</si>
  <si>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</si>
  <si>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</si>
  <si>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</si>
  <si>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</si>
  <si>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</si>
  <si>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</si>
  <si>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</si>
  <si>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</si>
  <si>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</si>
  <si>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</si>
  <si>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</si>
  <si>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</si>
  <si>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</si>
  <si>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</si>
  <si>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</si>
  <si>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</si>
  <si>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</si>
  <si>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</si>
  <si>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</si>
  <si>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</si>
  <si>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</si>
  <si>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</si>
  <si>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</si>
  <si>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yExC1</t>
  </si>
  <si>
    <t>yExC2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</si>
  <si>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</si>
  <si>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</si>
  <si>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</si>
  <si>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</si>
  <si>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</si>
  <si>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</si>
  <si>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</si>
  <si>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</si>
  <si>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</si>
  <si>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</si>
  <si>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</si>
  <si>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</si>
  <si>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Finalized the spreadsheet for the v1.0 release</t>
  </si>
  <si>
    <t>Initial development of the "2.3_extract_stream_properties.xlsm" sheet.</t>
  </si>
  <si>
    <t>REV. NO.2 (9/14/2022)</t>
  </si>
  <si>
    <t>The initial extract product mole fraction of ith component at the raffinate product pressure; the first nLK components are the light keys</t>
  </si>
  <si>
    <t>Major updates on the macros.</t>
  </si>
  <si>
    <t>Macros were moved to a centeralized location: ./toPSAil/3_resources/10_macros/InputParsingMacros.xlam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</si>
</sst>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4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12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2" fillId="5" borderId="8" xfId="0" applyFont="1" applyFill="1" applyBorder="1" applyAlignment="1" applyProtection="1">
      <alignment horizontal="right" vertical="center"/>
      <protection locked="0"/>
    </xf>
    <xf numFmtId="0" fontId="6" fillId="3" borderId="1" xfId="1" applyFont="1" applyFill="1" applyBorder="1" applyAlignment="1">
      <alignment horizontal="center" vertical="center" wrapText="1"/>
    </xf>
    <xf numFmtId="0" fontId="4" fillId="4" borderId="0" xfId="0" applyFont="1" applyFill="1" applyAlignment="1">
      <alignment horizontal="left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20"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17</xdr:row>
      <xdr:rowOff>0</xdr:rowOff>
    </xdr:from>
    <xdr:to>
      <xdr:col>7</xdr:col>
      <xdr:colOff>216904</xdr:colOff>
      <xdr:row>29</xdr:row>
      <xdr:rowOff>139700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F7ECF2B-2A66-5342-9F53-A81F755457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5156200" y="5359400"/>
          <a:ext cx="2439404" cy="2425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4993" name="Button 1" hidden="1">
                <a:extLst>
                  <a:ext uri="{63B3BB69-23CF-44E3-9099-C40C66FF867C}">
                    <a14:compatExt spid="_x0000_s84993"/>
                  </a:ext>
                  <a:ext uri="{FF2B5EF4-FFF2-40B4-BE49-F238E27FC236}">
                    <a16:creationId xmlns:a16="http://schemas.microsoft.com/office/drawing/2014/main" id="{00000000-0008-0000-0100-0000014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4994" name="Button 2" hidden="1">
                <a:extLst>
                  <a:ext uri="{63B3BB69-23CF-44E3-9099-C40C66FF867C}">
                    <a14:compatExt spid="_x0000_s84994"/>
                  </a:ext>
                  <a:ext uri="{FF2B5EF4-FFF2-40B4-BE49-F238E27FC236}">
                    <a16:creationId xmlns:a16="http://schemas.microsoft.com/office/drawing/2014/main" id="{00000000-0008-0000-0100-0000024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4995" name="Button 3" hidden="1">
                <a:extLst>
                  <a:ext uri="{63B3BB69-23CF-44E3-9099-C40C66FF867C}">
                    <a14:compatExt spid="_x0000_s84995"/>
                  </a:ext>
                  <a:ext uri="{FF2B5EF4-FFF2-40B4-BE49-F238E27FC236}">
                    <a16:creationId xmlns:a16="http://schemas.microsoft.com/office/drawing/2014/main" id="{00000000-0008-0000-0100-0000034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1.2_adsorbate_properties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tk/Documents/GitHub/toPSAil/3_source/10_macros/InputParsingMacros.xlam" TargetMode="External"/><Relationship Id="rId1" Type="http://schemas.openxmlformats.org/officeDocument/2006/relationships/externalLinkPath" Target="/Users/tk/Documents/GitHub/toPSAil/3_source/10_macros/InputParsingMacros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>
        <row r="10">
          <cell r="B10">
            <v>2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Macros.clearData"/>
      <definedName name="Macros.initComs"/>
      <definedName name="Macros.pushData"/>
    </definedNames>
    <sheetDataSet>
      <sheetData sheetId="0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8B4F31D-53BA-6E49-9826-6749D7B9535C}" name="Table11082" displayName="Table11082" ref="A9:J12" totalsRowShown="0" headerRowDxfId="19" dataDxfId="17" headerRowBorderDxfId="18" tableBorderDxfId="16" totalsRowBorderDxfId="15">
  <autoFilter ref="A9:J12" xr:uid="{B089C5C3-2CCE-4800-96CA-2131BB6E3E4F}"/>
  <tableColumns count="10">
    <tableColumn id="1" xr3:uid="{036EF48E-8B2B-0A41-B977-65B637A0CA82}" name="Variable" dataDxfId="14"/>
    <tableColumn id="4" xr3:uid="{D9E76E46-0F5F-4C44-8EFE-794152685663}" name="Value" dataDxfId="13"/>
    <tableColumn id="5" xr3:uid="{917AE284-601D-0E46-BFAF-24ACA9592E10}" name="Unit" dataDxfId="12"/>
    <tableColumn id="6" xr3:uid="{C47C9C25-53E6-8041-984E-7F35AED4CB77}" name="Comparisons" dataDxfId="11"/>
    <tableColumn id="7" xr3:uid="{C1B1908D-308A-0541-A4ED-67BB6C997952}" name="Variable Type" dataDxfId="10"/>
    <tableColumn id="8" xr3:uid="{268FCCAD-6B40-0B46-8E22-3BD9F833DCC0}" name="Dependency" dataDxfId="9"/>
    <tableColumn id="12" xr3:uid="{C4DB334C-4F3D-654A-8F5B-B2A89455D5AB}" name="Test 1" dataDxfId="8"/>
    <tableColumn id="10" xr3:uid="{5A6F5FFC-CD8B-5C49-BBFD-3856E773BD09}" name="Test 2" dataDxfId="7"/>
    <tableColumn id="2" xr3:uid="{513514C6-535A-6D48-A54F-C93A508612C4}" name="Test 3" dataDxfId="6"/>
    <tableColumn id="9" xr3:uid="{B3207BCD-3EDF-2B4E-A6F2-44846C8948F7}" name="Description" dataDxfId="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33"/>
  <sheetViews>
    <sheetView showGridLines="0" view="pageBreakPreview" topLeftCell="C3" zoomScaleNormal="85" zoomScaleSheetLayoutView="100" workbookViewId="0">
      <selection activeCell="F18" sqref="F18"/>
    </sheetView>
  </sheetViews>
  <sheetFormatPr baseColWidth="10" defaultColWidth="0" defaultRowHeight="15" zeroHeight="1" x14ac:dyDescent="0.2"/>
  <cols>
    <col min="1" max="2" width="3.33203125" style="31" hidden="1" customWidth="1"/>
    <col min="3" max="3" width="2.5" style="31" customWidth="1"/>
    <col min="4" max="4" width="13.83203125" style="31" customWidth="1"/>
    <col min="5" max="5" width="51.33203125" style="32" bestFit="1" customWidth="1"/>
    <col min="6" max="6" width="15.83203125" style="33" bestFit="1" customWidth="1"/>
    <col min="7" max="9" width="13.33203125" style="31" customWidth="1"/>
    <col min="10" max="10" width="48.83203125" style="31" customWidth="1"/>
    <col min="11" max="11" width="2.5" style="31" customWidth="1"/>
    <col min="12" max="12" width="0" style="31" hidden="1" customWidth="1"/>
    <col min="13" max="16384" width="9" style="31" hidden="1"/>
  </cols>
  <sheetData>
    <row r="3" spans="4:10" x14ac:dyDescent="0.2"/>
    <row r="4" spans="4:10" ht="19" x14ac:dyDescent="0.25">
      <c r="D4" s="44" t="s">
        <v>108</v>
      </c>
      <c r="E4" s="45"/>
      <c r="F4" s="46"/>
      <c r="G4" s="47"/>
      <c r="H4" s="47"/>
      <c r="I4" s="47"/>
      <c r="J4" s="34" t="s">
        <v>82</v>
      </c>
    </row>
    <row r="5" spans="4:10" ht="40" x14ac:dyDescent="0.2">
      <c r="D5" s="49" t="s">
        <v>36</v>
      </c>
      <c r="E5" s="49"/>
      <c r="F5" s="49"/>
      <c r="G5" s="49"/>
      <c r="H5" s="49"/>
      <c r="I5" s="49"/>
      <c r="J5" s="49"/>
    </row>
    <row r="6" spans="4:10" ht="20" x14ac:dyDescent="0.2">
      <c r="D6" s="42" t="s">
        <v>30</v>
      </c>
      <c r="E6" s="42" t="s">
        <v>105</v>
      </c>
      <c r="F6" s="42" t="s">
        <v>31</v>
      </c>
      <c r="G6" s="42" t="s">
        <v>32</v>
      </c>
      <c r="H6" s="42" t="s">
        <v>33</v>
      </c>
      <c r="I6" s="42" t="s">
        <v>34</v>
      </c>
      <c r="J6" s="42" t="s">
        <v>35</v>
      </c>
    </row>
    <row r="7" spans="4:10" ht="60" x14ac:dyDescent="0.2">
      <c r="D7" s="35">
        <v>1</v>
      </c>
      <c r="E7" s="36" t="s">
        <v>107</v>
      </c>
      <c r="F7" s="37">
        <v>44720</v>
      </c>
      <c r="G7" s="35" t="s">
        <v>37</v>
      </c>
      <c r="H7" s="35"/>
      <c r="I7" s="35"/>
      <c r="J7" s="36"/>
    </row>
    <row r="8" spans="4:10" ht="40" x14ac:dyDescent="0.2">
      <c r="D8" s="35">
        <v>2</v>
      </c>
      <c r="E8" s="36" t="s">
        <v>106</v>
      </c>
      <c r="F8" s="37">
        <v>44818</v>
      </c>
      <c r="G8" s="35" t="s">
        <v>37</v>
      </c>
      <c r="H8" s="35"/>
      <c r="I8" s="35"/>
      <c r="J8" s="36"/>
    </row>
    <row r="9" spans="4:10" ht="80" x14ac:dyDescent="0.2">
      <c r="D9" s="35">
        <v>3</v>
      </c>
      <c r="E9" s="36" t="s">
        <v>110</v>
      </c>
      <c r="F9" s="37">
        <v>45649</v>
      </c>
      <c r="G9" s="35" t="s">
        <v>37</v>
      </c>
      <c r="H9" s="35"/>
      <c r="I9" s="35"/>
      <c r="J9" s="36" t="s">
        <v>111</v>
      </c>
    </row>
    <row r="10" spans="4:10" ht="19" x14ac:dyDescent="0.2">
      <c r="D10" s="35">
        <v>4</v>
      </c>
      <c r="E10" s="36"/>
      <c r="F10" s="37"/>
      <c r="G10" s="35"/>
      <c r="H10" s="35"/>
      <c r="I10" s="35"/>
      <c r="J10" s="36"/>
    </row>
    <row r="11" spans="4:10" ht="19" x14ac:dyDescent="0.2">
      <c r="D11" s="35">
        <v>5</v>
      </c>
      <c r="E11" s="36"/>
      <c r="F11" s="37"/>
      <c r="G11" s="35"/>
      <c r="H11" s="35"/>
      <c r="I11" s="35"/>
      <c r="J11" s="36"/>
    </row>
    <row r="12" spans="4:10" ht="19" x14ac:dyDescent="0.2">
      <c r="D12" s="35">
        <v>6</v>
      </c>
      <c r="E12" s="36"/>
      <c r="F12" s="37"/>
      <c r="G12" s="35"/>
      <c r="H12" s="35"/>
      <c r="I12" s="35"/>
      <c r="J12" s="36"/>
    </row>
    <row r="13" spans="4:10" ht="19" x14ac:dyDescent="0.2">
      <c r="D13" s="35">
        <v>7</v>
      </c>
      <c r="E13" s="36"/>
      <c r="F13" s="37"/>
      <c r="G13" s="35"/>
      <c r="H13" s="35"/>
      <c r="I13" s="35"/>
      <c r="J13" s="36"/>
    </row>
    <row r="14" spans="4:10" ht="19" x14ac:dyDescent="0.2">
      <c r="D14" s="35">
        <v>8</v>
      </c>
      <c r="E14" s="36"/>
      <c r="F14" s="37"/>
      <c r="G14" s="35"/>
      <c r="H14" s="35"/>
      <c r="I14" s="35"/>
      <c r="J14" s="36"/>
    </row>
    <row r="15" spans="4:10" ht="19" x14ac:dyDescent="0.2">
      <c r="D15" s="35">
        <v>9</v>
      </c>
      <c r="E15" s="36"/>
      <c r="F15" s="37"/>
      <c r="G15" s="35"/>
      <c r="H15" s="35"/>
      <c r="I15" s="35"/>
      <c r="J15" s="36"/>
    </row>
    <row r="16" spans="4:10" ht="19" x14ac:dyDescent="0.2">
      <c r="D16" s="35">
        <v>10</v>
      </c>
      <c r="E16" s="36"/>
      <c r="F16" s="37"/>
      <c r="G16" s="35"/>
      <c r="H16" s="35"/>
      <c r="I16" s="35"/>
      <c r="J16" s="38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  <row r="30" x14ac:dyDescent="0.2"/>
    <row r="31" x14ac:dyDescent="0.2"/>
    <row r="32" x14ac:dyDescent="0.2"/>
    <row r="33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721D8652-1704-4B6C-943A-FBCC4E95C13C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CA7799-6226-144C-96F7-6246B77A06C0}">
  <sheetPr codeName="Sheet22">
    <tabColor rgb="FF00B050"/>
  </sheetPr>
  <dimension ref="A1:K12"/>
  <sheetViews>
    <sheetView showGridLines="0" tabSelected="1" topLeftCell="A2" zoomScaleNormal="100" zoomScaleSheetLayoutView="85" workbookViewId="0">
      <pane ySplit="8" topLeftCell="A10" activePane="bottomLeft" state="frozen"/>
      <selection activeCell="B2" sqref="B2"/>
      <selection pane="bottomLeft" activeCell="I2" sqref="F1:I1048576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39" t="str">
        <f>'Revision History'!D4</f>
        <v>REV. NO.2 (9/14/2022)</v>
      </c>
      <c r="B2" s="40"/>
      <c r="C2" s="40"/>
      <c r="D2" s="40"/>
      <c r="E2" s="40"/>
      <c r="F2" s="40"/>
      <c r="G2" s="40"/>
      <c r="H2" s="40"/>
      <c r="I2" s="40"/>
      <c r="J2" s="41" t="str">
        <f>'Revision History'!J4</f>
        <v>Scott Research Group (jkscottresearchgroup.com)</v>
      </c>
    </row>
    <row r="3" spans="1:10" ht="19" x14ac:dyDescent="0.2">
      <c r="A3" s="50" t="s">
        <v>29</v>
      </c>
      <c r="B3" s="50"/>
      <c r="C3" s="50"/>
      <c r="D3" s="50"/>
      <c r="E3" s="50"/>
      <c r="F3" s="50"/>
      <c r="G3" s="50"/>
      <c r="H3" s="50"/>
      <c r="I3" s="50"/>
      <c r="J3" s="50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1" t="str">
        <f>IF(COUNTIF(Table11082[Test 3],1)=COUNTA(Table11082[Value]),"Ready","Not Ready")</f>
        <v>Ready</v>
      </c>
    </row>
    <row r="5" spans="1:10" ht="14.5" customHeight="1" x14ac:dyDescent="0.2">
      <c r="A5" s="17"/>
      <c r="B5" s="18"/>
      <c r="C5" s="43"/>
      <c r="D5" s="43"/>
      <c r="E5" s="43"/>
      <c r="F5" s="43"/>
      <c r="G5" s="19"/>
      <c r="H5" s="43"/>
      <c r="I5" s="43"/>
      <c r="J5" s="52"/>
    </row>
    <row r="6" spans="1:10" ht="14.5" customHeight="1" x14ac:dyDescent="0.2">
      <c r="A6" s="17"/>
      <c r="B6" s="18"/>
      <c r="C6" s="43"/>
      <c r="D6" s="43"/>
      <c r="E6" s="43"/>
      <c r="F6" s="43"/>
      <c r="G6" s="19"/>
      <c r="H6" s="43"/>
      <c r="I6" s="43"/>
      <c r="J6" s="52"/>
    </row>
    <row r="7" spans="1:10" ht="14.5" customHeight="1" x14ac:dyDescent="0.2">
      <c r="A7" s="17"/>
      <c r="B7" s="18"/>
      <c r="C7" s="43"/>
      <c r="D7" s="43"/>
      <c r="E7" s="43"/>
      <c r="F7" s="43"/>
      <c r="G7" s="19"/>
      <c r="H7" s="43"/>
      <c r="I7" s="43"/>
      <c r="J7" s="52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53"/>
    </row>
    <row r="9" spans="1:10" ht="16" x14ac:dyDescent="0.2">
      <c r="A9" s="25" t="s">
        <v>0</v>
      </c>
      <c r="B9" s="26" t="s">
        <v>1</v>
      </c>
      <c r="C9" s="26" t="s">
        <v>2</v>
      </c>
      <c r="D9" s="26" t="s">
        <v>14</v>
      </c>
      <c r="E9" s="26" t="s">
        <v>62</v>
      </c>
      <c r="F9" s="27" t="s">
        <v>38</v>
      </c>
      <c r="G9" s="27" t="s">
        <v>63</v>
      </c>
      <c r="H9" s="26" t="s">
        <v>64</v>
      </c>
      <c r="I9" s="28" t="s">
        <v>71</v>
      </c>
      <c r="J9" s="28" t="s">
        <v>12</v>
      </c>
    </row>
    <row r="10" spans="1:10" ht="48" x14ac:dyDescent="0.2">
      <c r="A10" s="4" t="s">
        <v>92</v>
      </c>
      <c r="B10" s="29">
        <v>0.01</v>
      </c>
      <c r="C10" s="2" t="s">
        <v>3</v>
      </c>
      <c r="D10" s="1" t="s">
        <v>22</v>
      </c>
      <c r="E10" s="1" t="s">
        <v>7</v>
      </c>
      <c r="F10" s="2" t="s">
        <v>39</v>
      </c>
      <c r="G10" s="1">
        <v>1</v>
      </c>
      <c r="H10" s="48">
        <f>[1]Initialization!$B$10</f>
        <v>2</v>
      </c>
      <c r="I10" s="6">
        <v>1</v>
      </c>
      <c r="J10" s="5" t="s">
        <v>109</v>
      </c>
    </row>
    <row r="11" spans="1:10" ht="48" x14ac:dyDescent="0.2">
      <c r="A11" s="4" t="s">
        <v>93</v>
      </c>
      <c r="B11" s="29">
        <v>0.99</v>
      </c>
      <c r="C11" s="2" t="s">
        <v>3</v>
      </c>
      <c r="D11" s="1" t="s">
        <v>22</v>
      </c>
      <c r="E11" s="1" t="s">
        <v>7</v>
      </c>
      <c r="F11" s="2" t="s">
        <v>39</v>
      </c>
      <c r="G11" s="1"/>
      <c r="H11" s="48">
        <f>[1]Initialization!$B$10</f>
        <v>2</v>
      </c>
      <c r="I11" s="6">
        <v>1</v>
      </c>
      <c r="J11" s="5" t="s">
        <v>109</v>
      </c>
    </row>
    <row r="12" spans="1:10" ht="16" x14ac:dyDescent="0.2">
      <c r="A12" s="8" t="s">
        <v>75</v>
      </c>
      <c r="B12" s="30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76</v>
      </c>
    </row>
  </sheetData>
  <sheetProtection algorithmName="SHA-512" hashValue="2wf5ERnrnBdPe0qlZyINMxMwmnFTMVn/pYJgrCdXOKzsrDTZZSnVcF7knIPRvTPKrjr3L8mReKYz4Q/gWy0JfA==" saltValue="T21GpRbJXnYzw0tkKZW5WA==" spinCount="100000" sheet="1" objects="1" scenarios="1" selectLockedCells="1"/>
  <mergeCells count="2">
    <mergeCell ref="A3:J3"/>
    <mergeCell ref="J4:J8"/>
  </mergeCells>
  <conditionalFormatting sqref="B10:B12">
    <cfRule type="expression" dxfId="4" priority="1">
      <formula>IF(AND($B10&lt;&gt;"",$I10=0),1,0)</formula>
    </cfRule>
    <cfRule type="expression" dxfId="3" priority="2">
      <formula>IF($B10&lt;&gt;"",1,0)</formula>
    </cfRule>
    <cfRule type="expression" dxfId="2" priority="3">
      <formula>$I10=0</formula>
    </cfRule>
  </conditionalFormatting>
  <conditionalFormatting sqref="J4">
    <cfRule type="expression" dxfId="1" priority="12">
      <formula>IF(COUNTA($B$10:$B$12)&lt;&gt;COUNTIF($I$10:$I$12,1),1,0)</formula>
    </cfRule>
    <cfRule type="expression" dxfId="0" priority="1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4993" r:id="rId4" name="Button 1">
              <controlPr defaultSize="0" autoFill="0" autoPict="0" macro="[2]!Macros.initComs">
                <anchor moveWithCells="1" sizeWithCells="1">
                  <from>
                    <xdr:col>0</xdr:col>
                    <xdr:colOff>177800</xdr:colOff>
                    <xdr:row>4</xdr:row>
                    <xdr:rowOff>76200</xdr:rowOff>
                  </from>
                  <to>
                    <xdr:col>1</xdr:col>
                    <xdr:colOff>927100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994" r:id="rId5" name="Button 2">
              <controlPr defaultSize="0" autoFill="0" autoPict="0" macro="[2]!Macros.pushData">
                <anchor moveWithCells="1" sizeWithCells="1">
                  <from>
                    <xdr:col>1</xdr:col>
                    <xdr:colOff>1016000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995" r:id="rId6" name="Button 3">
              <controlPr defaultSize="0" autoFill="0" autoPict="0" macro="[2]!Macros.clearData">
                <anchor moveWithCells="1" sizeWithCells="1">
                  <from>
                    <xdr:col>3</xdr:col>
                    <xdr:colOff>139700</xdr:colOff>
                    <xdr:row>4</xdr:row>
                    <xdr:rowOff>76200</xdr:rowOff>
                  </from>
                  <to>
                    <xdr:col>4</xdr:col>
                    <xdr:colOff>393700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38</v>
      </c>
      <c r="D1" t="s">
        <v>65</v>
      </c>
      <c r="E1" t="s">
        <v>66</v>
      </c>
      <c r="F1" t="s">
        <v>67</v>
      </c>
      <c r="G1" s="1" t="s">
        <v>68</v>
      </c>
      <c r="H1" s="1" t="s">
        <v>69</v>
      </c>
      <c r="I1" s="1" t="s">
        <v>70</v>
      </c>
      <c r="J1" s="7" t="s">
        <v>72</v>
      </c>
      <c r="K1" s="7" t="s">
        <v>6</v>
      </c>
      <c r="L1" t="s">
        <v>80</v>
      </c>
      <c r="M1" t="s">
        <v>77</v>
      </c>
      <c r="N1" t="s">
        <v>78</v>
      </c>
      <c r="O1" t="s">
        <v>81</v>
      </c>
      <c r="P1" t="s">
        <v>86</v>
      </c>
      <c r="Q1" t="s">
        <v>89</v>
      </c>
      <c r="R1" t="s">
        <v>90</v>
      </c>
      <c r="S1" t="s">
        <v>91</v>
      </c>
      <c r="T1" t="s">
        <v>96</v>
      </c>
      <c r="U1" t="s">
        <v>97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24</v>
      </c>
      <c r="C3" t="s">
        <v>39</v>
      </c>
      <c r="D3" t="s">
        <v>73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98</v>
      </c>
    </row>
    <row r="4" spans="1:21" x14ac:dyDescent="0.2">
      <c r="A4" t="s">
        <v>79</v>
      </c>
      <c r="B4" t="s">
        <v>21</v>
      </c>
      <c r="C4" t="s">
        <v>43</v>
      </c>
      <c r="D4" t="s">
        <v>74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99</v>
      </c>
    </row>
    <row r="5" spans="1:21" x14ac:dyDescent="0.2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100</v>
      </c>
    </row>
    <row r="6" spans="1:21" x14ac:dyDescent="0.2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101</v>
      </c>
    </row>
    <row r="7" spans="1:21" x14ac:dyDescent="0.2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102</v>
      </c>
    </row>
    <row r="8" spans="1:21" x14ac:dyDescent="0.2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103</v>
      </c>
    </row>
    <row r="9" spans="1:21" x14ac:dyDescent="0.2">
      <c r="B9" t="s">
        <v>87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104</v>
      </c>
    </row>
    <row r="10" spans="1:21" x14ac:dyDescent="0.2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94</v>
      </c>
    </row>
    <row r="12" spans="1:21" x14ac:dyDescent="0.2">
      <c r="B12" t="s">
        <v>88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51</v>
      </c>
      <c r="J13">
        <v>1</v>
      </c>
    </row>
    <row r="14" spans="1:21" x14ac:dyDescent="0.2">
      <c r="B14" t="s">
        <v>20</v>
      </c>
      <c r="C14" t="s">
        <v>52</v>
      </c>
      <c r="J14">
        <v>2</v>
      </c>
    </row>
    <row r="15" spans="1:21" x14ac:dyDescent="0.2">
      <c r="B15" t="s">
        <v>15</v>
      </c>
      <c r="C15" t="s">
        <v>53</v>
      </c>
    </row>
    <row r="16" spans="1:21" x14ac:dyDescent="0.2">
      <c r="B16" t="s">
        <v>57</v>
      </c>
      <c r="C16" t="s">
        <v>54</v>
      </c>
      <c r="J16" t="s">
        <v>95</v>
      </c>
    </row>
    <row r="17" spans="2:10" x14ac:dyDescent="0.2">
      <c r="B17" t="s">
        <v>18</v>
      </c>
      <c r="C17" t="s">
        <v>55</v>
      </c>
      <c r="J17" t="s">
        <v>8</v>
      </c>
    </row>
    <row r="18" spans="2:10" x14ac:dyDescent="0.2">
      <c r="B18" t="s">
        <v>19</v>
      </c>
      <c r="C18" t="s">
        <v>56</v>
      </c>
      <c r="J18">
        <v>1</v>
      </c>
    </row>
    <row r="19" spans="2:10" x14ac:dyDescent="0.2">
      <c r="C19" t="s">
        <v>28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41</v>
      </c>
      <c r="J21">
        <v>4</v>
      </c>
    </row>
    <row r="22" spans="2:10" x14ac:dyDescent="0.2">
      <c r="C22" t="s">
        <v>40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85</v>
      </c>
    </row>
    <row r="2" spans="1:1" x14ac:dyDescent="0.2">
      <c r="A2" t="s">
        <v>83</v>
      </c>
    </row>
    <row r="3" spans="1:1" x14ac:dyDescent="0.2">
      <c r="A3" t="s">
        <v>84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C2"/>
  <sheetViews>
    <sheetView topLeftCell="CF1" workbookViewId="0">
      <selection activeCell="CM2" sqref="CM2"/>
    </sheetView>
  </sheetViews>
  <sheetFormatPr baseColWidth="10" defaultColWidth="8.83203125" defaultRowHeight="15" x14ac:dyDescent="0.2"/>
  <sheetData>
    <row r="1" spans="1:3" x14ac:dyDescent="0.2">
      <c r="A1" t="s">
        <v>92</v>
      </c>
      <c r="B1" t="s">
        <v>93</v>
      </c>
      <c r="C1" t="s">
        <v>75</v>
      </c>
    </row>
    <row r="2" spans="1:3" x14ac:dyDescent="0.2">
      <c r="A2">
        <v>0.01</v>
      </c>
      <c r="B2">
        <v>0.99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C2"/>
  <sheetViews>
    <sheetView topLeftCell="CC1" workbookViewId="0">
      <selection activeCell="CR2" sqref="CR2"/>
    </sheetView>
  </sheetViews>
  <sheetFormatPr baseColWidth="10" defaultColWidth="8.83203125" defaultRowHeight="15" x14ac:dyDescent="0.2"/>
  <sheetData>
    <row r="1" spans="1:3" x14ac:dyDescent="0.2">
      <c r="A1" t="s">
        <v>92</v>
      </c>
      <c r="B1" t="s">
        <v>93</v>
      </c>
      <c r="C1" t="s">
        <v>75</v>
      </c>
    </row>
    <row r="2" spans="1:3" x14ac:dyDescent="0.2">
      <c r="A2">
        <v>1</v>
      </c>
      <c r="B2">
        <v>1</v>
      </c>
      <c r="C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Revision History</vt:lpstr>
      <vt:lpstr>Stream Properties</vt:lpstr>
      <vt:lpstr>Reference</vt:lpstr>
      <vt:lpstr>maintenance check list</vt:lpstr>
      <vt:lpstr>Data(Transposed)</vt:lpstr>
      <vt:lpstr>Data(Test)</vt:lpstr>
      <vt:lpstr>'Revision History'!Print_Area</vt:lpstr>
      <vt:lpstr>'Stream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2025-02-17T23:26:52Z</dcterms:modified>
</cp:coreProperties>
</file>