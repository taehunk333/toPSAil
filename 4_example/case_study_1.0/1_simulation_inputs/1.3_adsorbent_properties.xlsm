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CD15F47C-44F1-4232-85F3-F9B4BEC26A82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B11" i="53"/>
  <c r="I13" i="53"/>
  <c r="I14" i="53"/>
  <c r="I34" i="53"/>
  <c r="H34" i="53"/>
  <c r="I33" i="53"/>
  <c r="H33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I23" i="53"/>
  <c r="H24" i="53"/>
  <c r="H23" i="53"/>
  <c r="I22" i="53"/>
  <c r="H22" i="53"/>
  <c r="I21" i="53"/>
  <c r="H21" i="53"/>
  <c r="I20" i="53"/>
  <c r="H20" i="53"/>
  <c r="I19" i="53"/>
  <c r="H19" i="53"/>
  <c r="I18" i="53" l="1"/>
  <c r="I17" i="53"/>
  <c r="H18" i="53"/>
  <c r="H17" i="53"/>
  <c r="I16" i="53"/>
  <c r="I15" i="53"/>
  <c r="I12" i="53"/>
  <c r="I11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<sst xmlns="http://schemas.openxmlformats.org/spreadsheetml/2006/main" count="503" uniqueCount="198">
  <si>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</si>
  <si>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</si>
  <si>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</si>
  <si>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</si>
  <si>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</si>
  <si>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</si>
  <si>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</si>
  <si>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</si>
  <si>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</si>
  <si>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</si>
  <si>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</si>
  <si>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</si>
  <si>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</si>
  <si>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</si>
  <si>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</si>
  <si>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</si>
  <si>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</si>
  <si>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</si>
  <si>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</si>
  <si>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</si>
  <si>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</si>
  <si>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</si>
  <si>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</si>
  <si>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</si>
  <si>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</si>
  <si>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</si>
  <si>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</si>
  <si>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</si>
  <si>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</si>
  <si>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</si>
  <si>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</si>
  <si>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</si>
  <si>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</si>
  <si>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</si>
  <si>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</si>
  <si>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</si>
  <si>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</si>
  <si>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</si>
  <si>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</si>
  <si>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</si>
  <si>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</si>
  <si>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</si>
  <si>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</si>
  <si>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</si>
  <si>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</si>
  <si>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</si>
  <si>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</si>
  <si>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</si>
  <si>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</si>
  <si>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</si>
  <si>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</si>
  <si>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</si>
  <si>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</si>
  <si>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</si>
  <si>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</si>
  <si>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</si>
  <si>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</si>
  <si>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</si>
  <si>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</si>
  <si>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</si>
  <si>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</si>
  <si>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</si>
  <si>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</si>
  <si>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</si>
  <si>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</si>
  <si>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</si>
  <si>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</si>
  <si>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</si>
  <si>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</si>
  <si>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</si>
  <si>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</si>
  <si>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</si>
  <si>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</si>
  <si>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</si>
  <si>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</si>
  <si>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</si>
  <si>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</si>
  <si>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</si>
  <si>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</si>
  <si>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</si>
  <si>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</si>
  <si>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</si>
  <si>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</si>
  <si>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</si>
  <si>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</si>
  <si>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</si>
  <si>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</si>
  <si>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</si>
  <si>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</si>
  <si>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</si>
  <si>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</si>
  <si>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</si>
  <si>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</si>
  <si>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</si>
  <si>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</si>
  <si>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</si>
  <si>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</si>
  <si>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</si>
  <si>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</si>
  <si>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</si>
  <si>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</si>
  <si>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</si>
  <si>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</si>
  <si>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</si>
  <si>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</si>
  <si>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</si>
  <si>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</si>
  <si>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</si>
  <si>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</si>
  <si>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</si>
  <si>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</si>
  <si>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</si>
  <si>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</si>
  <si>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</si>
  <si>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</si>
  <si>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</si>
  <si>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</si>
  <si>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</si>
  <si>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</si>
  <si>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</si>
  <si>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</si>
  <si>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</si>
  <si>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</si>
  <si>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</si>
  <si>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</si>
  <si>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</si>
  <si>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</si>
  <si>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</si>
  <si>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</si>
  <si>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</si>
  <si>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</si>
  <si>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</si>
  <si>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</si>
  <si>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</si>
  <si>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</si>
  <si>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</si>
  <si>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</si>
  <si>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</si>
  <si>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</si>
  <si>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</si>
  <si>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</si>
  <si>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</si>
  <si>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</si>
  <si>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</si>
  <si>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</si>
  <si>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</si>
  <si>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</si>
  <si>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</si>
  <si>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</si>
  <si>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</si>
  <si>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</si>
  <si>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</si>
  <si>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</si>
  <si>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</si>
  <si>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</si>
  <si>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</si>
  <si>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</si>
  <si>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</si>
  <si>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</si>
  <si>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</si>
  <si>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</si>
  <si>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</si>
  <si>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</si>
  <si>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</si>
  <si>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</si>
  <si>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</si>
  <si>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</si>
  <si>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</si>
  <si>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</si>
  <si>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</si>
  <si>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</si>
  <si>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</si>
  <si>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</si>
  <si>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</si>
  <si>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</si>
  <si>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</si>
  <si>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</si>
  <si>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</si>
  <si>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</si>
  <si>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</si>
  <si>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</si>
  <si>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</si>
  <si>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[Linear Isotherm] Henry's constant for component i; the first nLK components are the light keys. For an isothermal simulation, directly specify the parameter value at the isothermal temperature.</t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</si>
  <si>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</si>
  <si>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[Extended Langmuir Isotherm] Saturation constant for component i; the first nLK components are the light keys. For an isothermal simulation, directly specify the parameter value at the isothermal temperature.</t>
  </si>
  <si>
    <r>
      <t xml:space="preserve">[Multisite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</si>
  <si>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[Multisite Langmuir Isotherm] Saturation constant for component i; the first nLK components are the light keys. For an isothermal simulation, directly specify the parameter value at the isothermal temperature.</t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</si>
  <si>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</si>
  <si>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[Multisite Langmuir Isotherm] The pre-exponential fitting parameter for the ith component; the first nLK components are the light keys. For an isothermal simulation, directly specify the parameter value at the isothermal temperature.</t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</si>
  <si>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</si>
  <si>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[Multisite Langmuir Isotherm] The exponent of the isotherm function; the first nLK components are the light keys. For an isothermal simulation, directly specify the parameter value at the isothermal temperature.</t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</si>
  <si>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</si>
  <si>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[Extended Langmuir-Freundlich Isotherm] 
q_i^s (T) = kOneCi + kTwoCi * T
We are specifying kOneCi for the ith component; the first nLK components are the light keys. For an isothermal simulation, directly specify the parameter value at the isothermal temp</t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</si>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</sst>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7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6" dataDxfId="144" headerRowBorderDxfId="145" tableBorderDxfId="143" totalsRowBorderDxfId="142">
  <autoFilter ref="A9:J11" xr:uid="{B089C5C3-2CCE-4800-96CA-2131BB6E3E4F}"/>
  <tableColumns count="10">
    <tableColumn id="1" xr3:uid="{A63D443C-23FA-C546-879B-699C109A0CA2}" name="Variable" dataDxfId="141"/>
    <tableColumn id="4" xr3:uid="{1A5FFB41-EB4E-E74A-8922-4B34B9316DE5}" name="Value" dataDxfId="140"/>
    <tableColumn id="5" xr3:uid="{BF7F7945-F7EF-9B43-BD77-AD1154395D6F}" name="Unit" dataDxfId="139"/>
    <tableColumn id="6" xr3:uid="{97B66A41-BCC9-AB4A-9001-73F9BCD59411}" name="Comparisons" dataDxfId="138"/>
    <tableColumn id="7" xr3:uid="{0CC57FA7-D6D5-D04B-8A50-C681928970E3}" name="Variable Type" dataDxfId="137"/>
    <tableColumn id="8" xr3:uid="{793541F2-DD76-C241-9A02-11BCAFDBFB73}" name="Dependency" dataDxfId="136"/>
    <tableColumn id="12" xr3:uid="{77D37813-222C-3645-B2B0-7C5CE186734F}" name="Test 1" dataDxfId="135"/>
    <tableColumn id="10" xr3:uid="{705C6C59-C9FA-CF40-8C63-CC7BAA8D5513}" name="Test 2" dataDxfId="134"/>
    <tableColumn id="2" xr3:uid="{3CCF3320-E3BD-5A4C-926A-DD0EC2697FB0}" name="Test 3" dataDxfId="133"/>
    <tableColumn id="9" xr3:uid="{DFCD7E77-6792-EC4A-8937-7BD5661A57E7}" name="Description" dataDxfId="1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31" dataDxfId="129" headerRowBorderDxfId="130" tableBorderDxfId="128" totalsRowBorderDxfId="127">
  <autoFilter ref="A9:J13" xr:uid="{B089C5C3-2CCE-4800-96CA-2131BB6E3E4F}"/>
  <tableColumns count="10">
    <tableColumn id="1" xr3:uid="{20310A95-CEA4-0E46-A375-D38774A1331C}" name="Variable" dataDxfId="126"/>
    <tableColumn id="4" xr3:uid="{677D6E7A-ABBB-7F47-BEBA-202C00329494}" name="Value" dataDxfId="125"/>
    <tableColumn id="5" xr3:uid="{4C9D6E28-38C2-434B-8F96-F002277F8DF6}" name="Unit" dataDxfId="124"/>
    <tableColumn id="6" xr3:uid="{14421855-DDE0-1B4F-9E2F-0DCEAE184349}" name="Comparisons" dataDxfId="123"/>
    <tableColumn id="7" xr3:uid="{B52A6C11-F701-BB42-BCC5-C034770E9DBB}" name="Variable Type" dataDxfId="122"/>
    <tableColumn id="8" xr3:uid="{7995AC5C-141D-1241-85F4-ED670AA6D852}" name="Dependency" dataDxfId="121"/>
    <tableColumn id="12" xr3:uid="{36F66342-4897-3D48-B96B-71B0734889A5}" name="Test 1" dataDxfId="120"/>
    <tableColumn id="10" xr3:uid="{7FE5DC9B-6534-0E47-9DE7-3B926E4C9E93}" name="Test 2" dataDxfId="119"/>
    <tableColumn id="2" xr3:uid="{B9967632-3249-EA4A-A375-C9085B3EE56A}" name="Test 3" dataDxfId="118"/>
    <tableColumn id="9" xr3:uid="{A656D5B2-43BE-D144-B69B-B013AE6BC6D4}" name="Description" dataDxfId="1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6" dataDxfId="114" headerRowBorderDxfId="115" tableBorderDxfId="113" totalsRowBorderDxfId="112">
  <autoFilter ref="A9:J12" xr:uid="{B089C5C3-2CCE-4800-96CA-2131BB6E3E4F}"/>
  <tableColumns count="10">
    <tableColumn id="1" xr3:uid="{29F8658A-9F09-7042-A7EC-353D08C08D34}" name="Variable" dataDxfId="111"/>
    <tableColumn id="4" xr3:uid="{0AC5C09B-7B5C-9640-A6C7-5BA8E05A9F0D}" name="Value" dataDxfId="110"/>
    <tableColumn id="5" xr3:uid="{4A165AEE-D3E0-DB4C-9890-DA2D18843B58}" name="Unit" dataDxfId="109"/>
    <tableColumn id="6" xr3:uid="{23F62B44-EB3B-FD48-85F1-55541D28F146}" name="Comparisons" dataDxfId="108"/>
    <tableColumn id="7" xr3:uid="{24641755-61AF-6C44-A79C-0EC6F77B3090}" name="Variable Type" dataDxfId="107"/>
    <tableColumn id="8" xr3:uid="{8EB70C81-0937-1548-8A36-195915CD1F99}" name="Dependency" dataDxfId="106"/>
    <tableColumn id="12" xr3:uid="{636C1BEE-1088-1842-B84F-652A0A7EFF6A}" name="Test 1" dataDxfId="105"/>
    <tableColumn id="10" xr3:uid="{611EFDE4-0DDB-044D-8690-A970063DA108}" name="Test 2" dataDxfId="104"/>
    <tableColumn id="2" xr3:uid="{2E2B9EE9-BE3C-354D-8E63-B39DE80C44A0}" name="Test 3" dataDxfId="103"/>
    <tableColumn id="9" xr3:uid="{F8DFB1CD-985B-4E45-BA3D-DD47F4100DAE}" name="Description" dataDxfId="10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5" totalsRowShown="0" headerRowDxfId="101" dataDxfId="99" headerRowBorderDxfId="100" tableBorderDxfId="98" totalsRowBorderDxfId="97">
  <autoFilter ref="A9:J35" xr:uid="{B089C5C3-2CCE-4800-96CA-2131BB6E3E4F}"/>
  <tableColumns count="10">
    <tableColumn id="1" xr3:uid="{281F5226-2025-4C6E-999C-A8F575CB206B}" name="Variable" dataDxfId="96"/>
    <tableColumn id="4" xr3:uid="{907AC290-8B5F-4AFA-8DCB-C690B3734F6B}" name="Value" dataDxfId="95"/>
    <tableColumn id="5" xr3:uid="{76BE4CFE-05C6-43DC-A13C-4BFE2A2E4F38}" name="Unit" dataDxfId="94"/>
    <tableColumn id="6" xr3:uid="{8061F981-FF76-4C8B-B572-12CB713F43CB}" name="Comparisons" dataDxfId="93"/>
    <tableColumn id="7" xr3:uid="{2BCD4B9F-F682-4298-A3AA-A5F92D2263C4}" name="Variable Type" dataDxfId="92"/>
    <tableColumn id="8" xr3:uid="{1CC9FBBF-69F8-429A-814B-71DBAFF37359}" name="Dependency" dataDxfId="91"/>
    <tableColumn id="12" xr3:uid="{D2543F4F-0C85-4145-B5BB-64C7DAAA0F12}" name="Test 1" dataDxfId="90"/>
    <tableColumn id="10" xr3:uid="{4C9832B7-0AD2-4777-AAFC-C60DE2F7DA3B}" name="Test 2" dataDxfId="89"/>
    <tableColumn id="2" xr3:uid="{E95041DF-C927-4C37-AF74-78F291F45F62}" name="Test 3" dataDxfId="88"/>
    <tableColumn id="9" xr3:uid="{F7EA5B65-C16E-4E6D-B23B-ACC0E861E56F}" name="Description" dataDxfId="8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44E0B3A5-6A4B-4795-9F7F-DFBC306A75AE}" name="Variable" dataDxfId="81"/>
    <tableColumn id="4" xr3:uid="{34601FCC-65BC-4521-A6D7-320915B57F27}" name="Value" dataDxfId="80"/>
    <tableColumn id="5" xr3:uid="{36AA1FCE-8527-4F3E-BCD1-98FD13692D02}" name="Unit" dataDxfId="79"/>
    <tableColumn id="6" xr3:uid="{12237314-E311-4D61-9218-5391943A2DF3}" name="Comparisons" dataDxfId="78"/>
    <tableColumn id="7" xr3:uid="{602D3377-1190-430C-923B-FDC8A407022D}" name="Variable Type" dataDxfId="77"/>
    <tableColumn id="8" xr3:uid="{10F3779F-E5E0-418C-9D45-01C039CD3A06}" name="Dependency" dataDxfId="76"/>
    <tableColumn id="12" xr3:uid="{69811E65-CA30-400A-95DC-3E2E433E9B45}" name="Test 1" dataDxfId="75"/>
    <tableColumn id="10" xr3:uid="{653CF00F-2786-4470-A0B5-63F5C3F8853F}" name="Test 2" dataDxfId="74"/>
    <tableColumn id="2" xr3:uid="{FB2088F6-6335-4325-9E72-FE87533BD5DC}" name="Test 3" dataDxfId="73"/>
    <tableColumn id="9" xr3:uid="{5B622A13-3DAF-4FB5-869E-E869B7C199FB}" name="Description" dataDxfId="7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71" dataDxfId="69" headerRowBorderDxfId="70" tableBorderDxfId="68" totalsRowBorderDxfId="67">
  <autoFilter ref="A9:J11" xr:uid="{B089C5C3-2CCE-4800-96CA-2131BB6E3E4F}"/>
  <tableColumns count="10">
    <tableColumn id="1" xr3:uid="{DBE15C7C-7AE8-4197-9E17-CD007CF8C5FE}" name="Variable" dataDxfId="66"/>
    <tableColumn id="4" xr3:uid="{40508BC8-45BC-49EB-A17C-121430373278}" name="Value" dataDxfId="65"/>
    <tableColumn id="5" xr3:uid="{1CD86463-E067-4143-95C2-583D377FAAE6}" name="Unit" dataDxfId="64"/>
    <tableColumn id="6" xr3:uid="{1D18AAC5-0CB5-4DEB-B9B3-68FDCBC289FF}" name="Comparisons" dataDxfId="63"/>
    <tableColumn id="7" xr3:uid="{350A3D9D-FF88-48A6-9C9C-360DB7A75B19}" name="Variable Type" dataDxfId="62"/>
    <tableColumn id="8" xr3:uid="{C65F767F-A83E-4992-8442-9E9D0E9EE5C7}" name="Dependency" dataDxfId="61"/>
    <tableColumn id="12" xr3:uid="{CC077F18-CA37-4F98-A76A-E0D3A7D055BB}" name="Test 1" dataDxfId="60"/>
    <tableColumn id="10" xr3:uid="{F91A5AB3-846A-45A0-84A7-E06C47BD0B5C}" name="Test 2" dataDxfId="59"/>
    <tableColumn id="2" xr3:uid="{28BC6DC0-30C7-420F-8628-33D17D150141}" name="Test 3" dataDxfId="58"/>
    <tableColumn id="9" xr3:uid="{85DFE1D5-A6BC-434B-AF31-6872BC06B6FB}" name="Description" dataDxfId="5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56" priority="7">
      <formula>IF(AND($B11&lt;&gt;"",$I11=0),1,0)</formula>
    </cfRule>
    <cfRule type="expression" dxfId="55" priority="8">
      <formula>IF($B11&lt;&gt;"",1,0)</formula>
    </cfRule>
    <cfRule type="expression" dxfId="54" priority="9">
      <formula>$I11=0</formula>
    </cfRule>
  </conditionalFormatting>
  <conditionalFormatting sqref="B10">
    <cfRule type="expression" dxfId="53" priority="1">
      <formula>IF(AND($B10&lt;&gt;"",$I10=0),1,0)</formula>
    </cfRule>
    <cfRule type="expression" dxfId="52" priority="2">
      <formula>IF($B10&lt;&gt;"",1,0)</formula>
    </cfRule>
    <cfRule type="expression" dxfId="51" priority="3">
      <formula>$I10=0</formula>
    </cfRule>
  </conditionalFormatting>
  <conditionalFormatting sqref="J4">
    <cfRule type="expression" dxfId="50" priority="2056">
      <formula>IF(COUNTA($B$10:$B$11)&lt;&gt;COUNTIF($I$10:$I$11,1),1,0)</formula>
    </cfRule>
    <cfRule type="expression" dxfId="49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8" priority="7">
      <formula>IF(AND($B11&lt;&gt;"",$I11=0),1,0)</formula>
    </cfRule>
    <cfRule type="expression" dxfId="47" priority="8">
      <formula>IF($B11&lt;&gt;"",1,0)</formula>
    </cfRule>
    <cfRule type="expression" dxfId="46" priority="9">
      <formula>$I11=0</formula>
    </cfRule>
  </conditionalFormatting>
  <conditionalFormatting sqref="B10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J4">
    <cfRule type="expression" dxfId="42" priority="2058">
      <formula>IF(COUNTA($B$10:$B$13)&lt;&gt;COUNTIF($I$10:$I$13,1),1,0)</formula>
    </cfRule>
    <cfRule type="expression" dxfId="41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40" priority="7">
      <formula>IF(AND($B10&lt;&gt;"",$I10=0),1,0)</formula>
    </cfRule>
    <cfRule type="expression" dxfId="39" priority="8">
      <formula>IF($B10&lt;&gt;"",1,0)</formula>
    </cfRule>
    <cfRule type="expression" dxfId="38" priority="9">
      <formula>$I10=0</formula>
    </cfRule>
  </conditionalFormatting>
  <conditionalFormatting sqref="J4">
    <cfRule type="expression" dxfId="37" priority="2062">
      <formula>IF(COUNTA($B$10:$B$12)&lt;&gt;COUNTIF($I$10:$I$12,1),1,0)</formula>
    </cfRule>
    <cfRule type="expression" dxfId="36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73.2">
      <c r="A11" s="66" t="s">
        <v>157</v>
      </c>
      <c r="B11" s="33">
        <f>0.00328*760*1000/22413</f>
        <v>0.11122116628742247</v>
      </c>
      <c r="C11" s="64" t="s">
        <v>159</v>
      </c>
      <c r="D11" s="1" t="s">
        <v>24</v>
      </c>
      <c r="E11" s="1" t="s">
        <v>7</v>
      </c>
      <c r="F11" s="2" t="s">
        <v>5</v>
      </c>
      <c r="G11" s="63">
        <v>1</v>
      </c>
      <c r="H11" s="65">
        <f>[1]Initialization!$B$10</f>
        <v>2</v>
      </c>
      <c r="I11" s="68">
        <f>IF([2]!Table13[[#This Row],[Value]]=1,1,0)</f>
        <v>1</v>
      </c>
      <c r="J11" s="67" t="s">
        <v>181</v>
      </c>
    </row>
    <row r="12" spans="1:10" ht="72">
      <c r="A12" s="66" t="s">
        <v>158</v>
      </c>
      <c r="B12" s="33">
        <f>0.006*760*1000/22413</f>
        <v>0.20345335296479725</v>
      </c>
      <c r="C12" s="64" t="s">
        <v>159</v>
      </c>
      <c r="D12" s="1" t="s">
        <v>24</v>
      </c>
      <c r="E12" s="1" t="s">
        <v>7</v>
      </c>
      <c r="F12" s="2" t="s">
        <v>5</v>
      </c>
      <c r="G12" s="63"/>
      <c r="H12" s="65">
        <f>[1]Initialization!$B$10</f>
        <v>2</v>
      </c>
      <c r="I12" s="68">
        <f>IF([2]!Table13[[#This Row],[Value]]=1,1,0)</f>
        <v>1</v>
      </c>
      <c r="J12" s="67" t="s">
        <v>182</v>
      </c>
    </row>
    <row r="13" spans="1:10" ht="73.2">
      <c r="A13" s="4" t="s">
        <v>71</v>
      </c>
      <c r="B13" s="33"/>
      <c r="C13" s="64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IF('[2]Model Selection'!$B$10=2,1,0)</f>
        <v>0</v>
      </c>
      <c r="J13" s="5" t="s">
        <v>183</v>
      </c>
    </row>
    <row r="14" spans="1:10" ht="72">
      <c r="A14" s="4" t="s">
        <v>74</v>
      </c>
      <c r="B14" s="33"/>
      <c r="C14" s="64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IF('[2]Model Selection'!$B$10=2,1,0)</f>
        <v>0</v>
      </c>
      <c r="J14" s="5" t="s">
        <v>184</v>
      </c>
    </row>
    <row r="15" spans="1:10" ht="73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183</v>
      </c>
    </row>
    <row r="16" spans="1:10" ht="7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184</v>
      </c>
    </row>
    <row r="17" spans="1:10" ht="73.2">
      <c r="A17" s="4" t="s">
        <v>71</v>
      </c>
      <c r="B17" s="33"/>
      <c r="C17" s="64" t="s">
        <v>161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7" t="s">
        <v>185</v>
      </c>
    </row>
    <row r="18" spans="1:10" ht="72">
      <c r="A18" s="4" t="s">
        <v>74</v>
      </c>
      <c r="B18" s="33"/>
      <c r="C18" s="64" t="s">
        <v>161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67" t="s">
        <v>186</v>
      </c>
    </row>
    <row r="19" spans="1:10" ht="87.6">
      <c r="A19" s="66" t="s">
        <v>163</v>
      </c>
      <c r="B19" s="33"/>
      <c r="C19" s="64" t="s">
        <v>160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7" t="s">
        <v>187</v>
      </c>
    </row>
    <row r="20" spans="1:10" ht="86.4">
      <c r="A20" s="66" t="s">
        <v>164</v>
      </c>
      <c r="B20" s="33"/>
      <c r="C20" s="64" t="s">
        <v>160</v>
      </c>
      <c r="D20" s="1" t="s">
        <v>24</v>
      </c>
      <c r="E20" s="1" t="s">
        <v>7</v>
      </c>
      <c r="F20" s="2" t="s">
        <v>5</v>
      </c>
      <c r="G20" s="63"/>
      <c r="H20" s="55">
        <f>[1]Initialization!$B$10</f>
        <v>2</v>
      </c>
      <c r="I20" s="44">
        <f>IF('[2]Model Selection'!$B$10=3,1,0)</f>
        <v>0</v>
      </c>
      <c r="J20" s="67" t="s">
        <v>188</v>
      </c>
    </row>
    <row r="21" spans="1:10" ht="73.2">
      <c r="A21" s="66" t="s">
        <v>165</v>
      </c>
      <c r="B21" s="33"/>
      <c r="C21" s="64" t="s">
        <v>3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Selection'!$B$10=3,1,0)</f>
        <v>0</v>
      </c>
      <c r="J21" s="67" t="s">
        <v>189</v>
      </c>
    </row>
    <row r="22" spans="1:10" ht="72">
      <c r="A22" s="66" t="s">
        <v>166</v>
      </c>
      <c r="B22" s="33"/>
      <c r="C22" s="64" t="s">
        <v>3</v>
      </c>
      <c r="D22" s="1" t="s">
        <v>24</v>
      </c>
      <c r="E22" s="1" t="s">
        <v>7</v>
      </c>
      <c r="F22" s="2" t="s">
        <v>5</v>
      </c>
      <c r="G22" s="63"/>
      <c r="H22" s="55">
        <f>[1]Initialization!$B$10</f>
        <v>2</v>
      </c>
      <c r="I22" s="44">
        <f>IF('[2]Model Selection'!$B$10=3,1,0)</f>
        <v>0</v>
      </c>
      <c r="J22" s="67" t="s">
        <v>190</v>
      </c>
    </row>
    <row r="23" spans="1:10" ht="87.6">
      <c r="A23" s="66" t="s">
        <v>167</v>
      </c>
      <c r="B23" s="33"/>
      <c r="C23" s="64" t="s">
        <v>161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7" t="s">
        <v>191</v>
      </c>
    </row>
    <row r="24" spans="1:10" ht="86.4">
      <c r="A24" s="66" t="s">
        <v>168</v>
      </c>
      <c r="B24" s="33"/>
      <c r="C24" s="64" t="s">
        <v>161</v>
      </c>
      <c r="D24" s="1" t="s">
        <v>24</v>
      </c>
      <c r="E24" s="1" t="s">
        <v>7</v>
      </c>
      <c r="F24" s="2" t="s">
        <v>5</v>
      </c>
      <c r="G24" s="63"/>
      <c r="H24" s="55">
        <f>[1]Initialization!$B$10</f>
        <v>2</v>
      </c>
      <c r="I24" s="44">
        <f>IF('[2]Model Selection'!$B$10=4,1,0)</f>
        <v>0</v>
      </c>
      <c r="J24" s="67" t="s">
        <v>192</v>
      </c>
    </row>
    <row r="25" spans="1:10" ht="87.6">
      <c r="A25" s="66" t="s">
        <v>169</v>
      </c>
      <c r="B25" s="33"/>
      <c r="C25" s="64" t="s">
        <v>179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7" t="s">
        <v>193</v>
      </c>
    </row>
    <row r="26" spans="1:10" ht="87.6">
      <c r="A26" s="66" t="s">
        <v>170</v>
      </c>
      <c r="B26" s="33"/>
      <c r="C26" s="64" t="s">
        <v>179</v>
      </c>
      <c r="D26" s="1" t="s">
        <v>24</v>
      </c>
      <c r="E26" s="1" t="s">
        <v>7</v>
      </c>
      <c r="F26" s="2" t="s">
        <v>5</v>
      </c>
      <c r="G26" s="63"/>
      <c r="H26" s="55">
        <f>[1]Initialization!$B$10</f>
        <v>2</v>
      </c>
      <c r="I26" s="44">
        <f>IF('[2]Model Selection'!$B$10=4,1,0)</f>
        <v>0</v>
      </c>
      <c r="J26" s="67" t="s">
        <v>193</v>
      </c>
    </row>
    <row r="27" spans="1:10" ht="87.6">
      <c r="A27" s="66" t="s">
        <v>171</v>
      </c>
      <c r="B27" s="33"/>
      <c r="C27" s="64" t="s">
        <v>180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7" t="s">
        <v>194</v>
      </c>
    </row>
    <row r="28" spans="1:10" ht="87.6">
      <c r="A28" s="66" t="s">
        <v>172</v>
      </c>
      <c r="B28" s="33"/>
      <c r="C28" s="64" t="s">
        <v>180</v>
      </c>
      <c r="D28" s="1" t="s">
        <v>24</v>
      </c>
      <c r="E28" s="1" t="s">
        <v>7</v>
      </c>
      <c r="F28" s="2" t="s">
        <v>5</v>
      </c>
      <c r="G28" s="63"/>
      <c r="H28" s="55">
        <f>[1]Initialization!$B$10</f>
        <v>2</v>
      </c>
      <c r="I28" s="44">
        <f>IF('[2]Model Selection'!$B$10=4,1,0)</f>
        <v>0</v>
      </c>
      <c r="J28" s="67" t="s">
        <v>194</v>
      </c>
    </row>
    <row r="29" spans="1:10" ht="87.6">
      <c r="A29" s="66" t="s">
        <v>173</v>
      </c>
      <c r="B29" s="33"/>
      <c r="C29" s="64" t="s">
        <v>20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7" t="s">
        <v>195</v>
      </c>
    </row>
    <row r="30" spans="1:10" ht="87.6">
      <c r="A30" s="66" t="s">
        <v>174</v>
      </c>
      <c r="B30" s="33"/>
      <c r="C30" s="64" t="s">
        <v>20</v>
      </c>
      <c r="D30" s="1" t="s">
        <v>24</v>
      </c>
      <c r="E30" s="1" t="s">
        <v>7</v>
      </c>
      <c r="F30" s="2" t="s">
        <v>5</v>
      </c>
      <c r="G30" s="63"/>
      <c r="H30" s="55">
        <f>[1]Initialization!$B$10</f>
        <v>2</v>
      </c>
      <c r="I30" s="44">
        <f>IF('[2]Model Selection'!$B$10=4,1,0)</f>
        <v>0</v>
      </c>
      <c r="J30" s="67" t="s">
        <v>195</v>
      </c>
    </row>
    <row r="31" spans="1:10" ht="87.6">
      <c r="A31" s="66" t="s">
        <v>175</v>
      </c>
      <c r="B31" s="33"/>
      <c r="C31" s="64" t="s">
        <v>3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7" t="s">
        <v>196</v>
      </c>
    </row>
    <row r="32" spans="1:10" ht="87.6">
      <c r="A32" s="66" t="s">
        <v>176</v>
      </c>
      <c r="B32" s="33"/>
      <c r="C32" s="64" t="s">
        <v>3</v>
      </c>
      <c r="D32" s="1" t="s">
        <v>24</v>
      </c>
      <c r="E32" s="1" t="s">
        <v>7</v>
      </c>
      <c r="F32" s="2" t="s">
        <v>5</v>
      </c>
      <c r="G32" s="63"/>
      <c r="H32" s="55">
        <f>[1]Initialization!$B$10</f>
        <v>2</v>
      </c>
      <c r="I32" s="44">
        <f>IF('[2]Model Selection'!$B$10=4,1,0)</f>
        <v>0</v>
      </c>
      <c r="J32" s="67" t="s">
        <v>196</v>
      </c>
    </row>
    <row r="33" spans="1:10" ht="87.6">
      <c r="A33" s="66" t="s">
        <v>177</v>
      </c>
      <c r="B33" s="33"/>
      <c r="C33" s="64" t="s">
        <v>20</v>
      </c>
      <c r="D33" s="1" t="s">
        <v>24</v>
      </c>
      <c r="E33" s="1" t="s">
        <v>7</v>
      </c>
      <c r="F33" s="2" t="s">
        <v>5</v>
      </c>
      <c r="G33" s="1">
        <v>1</v>
      </c>
      <c r="H33" s="55">
        <f>[1]Initialization!$B$10</f>
        <v>2</v>
      </c>
      <c r="I33" s="44">
        <f>IF('[2]Model Selection'!$B$10=4,1,0)</f>
        <v>0</v>
      </c>
      <c r="J33" s="67" t="s">
        <v>197</v>
      </c>
    </row>
    <row r="34" spans="1:10" ht="87.6">
      <c r="A34" s="46" t="s">
        <v>178</v>
      </c>
      <c r="B34" s="33"/>
      <c r="C34" s="35" t="s">
        <v>20</v>
      </c>
      <c r="D34" s="1" t="s">
        <v>24</v>
      </c>
      <c r="E34" s="1" t="s">
        <v>7</v>
      </c>
      <c r="F34" s="2" t="s">
        <v>5</v>
      </c>
      <c r="G34" s="63"/>
      <c r="H34" s="55">
        <f>[1]Initialization!$B$10</f>
        <v>2</v>
      </c>
      <c r="I34" s="44">
        <f>IF('[2]Model Selection'!$B$10=4,1,0)</f>
        <v>0</v>
      </c>
      <c r="J34" s="67" t="s">
        <v>197</v>
      </c>
    </row>
    <row r="35" spans="1:10" ht="14.4">
      <c r="A35" s="8" t="s">
        <v>88</v>
      </c>
      <c r="B35" s="34"/>
      <c r="C35" s="9"/>
      <c r="D35" s="10"/>
      <c r="E35" s="10"/>
      <c r="F35" s="9"/>
      <c r="G35" s="10">
        <v>1</v>
      </c>
      <c r="H35" s="10">
        <v>1</v>
      </c>
      <c r="I35" s="11">
        <v>0</v>
      </c>
      <c r="J35" s="12" t="s">
        <v>89</v>
      </c>
    </row>
  </sheetData>
  <sheetProtection algorithmName="SHA-512" hashValue="0ZKyzc+BnuW9v8VbO3IIn2lr0IaSO7dJ2yVRbjy8F4cBrxfpE/UucrhQNKNjv4uMLOp4IjZttuc7kgWxgep8uw==" saltValue="W2lRnkXtYTheG+USTb23+Q==" spinCount="100000" sheet="1" objects="1" scenarios="1" selectLockedCells="1"/>
  <mergeCells count="2">
    <mergeCell ref="A3:J3"/>
    <mergeCell ref="J4:J8"/>
  </mergeCells>
  <conditionalFormatting sqref="B35">
    <cfRule type="expression" dxfId="19" priority="19">
      <formula>IF(AND($B35&lt;&gt;"",$I35=0),1,0)</formula>
    </cfRule>
    <cfRule type="expression" dxfId="18" priority="20">
      <formula>IF($B35&lt;&gt;"",1,0)</formula>
    </cfRule>
    <cfRule type="expression" dxfId="17" priority="21">
      <formula>$I35=0</formula>
    </cfRule>
  </conditionalFormatting>
  <conditionalFormatting sqref="J4">
    <cfRule type="expression" dxfId="16" priority="22">
      <formula>IF(COUNTA($B$10:$B$35)&lt;&gt;COUNTIF($I$10:$I$35,1),1,0)</formula>
    </cfRule>
    <cfRule type="expression" dxfId="15" priority="23">
      <formula>IF(COUNTA($B$10:$B$35)=COUNTIF($I$10:$I$35,1),1,0)</formula>
    </cfRule>
  </conditionalFormatting>
  <conditionalFormatting sqref="B13">
    <cfRule type="expression" dxfId="14" priority="10">
      <formula>IF(AND($B13&lt;&gt;"",$I13=0),1,0)</formula>
    </cfRule>
    <cfRule type="expression" dxfId="13" priority="11">
      <formula>IF($B13&lt;&gt;"",1,0)</formula>
    </cfRule>
    <cfRule type="expression" dxfId="12" priority="12">
      <formula>$I13=0</formula>
    </cfRule>
  </conditionalFormatting>
  <conditionalFormatting sqref="B10">
    <cfRule type="expression" dxfId="11" priority="7">
      <formula>IF(AND($B10&lt;&gt;"",$I10=0),1,0)</formula>
    </cfRule>
    <cfRule type="expression" dxfId="10" priority="8">
      <formula>IF($B10&lt;&gt;"",1,0)</formula>
    </cfRule>
    <cfRule type="expression" dxfId="9" priority="9">
      <formula>$I10=0</formula>
    </cfRule>
  </conditionalFormatting>
  <conditionalFormatting sqref="B17">
    <cfRule type="expression" dxfId="8" priority="1">
      <formula>IF(AND($B17&lt;&gt;"",$I17=0),1,0)</formula>
    </cfRule>
    <cfRule type="expression" dxfId="7" priority="2">
      <formula>IF($B17&lt;&gt;"",1,0)</formula>
    </cfRule>
    <cfRule type="expression" dxfId="6" priority="3">
      <formula>$I17=0</formula>
    </cfRule>
  </conditionalFormatting>
  <conditionalFormatting sqref="B18">
    <cfRule type="expression" dxfId="5" priority="4">
      <formula>IF(AND($B18&lt;&gt;"",$I18=0),1,0)</formula>
    </cfRule>
    <cfRule type="expression" dxfId="4" priority="5">
      <formula>IF($B18&lt;&gt;"",1,0)</formula>
    </cfRule>
    <cfRule type="expression" dxfId="3" priority="6">
      <formula>$I18=0</formula>
    </cfRule>
  </conditionalFormatting>
  <conditionalFormatting sqref="B10:B1048576">
    <cfRule type="expression" dxfId="2" priority="13">
      <formula>IF(AND($B10&lt;&gt;"",$I10=0),1,0)</formula>
    </cfRule>
    <cfRule type="expression" dxfId="1" priority="14">
      <formula>IF($B10&lt;&gt;"",1,0)</formula>
    </cfRule>
    <cfRule type="expression" dxfId="0" priority="15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35" priority="10">
      <formula>IF(AND($B12&lt;&gt;"",$I12=0),1,0)</formula>
    </cfRule>
    <cfRule type="expression" dxfId="34" priority="11">
      <formula>IF($B12&lt;&gt;"",1,0)</formula>
    </cfRule>
    <cfRule type="expression" dxfId="33" priority="12">
      <formula>$I12=0</formula>
    </cfRule>
  </conditionalFormatting>
  <conditionalFormatting sqref="B10:B11">
    <cfRule type="expression" dxfId="32" priority="1">
      <formula>IF(AND($B10&lt;&gt;"",$I10=0),1,0)</formula>
    </cfRule>
    <cfRule type="expression" dxfId="31" priority="2">
      <formula>IF($B10&lt;&gt;"",1,0)</formula>
    </cfRule>
    <cfRule type="expression" dxfId="30" priority="3">
      <formula>$I10=0</formula>
    </cfRule>
  </conditionalFormatting>
  <conditionalFormatting sqref="J4">
    <cfRule type="expression" dxfId="29" priority="2052">
      <formula>IF(COUNTA($B$10:$B$12)&lt;&gt;COUNTIF($I$10:$I$12,1),1,0)</formula>
    </cfRule>
    <cfRule type="expression" dxfId="2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jeoD6kWEnkDnttlu5zt8LKYmPEpeSTLX69J5x92xZR8kpM7w6c2mv6xEJAT3Y2XA852rUHvEJSeooYVxAQybw==" saltValue="xBHZzXXwK5ThbwG5Fmmw1A==" spinCount="100000" sheet="1" objects="1" scenarios="1" selectLockedCells="1"/>
  <mergeCells count="2">
    <mergeCell ref="A3:J3"/>
    <mergeCell ref="J4:J8"/>
  </mergeCells>
  <conditionalFormatting sqref="B11">
    <cfRule type="expression" dxfId="27" priority="7">
      <formula>IF(AND($B11&lt;&gt;"",$I11=0),1,0)</formula>
    </cfRule>
    <cfRule type="expression" dxfId="26" priority="8">
      <formula>IF($B11&lt;&gt;"",1,0)</formula>
    </cfRule>
    <cfRule type="expression" dxfId="25" priority="9">
      <formula>$I11=0</formula>
    </cfRule>
  </conditionalFormatting>
  <conditionalFormatting sqref="B10">
    <cfRule type="expression" dxfId="24" priority="1">
      <formula>IF(AND($B10&lt;&gt;"",$I10=0),1,0)</formula>
    </cfRule>
    <cfRule type="expression" dxfId="23" priority="2">
      <formula>IF($B10&lt;&gt;"",1,0)</formula>
    </cfRule>
    <cfRule type="expression" dxfId="22" priority="3">
      <formula>$I10=0</formula>
    </cfRule>
  </conditionalFormatting>
  <conditionalFormatting sqref="J4">
    <cfRule type="expression" dxfId="21" priority="2054">
      <formula>IF(COUNTA($B$10:$B$11)&lt;&gt;COUNTIF($I$10:$I$11,1),1,0)</formula>
    </cfRule>
    <cfRule type="expression" dxfId="20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1" t="s">
        <v>103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N2"/>
  <sheetViews>
    <sheetView topLeftCell="CF1" workbookViewId="0">
      <selection activeCell="CM2" sqref="CM2"/>
    </sheetView>
  </sheetViews>
  <sheetFormatPr defaultColWidth="8.77734375" defaultRowHeight="14.4"/>
  <sheetData>
    <row r="1" spans="1:4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71</v>
      </c>
      <c r="R1" t="s">
        <v>74</v>
      </c>
      <c r="S1" t="s">
        <v>163</v>
      </c>
      <c r="T1" t="s">
        <v>164</v>
      </c>
      <c r="U1" t="s">
        <v>165</v>
      </c>
      <c r="V1" t="s">
        <v>166</v>
      </c>
      <c r="W1" t="s">
        <v>167</v>
      </c>
      <c r="X1" t="s">
        <v>168</v>
      </c>
      <c r="Y1" t="s">
        <v>169</v>
      </c>
      <c r="Z1" t="s">
        <v>170</v>
      </c>
      <c r="AA1" t="s">
        <v>171</v>
      </c>
      <c r="AB1" t="s">
        <v>172</v>
      </c>
      <c r="AC1" t="s">
        <v>173</v>
      </c>
      <c r="AD1" t="s">
        <v>174</v>
      </c>
      <c r="AE1" t="s">
        <v>175</v>
      </c>
      <c r="AF1" t="s">
        <v>176</v>
      </c>
      <c r="AG1" t="s">
        <v>177</v>
      </c>
      <c r="AH1" t="s">
        <v>178</v>
      </c>
      <c r="AI1" t="s">
        <v>88</v>
      </c>
      <c r="AJ1" t="s">
        <v>84</v>
      </c>
      <c r="AK1" t="s">
        <v>85</v>
      </c>
      <c r="AL1" t="s">
        <v>88</v>
      </c>
      <c r="AM1" t="s">
        <v>127</v>
      </c>
      <c r="AN1" t="s">
        <v>88</v>
      </c>
    </row>
    <row r="2" spans="1:40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J2">
        <v>62</v>
      </c>
      <c r="AK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N2"/>
  <sheetViews>
    <sheetView topLeftCell="CC1" workbookViewId="0">
      <selection activeCell="CR2" sqref="CR2"/>
    </sheetView>
  </sheetViews>
  <sheetFormatPr defaultColWidth="8.77734375" defaultRowHeight="14.4"/>
  <sheetData>
    <row r="1" spans="1:4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71</v>
      </c>
      <c r="R1" t="s">
        <v>74</v>
      </c>
      <c r="S1" t="s">
        <v>163</v>
      </c>
      <c r="T1" t="s">
        <v>164</v>
      </c>
      <c r="U1" t="s">
        <v>165</v>
      </c>
      <c r="V1" t="s">
        <v>166</v>
      </c>
      <c r="W1" t="s">
        <v>167</v>
      </c>
      <c r="X1" t="s">
        <v>168</v>
      </c>
      <c r="Y1" t="s">
        <v>169</v>
      </c>
      <c r="Z1" t="s">
        <v>170</v>
      </c>
      <c r="AA1" t="s">
        <v>171</v>
      </c>
      <c r="AB1" t="s">
        <v>172</v>
      </c>
      <c r="AC1" t="s">
        <v>173</v>
      </c>
      <c r="AD1" t="s">
        <v>174</v>
      </c>
      <c r="AE1" t="s">
        <v>175</v>
      </c>
      <c r="AF1" t="s">
        <v>176</v>
      </c>
      <c r="AG1" t="s">
        <v>177</v>
      </c>
      <c r="AH1" t="s">
        <v>178</v>
      </c>
      <c r="AI1" t="s">
        <v>88</v>
      </c>
      <c r="AJ1" t="s">
        <v>84</v>
      </c>
      <c r="AK1" t="s">
        <v>85</v>
      </c>
      <c r="AL1" t="s">
        <v>88</v>
      </c>
      <c r="AM1" t="s">
        <v>127</v>
      </c>
      <c r="AN1" t="s">
        <v>88</v>
      </c>
    </row>
    <row r="2" spans="1:4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0</v>
      </c>
      <c r="AM2">
        <v>0</v>
      </c>
      <c r="AN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2022-10-26T00:47:41Z</dcterms:modified>
</cp:coreProperties>
</file>