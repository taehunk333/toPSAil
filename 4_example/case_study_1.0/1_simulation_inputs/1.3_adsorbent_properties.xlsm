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0B6960BF-AFD2-4970-BC92-C9917F9FF7FA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53" l="1"/>
  <c r="I12" i="53"/>
  <c r="B12" i="53" l="1"/>
  <c r="B11" i="53"/>
  <c r="I13" i="53"/>
  <c r="I14" i="53"/>
  <c r="I34" i="53"/>
  <c r="H34" i="53"/>
  <c r="I33" i="53"/>
  <c r="H33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I23" i="53"/>
  <c r="H24" i="53"/>
  <c r="H23" i="53"/>
  <c r="I22" i="53"/>
  <c r="H22" i="53"/>
  <c r="I21" i="53"/>
  <c r="H21" i="53"/>
  <c r="I20" i="53"/>
  <c r="H20" i="53"/>
  <c r="I19" i="53"/>
  <c r="H19" i="53"/>
  <c r="I18" i="53" l="1"/>
  <c r="I17" i="53"/>
  <c r="H18" i="53"/>
  <c r="H17" i="53"/>
  <c r="I16" i="53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<sst xmlns="http://schemas.openxmlformats.org/spreadsheetml/2006/main" count="503" uniqueCount="193">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</sst>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38" dataDxfId="136" headerRowBorderDxfId="137" tableBorderDxfId="135" totalsRowBorderDxfId="134">
  <autoFilter ref="A9:J11" xr:uid="{B089C5C3-2CCE-4800-96CA-2131BB6E3E4F}"/>
  <tableColumns count="10">
    <tableColumn id="1" xr3:uid="{A63D443C-23FA-C546-879B-699C109A0CA2}" name="Variable" dataDxfId="133"/>
    <tableColumn id="4" xr3:uid="{1A5FFB41-EB4E-E74A-8922-4B34B9316DE5}" name="Value" dataDxfId="132"/>
    <tableColumn id="5" xr3:uid="{BF7F7945-F7EF-9B43-BD77-AD1154395D6F}" name="Unit" dataDxfId="131"/>
    <tableColumn id="6" xr3:uid="{97B66A41-BCC9-AB4A-9001-73F9BCD59411}" name="Comparisons" dataDxfId="130"/>
    <tableColumn id="7" xr3:uid="{0CC57FA7-D6D5-D04B-8A50-C681928970E3}" name="Variable Type" dataDxfId="129"/>
    <tableColumn id="8" xr3:uid="{793541F2-DD76-C241-9A02-11BCAFDBFB73}" name="Dependency" dataDxfId="128"/>
    <tableColumn id="12" xr3:uid="{77D37813-222C-3645-B2B0-7C5CE186734F}" name="Test 1" dataDxfId="127"/>
    <tableColumn id="10" xr3:uid="{705C6C59-C9FA-CF40-8C63-CC7BAA8D5513}" name="Test 2" dataDxfId="126"/>
    <tableColumn id="2" xr3:uid="{3CCF3320-E3BD-5A4C-926A-DD0EC2697FB0}" name="Test 3" dataDxfId="125"/>
    <tableColumn id="9" xr3:uid="{DFCD7E77-6792-EC4A-8937-7BD5661A57E7}" name="Description" dataDxfId="1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15" dataDxfId="113" headerRowBorderDxfId="114" tableBorderDxfId="112" totalsRowBorderDxfId="111">
  <autoFilter ref="A9:J13" xr:uid="{B089C5C3-2CCE-4800-96CA-2131BB6E3E4F}"/>
  <tableColumns count="10">
    <tableColumn id="1" xr3:uid="{20310A95-CEA4-0E46-A375-D38774A1331C}" name="Variable" dataDxfId="110"/>
    <tableColumn id="4" xr3:uid="{677D6E7A-ABBB-7F47-BEBA-202C00329494}" name="Value" dataDxfId="109"/>
    <tableColumn id="5" xr3:uid="{4C9D6E28-38C2-434B-8F96-F002277F8DF6}" name="Unit" dataDxfId="108"/>
    <tableColumn id="6" xr3:uid="{14421855-DDE0-1B4F-9E2F-0DCEAE184349}" name="Comparisons" dataDxfId="107"/>
    <tableColumn id="7" xr3:uid="{B52A6C11-F701-BB42-BCC5-C034770E9DBB}" name="Variable Type" dataDxfId="106"/>
    <tableColumn id="8" xr3:uid="{7995AC5C-141D-1241-85F4-ED670AA6D852}" name="Dependency" dataDxfId="105"/>
    <tableColumn id="12" xr3:uid="{36F66342-4897-3D48-B96B-71B0734889A5}" name="Test 1" dataDxfId="104"/>
    <tableColumn id="10" xr3:uid="{7FE5DC9B-6534-0E47-9DE7-3B926E4C9E93}" name="Test 2" dataDxfId="103"/>
    <tableColumn id="2" xr3:uid="{B9967632-3249-EA4A-A375-C9085B3EE56A}" name="Test 3" dataDxfId="102"/>
    <tableColumn id="9" xr3:uid="{A656D5B2-43BE-D144-B69B-B013AE6BC6D4}" name="Description" dataDxfId="10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95" dataDxfId="93" headerRowBorderDxfId="94" tableBorderDxfId="92" totalsRowBorderDxfId="91">
  <autoFilter ref="A9:J12" xr:uid="{B089C5C3-2CCE-4800-96CA-2131BB6E3E4F}"/>
  <tableColumns count="10">
    <tableColumn id="1" xr3:uid="{29F8658A-9F09-7042-A7EC-353D08C08D34}" name="Variable" dataDxfId="90"/>
    <tableColumn id="4" xr3:uid="{0AC5C09B-7B5C-9640-A6C7-5BA8E05A9F0D}" name="Value" dataDxfId="89"/>
    <tableColumn id="5" xr3:uid="{4A165AEE-D3E0-DB4C-9890-DA2D18843B58}" name="Unit" dataDxfId="88"/>
    <tableColumn id="6" xr3:uid="{23F62B44-EB3B-FD48-85F1-55541D28F146}" name="Comparisons" dataDxfId="87"/>
    <tableColumn id="7" xr3:uid="{24641755-61AF-6C44-A79C-0EC6F77B3090}" name="Variable Type" dataDxfId="86"/>
    <tableColumn id="8" xr3:uid="{8EB70C81-0937-1548-8A36-195915CD1F99}" name="Dependency" dataDxfId="85"/>
    <tableColumn id="12" xr3:uid="{636C1BEE-1088-1842-B84F-652A0A7EFF6A}" name="Test 1" dataDxfId="84"/>
    <tableColumn id="10" xr3:uid="{611EFDE4-0DDB-044D-8690-A970063DA108}" name="Test 2" dataDxfId="83"/>
    <tableColumn id="2" xr3:uid="{2E2B9EE9-BE3C-354D-8E63-B39DE80C44A0}" name="Test 3" dataDxfId="82"/>
    <tableColumn id="9" xr3:uid="{F8DFB1CD-985B-4E45-BA3D-DD47F4100DAE}" name="Description" dataDxfId="8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5" totalsRowShown="0" headerRowDxfId="60" dataDxfId="58" headerRowBorderDxfId="59" tableBorderDxfId="57" totalsRowBorderDxfId="56">
  <autoFilter ref="A9:J3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46" priority="7">
      <formula>IF(AND($B11&lt;&gt;"",$I11=0),1,0)</formula>
    </cfRule>
    <cfRule type="expression" dxfId="145" priority="8">
      <formula>IF($B11&lt;&gt;"",1,0)</formula>
    </cfRule>
    <cfRule type="expression" dxfId="144" priority="9">
      <formula>$I11=0</formula>
    </cfRule>
  </conditionalFormatting>
  <conditionalFormatting sqref="B10">
    <cfRule type="expression" dxfId="143" priority="1">
      <formula>IF(AND($B10&lt;&gt;"",$I10=0),1,0)</formula>
    </cfRule>
    <cfRule type="expression" dxfId="142" priority="2">
      <formula>IF($B10&lt;&gt;"",1,0)</formula>
    </cfRule>
    <cfRule type="expression" dxfId="141" priority="3">
      <formula>$I10=0</formula>
    </cfRule>
  </conditionalFormatting>
  <conditionalFormatting sqref="J4">
    <cfRule type="expression" dxfId="140" priority="2056">
      <formula>IF(COUNTA($B$10:$B$11)&lt;&gt;COUNTIF($I$10:$I$11,1),1,0)</formula>
    </cfRule>
    <cfRule type="expression" dxfId="139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23" priority="7">
      <formula>IF(AND($B11&lt;&gt;"",$I11=0),1,0)</formula>
    </cfRule>
    <cfRule type="expression" dxfId="122" priority="8">
      <formula>IF($B11&lt;&gt;"",1,0)</formula>
    </cfRule>
    <cfRule type="expression" dxfId="121" priority="9">
      <formula>$I11=0</formula>
    </cfRule>
  </conditionalFormatting>
  <conditionalFormatting sqref="B10">
    <cfRule type="expression" dxfId="120" priority="1">
      <formula>IF(AND($B10&lt;&gt;"",$I10=0),1,0)</formula>
    </cfRule>
    <cfRule type="expression" dxfId="119" priority="2">
      <formula>IF($B10&lt;&gt;"",1,0)</formula>
    </cfRule>
    <cfRule type="expression" dxfId="118" priority="3">
      <formula>$I10=0</formula>
    </cfRule>
  </conditionalFormatting>
  <conditionalFormatting sqref="J4">
    <cfRule type="expression" dxfId="117" priority="2058">
      <formula>IF(COUNTA($B$10:$B$13)&lt;&gt;COUNTIF($I$10:$I$13,1),1,0)</formula>
    </cfRule>
    <cfRule type="expression" dxfId="116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00" priority="7">
      <formula>IF(AND($B10&lt;&gt;"",$I10=0),1,0)</formula>
    </cfRule>
    <cfRule type="expression" dxfId="99" priority="8">
      <formula>IF($B10&lt;&gt;"",1,0)</formula>
    </cfRule>
    <cfRule type="expression" dxfId="98" priority="9">
      <formula>$I10=0</formula>
    </cfRule>
  </conditionalFormatting>
  <conditionalFormatting sqref="J4">
    <cfRule type="expression" dxfId="97" priority="2062">
      <formula>IF(COUNTA($B$10:$B$12)&lt;&gt;COUNTIF($I$10:$I$12,1),1,0)</formula>
    </cfRule>
    <cfRule type="expression" dxfId="96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182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182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IF('[2]Model Selection'!$B$10=2,1,0)</f>
        <v>0</v>
      </c>
      <c r="J13" s="5" t="s">
        <v>183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IF('[2]Model Selection'!$B$10=2,1,0)</f>
        <v>0</v>
      </c>
      <c r="J14" s="5" t="s">
        <v>183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184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184</v>
      </c>
    </row>
    <row r="17" spans="1:10" ht="58.8">
      <c r="A17" s="4" t="s">
        <v>71</v>
      </c>
      <c r="B17" s="33"/>
      <c r="C17" s="57" t="s">
        <v>161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185</v>
      </c>
    </row>
    <row r="18" spans="1:10" ht="58.8">
      <c r="A18" s="4" t="s">
        <v>74</v>
      </c>
      <c r="B18" s="33"/>
      <c r="C18" s="57" t="s">
        <v>161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2</v>
      </c>
      <c r="I18" s="44">
        <f>IF('[2]Model Selection'!$B$10=3,1,0)</f>
        <v>0</v>
      </c>
      <c r="J18" s="60" t="s">
        <v>185</v>
      </c>
    </row>
    <row r="19" spans="1:10" ht="102">
      <c r="A19" s="59" t="s">
        <v>163</v>
      </c>
      <c r="B19" s="33"/>
      <c r="C19" s="57" t="s">
        <v>160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186</v>
      </c>
    </row>
    <row r="20" spans="1:10" ht="102">
      <c r="A20" s="59" t="s">
        <v>164</v>
      </c>
      <c r="B20" s="33"/>
      <c r="C20" s="57" t="s">
        <v>160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186</v>
      </c>
    </row>
    <row r="21" spans="1:10" ht="58.8">
      <c r="A21" s="59" t="s">
        <v>165</v>
      </c>
      <c r="B21" s="33"/>
      <c r="C21" s="57" t="s">
        <v>3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Selection'!$B$10=3,1,0)</f>
        <v>0</v>
      </c>
      <c r="J21" s="60" t="s">
        <v>187</v>
      </c>
    </row>
    <row r="22" spans="1:10" ht="58.8">
      <c r="A22" s="59" t="s">
        <v>166</v>
      </c>
      <c r="B22" s="33"/>
      <c r="C22" s="57" t="s">
        <v>3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Selection'!$B$10=3,1,0)</f>
        <v>0</v>
      </c>
      <c r="J22" s="60" t="s">
        <v>187</v>
      </c>
    </row>
    <row r="23" spans="1:10" ht="58.8">
      <c r="A23" s="59" t="s">
        <v>167</v>
      </c>
      <c r="B23" s="33"/>
      <c r="C23" s="57" t="s">
        <v>161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188</v>
      </c>
    </row>
    <row r="24" spans="1:10" ht="58.8">
      <c r="A24" s="59" t="s">
        <v>168</v>
      </c>
      <c r="B24" s="33"/>
      <c r="C24" s="57" t="s">
        <v>161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188</v>
      </c>
    </row>
    <row r="25" spans="1:10" ht="58.8">
      <c r="A25" s="59" t="s">
        <v>169</v>
      </c>
      <c r="B25" s="33"/>
      <c r="C25" s="57" t="s">
        <v>179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189</v>
      </c>
    </row>
    <row r="26" spans="1:10" ht="58.8">
      <c r="A26" s="59" t="s">
        <v>170</v>
      </c>
      <c r="B26" s="33"/>
      <c r="C26" s="57" t="s">
        <v>179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189</v>
      </c>
    </row>
    <row r="27" spans="1:10" ht="58.8">
      <c r="A27" s="59" t="s">
        <v>171</v>
      </c>
      <c r="B27" s="33"/>
      <c r="C27" s="57" t="s">
        <v>180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190</v>
      </c>
    </row>
    <row r="28" spans="1:10" ht="58.8">
      <c r="A28" s="59" t="s">
        <v>172</v>
      </c>
      <c r="B28" s="33"/>
      <c r="C28" s="57" t="s">
        <v>180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190</v>
      </c>
    </row>
    <row r="29" spans="1:10" ht="58.8">
      <c r="A29" s="59" t="s">
        <v>173</v>
      </c>
      <c r="B29" s="33"/>
      <c r="C29" s="57" t="s">
        <v>20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191</v>
      </c>
    </row>
    <row r="30" spans="1:10" ht="58.8">
      <c r="A30" s="59" t="s">
        <v>174</v>
      </c>
      <c r="B30" s="33"/>
      <c r="C30" s="57" t="s">
        <v>20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191</v>
      </c>
    </row>
    <row r="31" spans="1:10" ht="87.6">
      <c r="A31" s="59" t="s">
        <v>175</v>
      </c>
      <c r="B31" s="33"/>
      <c r="C31" s="57" t="s">
        <v>3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181</v>
      </c>
    </row>
    <row r="32" spans="1:10" ht="87.6">
      <c r="A32" s="59" t="s">
        <v>176</v>
      </c>
      <c r="B32" s="33"/>
      <c r="C32" s="57" t="s">
        <v>3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181</v>
      </c>
    </row>
    <row r="33" spans="1:10" ht="58.8">
      <c r="A33" s="59" t="s">
        <v>177</v>
      </c>
      <c r="B33" s="33"/>
      <c r="C33" s="57" t="s">
        <v>20</v>
      </c>
      <c r="D33" s="1" t="s">
        <v>24</v>
      </c>
      <c r="E33" s="1" t="s">
        <v>7</v>
      </c>
      <c r="F33" s="2" t="s">
        <v>5</v>
      </c>
      <c r="G33" s="1">
        <v>1</v>
      </c>
      <c r="H33" s="55">
        <f>[1]Initialization!$B$10</f>
        <v>2</v>
      </c>
      <c r="I33" s="44">
        <f>IF('[2]Model Selection'!$B$10=4,1,0)</f>
        <v>0</v>
      </c>
      <c r="J33" s="60" t="s">
        <v>192</v>
      </c>
    </row>
    <row r="34" spans="1:10" ht="58.8">
      <c r="A34" s="46" t="s">
        <v>178</v>
      </c>
      <c r="B34" s="33"/>
      <c r="C34" s="35" t="s">
        <v>20</v>
      </c>
      <c r="D34" s="1" t="s">
        <v>24</v>
      </c>
      <c r="E34" s="1" t="s">
        <v>7</v>
      </c>
      <c r="F34" s="2" t="s">
        <v>5</v>
      </c>
      <c r="G34" s="56"/>
      <c r="H34" s="55">
        <f>[1]Initialization!$B$10</f>
        <v>2</v>
      </c>
      <c r="I34" s="44">
        <f>IF('[2]Model Selection'!$B$10=4,1,0)</f>
        <v>0</v>
      </c>
      <c r="J34" s="60" t="s">
        <v>192</v>
      </c>
    </row>
    <row r="35" spans="1:10" ht="14.4">
      <c r="A35" s="8" t="s">
        <v>88</v>
      </c>
      <c r="B35" s="34"/>
      <c r="C35" s="9"/>
      <c r="D35" s="10"/>
      <c r="E35" s="10"/>
      <c r="F35" s="9"/>
      <c r="G35" s="10">
        <v>1</v>
      </c>
      <c r="H35" s="10">
        <v>1</v>
      </c>
      <c r="I35" s="11">
        <v>0</v>
      </c>
      <c r="J35" s="12" t="s">
        <v>89</v>
      </c>
    </row>
  </sheetData>
  <sheetProtection algorithmName="SHA-512" hashValue="KpgS7LKBKJCMdjn3x2qD0/rTVzEmbDMtrD7rikUkIFppWtDJgsBU3TyLAvlmpPczHNHO8lpftnlt9ZPysMCnng==" saltValue="8bLQTyL1iD6biwvj42102w==" spinCount="100000" sheet="1" objects="1" scenarios="1" selectLockedCells="1"/>
  <mergeCells count="2">
    <mergeCell ref="A3:J3"/>
    <mergeCell ref="J4:J8"/>
  </mergeCells>
  <conditionalFormatting sqref="B35">
    <cfRule type="expression" dxfId="80" priority="19">
      <formula>IF(AND($B35&lt;&gt;"",$I35=0),1,0)</formula>
    </cfRule>
    <cfRule type="expression" dxfId="79" priority="20">
      <formula>IF($B35&lt;&gt;"",1,0)</formula>
    </cfRule>
    <cfRule type="expression" dxfId="78" priority="21">
      <formula>$I35=0</formula>
    </cfRule>
  </conditionalFormatting>
  <conditionalFormatting sqref="J4">
    <cfRule type="expression" dxfId="77" priority="22">
      <formula>IF(COUNTA($B$10:$B$35)&lt;&gt;COUNTIF($I$10:$I$35,1),1,0)</formula>
    </cfRule>
    <cfRule type="expression" dxfId="76" priority="23">
      <formula>IF(COUNTA($B$10:$B$35)=COUNTIF($I$10:$I$35,1),1,0)</formula>
    </cfRule>
  </conditionalFormatting>
  <conditionalFormatting sqref="B13">
    <cfRule type="expression" dxfId="75" priority="10">
      <formula>IF(AND($B13&lt;&gt;"",$I13=0),1,0)</formula>
    </cfRule>
    <cfRule type="expression" dxfId="74" priority="11">
      <formula>IF($B13&lt;&gt;"",1,0)</formula>
    </cfRule>
    <cfRule type="expression" dxfId="73" priority="12">
      <formula>$I13=0</formula>
    </cfRule>
  </conditionalFormatting>
  <conditionalFormatting sqref="B10">
    <cfRule type="expression" dxfId="72" priority="7">
      <formula>IF(AND($B10&lt;&gt;"",$I10=0),1,0)</formula>
    </cfRule>
    <cfRule type="expression" dxfId="71" priority="8">
      <formula>IF($B10&lt;&gt;"",1,0)</formula>
    </cfRule>
    <cfRule type="expression" dxfId="70" priority="9">
      <formula>$I10=0</formula>
    </cfRule>
  </conditionalFormatting>
  <conditionalFormatting sqref="B17">
    <cfRule type="expression" dxfId="69" priority="1">
      <formula>IF(AND($B17&lt;&gt;"",$I17=0),1,0)</formula>
    </cfRule>
    <cfRule type="expression" dxfId="68" priority="2">
      <formula>IF($B17&lt;&gt;"",1,0)</formula>
    </cfRule>
    <cfRule type="expression" dxfId="67" priority="3">
      <formula>$I17=0</formula>
    </cfRule>
  </conditionalFormatting>
  <conditionalFormatting sqref="B18">
    <cfRule type="expression" dxfId="66" priority="4">
      <formula>IF(AND($B18&lt;&gt;"",$I18=0),1,0)</formula>
    </cfRule>
    <cfRule type="expression" dxfId="65" priority="5">
      <formula>IF($B18&lt;&gt;"",1,0)</formula>
    </cfRule>
    <cfRule type="expression" dxfId="64" priority="6">
      <formula>$I18=0</formula>
    </cfRule>
  </conditionalFormatting>
  <conditionalFormatting sqref="B10:B1048576">
    <cfRule type="expression" dxfId="63" priority="13">
      <formula>IF(AND($B10&lt;&gt;"",$I10=0),1,0)</formula>
    </cfRule>
    <cfRule type="expression" dxfId="62" priority="14">
      <formula>IF($B10&lt;&gt;"",1,0)</formula>
    </cfRule>
    <cfRule type="expression" dxfId="61" priority="15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jeoD6kWEnkDnttlu5zt8LKYmPEpeSTLX69J5x92xZR8kpM7w6c2mv6xEJAT3Y2XA852rUHvEJSeooYVxAQybw==" saltValue="xBHZzXXwK5ThbwG5Fmmw1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N2"/>
  <sheetViews>
    <sheetView topLeftCell="CF1" workbookViewId="0">
      <selection activeCell="CM2" sqref="CM2"/>
    </sheetView>
  </sheetViews>
  <sheetFormatPr defaultColWidth="8.77734375" defaultRowHeight="14.4"/>
  <sheetData>
    <row r="1" spans="1:4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71</v>
      </c>
      <c r="R1" t="s">
        <v>74</v>
      </c>
      <c r="S1" t="s">
        <v>163</v>
      </c>
      <c r="T1" t="s">
        <v>164</v>
      </c>
      <c r="U1" t="s">
        <v>165</v>
      </c>
      <c r="V1" t="s">
        <v>166</v>
      </c>
      <c r="W1" t="s">
        <v>167</v>
      </c>
      <c r="X1" t="s">
        <v>168</v>
      </c>
      <c r="Y1" t="s">
        <v>169</v>
      </c>
      <c r="Z1" t="s">
        <v>170</v>
      </c>
      <c r="AA1" t="s">
        <v>171</v>
      </c>
      <c r="AB1" t="s">
        <v>172</v>
      </c>
      <c r="AC1" t="s">
        <v>173</v>
      </c>
      <c r="AD1" t="s">
        <v>174</v>
      </c>
      <c r="AE1" t="s">
        <v>175</v>
      </c>
      <c r="AF1" t="s">
        <v>176</v>
      </c>
      <c r="AG1" t="s">
        <v>177</v>
      </c>
      <c r="AH1" t="s">
        <v>178</v>
      </c>
      <c r="AI1" t="s">
        <v>88</v>
      </c>
      <c r="AJ1" t="s">
        <v>84</v>
      </c>
      <c r="AK1" t="s">
        <v>85</v>
      </c>
      <c r="AL1" t="s">
        <v>88</v>
      </c>
      <c r="AM1" t="s">
        <v>127</v>
      </c>
      <c r="AN1" t="s">
        <v>88</v>
      </c>
    </row>
    <row r="2" spans="1:40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J2">
        <v>62</v>
      </c>
      <c r="AK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N2"/>
  <sheetViews>
    <sheetView topLeftCell="CC1" workbookViewId="0">
      <selection activeCell="CR2" sqref="CR2"/>
    </sheetView>
  </sheetViews>
  <sheetFormatPr defaultColWidth="8.77734375" defaultRowHeight="14.4"/>
  <sheetData>
    <row r="1" spans="1:4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71</v>
      </c>
      <c r="R1" t="s">
        <v>74</v>
      </c>
      <c r="S1" t="s">
        <v>163</v>
      </c>
      <c r="T1" t="s">
        <v>164</v>
      </c>
      <c r="U1" t="s">
        <v>165</v>
      </c>
      <c r="V1" t="s">
        <v>166</v>
      </c>
      <c r="W1" t="s">
        <v>167</v>
      </c>
      <c r="X1" t="s">
        <v>168</v>
      </c>
      <c r="Y1" t="s">
        <v>169</v>
      </c>
      <c r="Z1" t="s">
        <v>170</v>
      </c>
      <c r="AA1" t="s">
        <v>171</v>
      </c>
      <c r="AB1" t="s">
        <v>172</v>
      </c>
      <c r="AC1" t="s">
        <v>173</v>
      </c>
      <c r="AD1" t="s">
        <v>174</v>
      </c>
      <c r="AE1" t="s">
        <v>175</v>
      </c>
      <c r="AF1" t="s">
        <v>176</v>
      </c>
      <c r="AG1" t="s">
        <v>177</v>
      </c>
      <c r="AH1" t="s">
        <v>178</v>
      </c>
      <c r="AI1" t="s">
        <v>88</v>
      </c>
      <c r="AJ1" t="s">
        <v>84</v>
      </c>
      <c r="AK1" t="s">
        <v>85</v>
      </c>
      <c r="AL1" t="s">
        <v>88</v>
      </c>
      <c r="AM1" t="s">
        <v>127</v>
      </c>
      <c r="AN1" t="s">
        <v>88</v>
      </c>
    </row>
    <row r="2" spans="1:4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0</v>
      </c>
      <c r="AM2">
        <v>0</v>
      </c>
      <c r="AN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2022-10-26T12:04:52Z</dcterms:modified>
</cp:coreProperties>
</file>