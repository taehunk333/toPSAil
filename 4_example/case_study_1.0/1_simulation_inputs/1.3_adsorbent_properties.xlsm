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5715865D-DA40-4FB3-AA80-0393C4005A52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Isotherm'!$A$2:$J$15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55" l="1"/>
  <c r="I12" i="57"/>
  <c r="I11" i="57"/>
  <c r="J4" i="58"/>
  <c r="J2" i="58"/>
  <c r="A2" i="58"/>
  <c r="J4" i="57"/>
  <c r="J2" i="57"/>
  <c r="A2" i="57"/>
  <c r="J4" i="56"/>
  <c r="J2" i="56"/>
  <c r="A2" i="56"/>
  <c r="H10" i="53" l="1"/>
  <c r="H11" i="53"/>
  <c r="H13" i="53" l="1"/>
  <c r="H12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<sst xmlns="http://schemas.openxmlformats.org/spreadsheetml/2006/main" count="303" uniqueCount="161">
  <si>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</si>
  <si>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</si>
  <si>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</si>
  <si>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</si>
  <si>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</si>
  <si>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</si>
  <si>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</si>
  <si>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</si>
  <si>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</si>
  <si>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</si>
  <si>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</si>
  <si>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</si>
  <si>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</si>
  <si>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</si>
  <si>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</si>
  <si>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</si>
  <si>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</si>
  <si>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</si>
  <si>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</si>
  <si>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</si>
  <si>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</si>
  <si>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</si>
  <si>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</si>
  <si>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</si>
  <si>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</si>
  <si>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</si>
  <si>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</si>
  <si>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</si>
  <si>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</si>
  <si>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</si>
  <si>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</si>
  <si>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</si>
  <si>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</si>
  <si>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</si>
  <si>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</si>
  <si>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</si>
  <si>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</si>
  <si>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</si>
  <si>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</si>
  <si>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</si>
  <si>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</si>
  <si>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</si>
  <si>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</si>
  <si>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</si>
  <si>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</si>
  <si>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</si>
  <si>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</si>
  <si>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</si>
  <si>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</si>
  <si>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</si>
  <si>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</si>
  <si>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</si>
  <si>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</si>
  <si>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</si>
  <si>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</si>
  <si>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</si>
  <si>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</si>
  <si>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</si>
  <si>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</si>
  <si>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</si>
  <si>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</si>
  <si>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</si>
  <si>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</si>
  <si>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</si>
  <si>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</si>
  <si>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</si>
  <si>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</si>
  <si>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</si>
  <si>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</si>
  <si>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</si>
  <si>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</si>
  <si>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</si>
  <si>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</si>
  <si>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</si>
  <si>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</si>
  <si>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</si>
  <si>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</si>
  <si>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</si>
  <si>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</si>
  <si>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</si>
  <si>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</si>
  <si>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</si>
  <si>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</si>
  <si>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</si>
  <si>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</si>
  <si>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</si>
  <si>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</si>
  <si>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</si>
  <si>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</si>
  <si>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</si>
  <si>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</si>
  <si>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</si>
  <si>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</si>
  <si>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</si>
  <si>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</si>
  <si>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</si>
  <si>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</si>
  <si>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</si>
  <si>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</si>
  <si>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</si>
  <si>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</si>
  <si>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</si>
  <si>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</si>
  <si>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</si>
  <si>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</si>
  <si>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</si>
  <si>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</si>
  <si>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</si>
  <si>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</si>
  <si>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</si>
  <si>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</si>
  <si>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</si>
  <si>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</si>
  <si>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</si>
  <si>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</si>
  <si>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</si>
  <si>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</si>
  <si>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</si>
  <si>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</si>
  <si>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</si>
  <si>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</si>
  <si>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</si>
  <si>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</si>
  <si>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</si>
  <si>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</si>
  <si>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</si>
  <si>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</si>
  <si>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</si>
  <si>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</si>
  <si>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</si>
  <si>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</si>
  <si>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</si>
  <si>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</si>
  <si>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</si>
  <si>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</si>
  <si>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</si>
  <si>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</si>
  <si>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</si>
  <si>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</si>
  <si>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</si>
  <si>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</si>
  <si>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</si>
  <si>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</si>
  <si>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</si>
  <si>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</si>
  <si>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</si>
  <si>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</si>
  <si>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</si>
  <si>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</si>
  <si>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</si>
  <si>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</si>
  <si>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</si>
  <si>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</si>
  <si>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</si>
  <si>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</si>
  <si>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</si>
  <si>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</si>
  <si>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</si>
  <si>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</si>
  <si>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cc-gas/kg-solid</t>
  </si>
  <si>
    <r>
      <t xml:space="preserve">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</si>
</sst>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156</v>
      </c>
      <c r="E4" s="52"/>
      <c r="F4" s="53"/>
      <c r="G4" s="54"/>
      <c r="H4" s="54"/>
      <c r="I4" s="54"/>
      <c r="J4" s="39" t="s">
        <v>97</v>
      </c>
    </row>
    <row r="5" spans="4:10" ht="36">
      <c r="D5" s="56" t="s">
        <v>40</v>
      </c>
      <c r="E5" s="56"/>
      <c r="F5" s="56"/>
      <c r="G5" s="56"/>
      <c r="H5" s="56"/>
      <c r="I5" s="56"/>
      <c r="J5" s="56"/>
    </row>
    <row r="6" spans="4:10" ht="18">
      <c r="D6" s="45" t="s">
        <v>34</v>
      </c>
      <c r="E6" s="45" t="s">
        <v>153</v>
      </c>
      <c r="F6" s="45" t="s">
        <v>35</v>
      </c>
      <c r="G6" s="45" t="s">
        <v>36</v>
      </c>
      <c r="H6" s="45" t="s">
        <v>37</v>
      </c>
      <c r="I6" s="45" t="s">
        <v>38</v>
      </c>
      <c r="J6" s="45" t="s">
        <v>39</v>
      </c>
    </row>
    <row r="7" spans="4:10" ht="54">
      <c r="D7" s="40">
        <v>1</v>
      </c>
      <c r="E7" s="41" t="s">
        <v>158</v>
      </c>
      <c r="F7" s="42">
        <v>44720</v>
      </c>
      <c r="G7" s="40" t="s">
        <v>41</v>
      </c>
      <c r="H7" s="40"/>
      <c r="I7" s="40"/>
      <c r="J7" s="41"/>
    </row>
    <row r="8" spans="4:10" ht="36">
      <c r="D8" s="40">
        <v>2</v>
      </c>
      <c r="E8" s="41" t="s">
        <v>154</v>
      </c>
      <c r="F8" s="42">
        <v>44818</v>
      </c>
      <c r="G8" s="40" t="s">
        <v>41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42</v>
      </c>
      <c r="D1" t="s">
        <v>71</v>
      </c>
      <c r="E1" t="s">
        <v>78</v>
      </c>
      <c r="F1" t="s">
        <v>79</v>
      </c>
      <c r="G1" s="1" t="s">
        <v>80</v>
      </c>
      <c r="H1" s="1" t="s">
        <v>81</v>
      </c>
      <c r="I1" s="1" t="s">
        <v>82</v>
      </c>
      <c r="J1" s="7" t="s">
        <v>84</v>
      </c>
      <c r="K1" s="7" t="s">
        <v>6</v>
      </c>
      <c r="L1" t="s">
        <v>95</v>
      </c>
      <c r="M1" t="s">
        <v>91</v>
      </c>
      <c r="N1" t="s">
        <v>92</v>
      </c>
      <c r="O1" t="s">
        <v>96</v>
      </c>
      <c r="P1" t="s">
        <v>101</v>
      </c>
      <c r="Q1" t="s">
        <v>122</v>
      </c>
      <c r="R1" t="s">
        <v>130</v>
      </c>
      <c r="S1" t="s">
        <v>131</v>
      </c>
      <c r="T1" t="s">
        <v>142</v>
      </c>
      <c r="U1" t="s">
        <v>143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43</v>
      </c>
      <c r="D3" t="s">
        <v>87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144</v>
      </c>
    </row>
    <row r="4" spans="1:21">
      <c r="A4" t="s">
        <v>94</v>
      </c>
      <c r="B4" t="s">
        <v>25</v>
      </c>
      <c r="C4" t="s">
        <v>47</v>
      </c>
      <c r="D4" t="s">
        <v>88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145</v>
      </c>
    </row>
    <row r="5" spans="1:21">
      <c r="A5" t="s">
        <v>10</v>
      </c>
      <c r="B5" t="s">
        <v>26</v>
      </c>
      <c r="C5" t="s">
        <v>46</v>
      </c>
      <c r="D5" t="s">
        <v>65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146</v>
      </c>
    </row>
    <row r="6" spans="1:21">
      <c r="A6" t="s">
        <v>6</v>
      </c>
      <c r="B6" t="s">
        <v>27</v>
      </c>
      <c r="C6" t="s">
        <v>48</v>
      </c>
      <c r="D6" t="s">
        <v>62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147</v>
      </c>
    </row>
    <row r="7" spans="1:21">
      <c r="A7" t="s">
        <v>9</v>
      </c>
      <c r="B7" t="s">
        <v>29</v>
      </c>
      <c r="C7" t="s">
        <v>49</v>
      </c>
      <c r="D7" t="s">
        <v>63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148</v>
      </c>
    </row>
    <row r="8" spans="1:21">
      <c r="A8" t="s">
        <v>11</v>
      </c>
      <c r="B8" t="s">
        <v>30</v>
      </c>
      <c r="C8" t="s">
        <v>50</v>
      </c>
      <c r="D8" t="s">
        <v>64</v>
      </c>
      <c r="E8">
        <v>6</v>
      </c>
      <c r="F8">
        <v>6</v>
      </c>
      <c r="G8">
        <v>5</v>
      </c>
      <c r="H8">
        <v>5</v>
      </c>
      <c r="I8">
        <v>5</v>
      </c>
      <c r="U8" t="s">
        <v>149</v>
      </c>
    </row>
    <row r="9" spans="1:21">
      <c r="B9" t="s">
        <v>102</v>
      </c>
      <c r="C9" t="s">
        <v>51</v>
      </c>
      <c r="E9">
        <v>7</v>
      </c>
      <c r="F9">
        <v>7</v>
      </c>
      <c r="G9">
        <v>6</v>
      </c>
      <c r="H9">
        <v>6</v>
      </c>
      <c r="I9">
        <v>6</v>
      </c>
      <c r="U9" t="s">
        <v>150</v>
      </c>
    </row>
    <row r="10" spans="1:21">
      <c r="B10" t="s">
        <v>31</v>
      </c>
      <c r="C10" t="s">
        <v>52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53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140</v>
      </c>
    </row>
    <row r="12" spans="1:21">
      <c r="B12" t="s">
        <v>103</v>
      </c>
      <c r="C12" t="s">
        <v>54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55</v>
      </c>
      <c r="J13">
        <v>1</v>
      </c>
    </row>
    <row r="14" spans="1:21">
      <c r="B14" t="s">
        <v>24</v>
      </c>
      <c r="C14" t="s">
        <v>56</v>
      </c>
      <c r="J14">
        <v>2</v>
      </c>
    </row>
    <row r="15" spans="1:21">
      <c r="B15" t="s">
        <v>15</v>
      </c>
      <c r="C15" t="s">
        <v>57</v>
      </c>
    </row>
    <row r="16" spans="1:21">
      <c r="B16" t="s">
        <v>61</v>
      </c>
      <c r="C16" t="s">
        <v>58</v>
      </c>
      <c r="J16" t="s">
        <v>141</v>
      </c>
    </row>
    <row r="17" spans="2:10">
      <c r="B17" t="s">
        <v>18</v>
      </c>
      <c r="C17" t="s">
        <v>59</v>
      </c>
      <c r="J17" t="s">
        <v>8</v>
      </c>
    </row>
    <row r="18" spans="2:10">
      <c r="B18" t="s">
        <v>19</v>
      </c>
      <c r="C18" t="s">
        <v>60</v>
      </c>
      <c r="J18">
        <v>1</v>
      </c>
    </row>
    <row r="19" spans="2:10">
      <c r="C19" t="s">
        <v>32</v>
      </c>
      <c r="J19">
        <v>2</v>
      </c>
    </row>
    <row r="20" spans="2:10">
      <c r="C20" t="s">
        <v>4</v>
      </c>
      <c r="J20">
        <v>3</v>
      </c>
    </row>
    <row r="21" spans="2:10">
      <c r="C21" t="s">
        <v>45</v>
      </c>
      <c r="J21">
        <v>4</v>
      </c>
    </row>
    <row r="22" spans="2:10">
      <c r="C22" t="s">
        <v>44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FFFF0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33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66</v>
      </c>
      <c r="F9" s="31" t="s">
        <v>42</v>
      </c>
      <c r="G9" s="31" t="s">
        <v>69</v>
      </c>
      <c r="H9" s="30" t="s">
        <v>70</v>
      </c>
      <c r="I9" s="32" t="s">
        <v>83</v>
      </c>
      <c r="J9" s="32" t="s">
        <v>12</v>
      </c>
    </row>
    <row r="10" spans="1:10" ht="28.8">
      <c r="A10" s="4" t="s">
        <v>151</v>
      </c>
      <c r="B10" s="33">
        <v>0.2</v>
      </c>
      <c r="C10" s="2" t="s">
        <v>76</v>
      </c>
      <c r="D10" s="1" t="s">
        <v>25</v>
      </c>
      <c r="E10" s="1" t="s">
        <v>7</v>
      </c>
      <c r="F10" s="2" t="s">
        <v>51</v>
      </c>
      <c r="G10" s="1">
        <v>1</v>
      </c>
      <c r="H10" s="6">
        <v>1</v>
      </c>
      <c r="I10" s="6">
        <v>1</v>
      </c>
      <c r="J10" s="5" t="s">
        <v>152</v>
      </c>
    </row>
    <row r="11" spans="1:10" ht="14.4">
      <c r="A11" s="8" t="s">
        <v>89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90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FFFF0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33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66</v>
      </c>
      <c r="F9" s="31" t="s">
        <v>42</v>
      </c>
      <c r="G9" s="31" t="s">
        <v>69</v>
      </c>
      <c r="H9" s="30" t="s">
        <v>70</v>
      </c>
      <c r="I9" s="32" t="s">
        <v>83</v>
      </c>
      <c r="J9" s="32" t="s">
        <v>12</v>
      </c>
    </row>
    <row r="10" spans="1:10" ht="72">
      <c r="A10" s="4" t="s">
        <v>123</v>
      </c>
      <c r="B10" s="33">
        <v>1</v>
      </c>
      <c r="C10" s="2" t="s">
        <v>3</v>
      </c>
      <c r="D10" s="1" t="s">
        <v>25</v>
      </c>
      <c r="E10" s="1" t="s">
        <v>94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4" t="s">
        <v>138</v>
      </c>
      <c r="B11" s="33"/>
      <c r="C11" s="2" t="s">
        <v>3</v>
      </c>
      <c r="D11" s="1" t="s">
        <v>25</v>
      </c>
      <c r="E11" s="1" t="s">
        <v>7</v>
      </c>
      <c r="F11" s="2" t="s">
        <v>32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136</v>
      </c>
    </row>
    <row r="12" spans="1:10" ht="14.4">
      <c r="A12" s="4" t="s">
        <v>139</v>
      </c>
      <c r="B12" s="33"/>
      <c r="C12" s="2" t="s">
        <v>3</v>
      </c>
      <c r="D12" s="1" t="s">
        <v>25</v>
      </c>
      <c r="E12" s="1" t="s">
        <v>7</v>
      </c>
      <c r="F12" s="2" t="s">
        <v>32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137</v>
      </c>
    </row>
    <row r="13" spans="1:10" ht="14.4">
      <c r="A13" s="8" t="s">
        <v>89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90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FFFF0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33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66</v>
      </c>
      <c r="F9" s="31" t="s">
        <v>42</v>
      </c>
      <c r="G9" s="31" t="s">
        <v>69</v>
      </c>
      <c r="H9" s="30" t="s">
        <v>70</v>
      </c>
      <c r="I9" s="32" t="s">
        <v>83</v>
      </c>
      <c r="J9" s="32" t="s">
        <v>12</v>
      </c>
    </row>
    <row r="10" spans="1:10" ht="28.8">
      <c r="A10" s="4" t="s">
        <v>67</v>
      </c>
      <c r="B10" s="33">
        <v>1.552E-3</v>
      </c>
      <c r="C10" s="2" t="s">
        <v>21</v>
      </c>
      <c r="D10" s="1" t="s">
        <v>25</v>
      </c>
      <c r="E10" s="1" t="s">
        <v>7</v>
      </c>
      <c r="F10" s="2" t="s">
        <v>43</v>
      </c>
      <c r="G10" s="1">
        <v>1</v>
      </c>
      <c r="H10" s="6">
        <v>1</v>
      </c>
      <c r="I10" s="6">
        <v>1</v>
      </c>
      <c r="J10" s="5" t="s">
        <v>121</v>
      </c>
    </row>
    <row r="11" spans="1:10" ht="28.8">
      <c r="A11" s="4" t="s">
        <v>68</v>
      </c>
      <c r="B11" s="33">
        <v>8.0999999999999996E-4</v>
      </c>
      <c r="C11" s="2" t="s">
        <v>21</v>
      </c>
      <c r="D11" s="1" t="s">
        <v>25</v>
      </c>
      <c r="E11" s="1" t="s">
        <v>7</v>
      </c>
      <c r="F11" s="2" t="s">
        <v>43</v>
      </c>
      <c r="G11" s="1">
        <v>1</v>
      </c>
      <c r="H11" s="6">
        <v>1</v>
      </c>
      <c r="I11" s="6">
        <v>1</v>
      </c>
      <c r="J11" s="5" t="s">
        <v>93</v>
      </c>
    </row>
    <row r="12" spans="1:10" ht="14.4">
      <c r="A12" s="8" t="s">
        <v>89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90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FFFF00"/>
  </sheetPr>
  <dimension ref="A2:K1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J10" sqref="J10:J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33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66</v>
      </c>
      <c r="F9" s="31" t="s">
        <v>42</v>
      </c>
      <c r="G9" s="31" t="s">
        <v>69</v>
      </c>
      <c r="H9" s="30" t="s">
        <v>70</v>
      </c>
      <c r="I9" s="32" t="s">
        <v>83</v>
      </c>
      <c r="J9" s="32" t="s">
        <v>12</v>
      </c>
    </row>
    <row r="10" spans="1:10" ht="30">
      <c r="A10" s="4" t="s">
        <v>72</v>
      </c>
      <c r="B10" s="33">
        <v>2903.4751548481281</v>
      </c>
      <c r="C10" s="2" t="s">
        <v>159</v>
      </c>
      <c r="D10" s="1" t="s">
        <v>25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160</v>
      </c>
    </row>
    <row r="11" spans="1:10" ht="30">
      <c r="A11" s="4" t="s">
        <v>75</v>
      </c>
      <c r="B11" s="33">
        <v>5311.235039356332</v>
      </c>
      <c r="C11" s="2" t="s">
        <v>159</v>
      </c>
      <c r="D11" s="1" t="s">
        <v>25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160</v>
      </c>
    </row>
    <row r="12" spans="1:10" ht="30">
      <c r="A12" s="4" t="s">
        <v>73</v>
      </c>
      <c r="B12" s="33">
        <v>1</v>
      </c>
      <c r="C12" s="2" t="s">
        <v>22</v>
      </c>
      <c r="D12" s="1" t="s">
        <v>25</v>
      </c>
      <c r="E12" s="1" t="s">
        <v>7</v>
      </c>
      <c r="F12" s="2" t="s">
        <v>5</v>
      </c>
      <c r="G12" s="1">
        <v>1</v>
      </c>
      <c r="H12" s="55">
        <f>[1]Initialization!$B$10</f>
        <v>2</v>
      </c>
      <c r="I12" s="6">
        <v>1</v>
      </c>
      <c r="J12" s="5" t="s">
        <v>160</v>
      </c>
    </row>
    <row r="13" spans="1:10" ht="30">
      <c r="A13" s="4" t="s">
        <v>74</v>
      </c>
      <c r="B13" s="33">
        <v>1</v>
      </c>
      <c r="C13" s="2" t="s">
        <v>22</v>
      </c>
      <c r="D13" s="1" t="s">
        <v>25</v>
      </c>
      <c r="E13" s="1" t="s">
        <v>7</v>
      </c>
      <c r="F13" s="2" t="s">
        <v>5</v>
      </c>
      <c r="G13" s="1"/>
      <c r="H13" s="55">
        <f>[1]Initialization!$B$10</f>
        <v>2</v>
      </c>
      <c r="I13" s="6">
        <v>1</v>
      </c>
      <c r="J13" s="5" t="s">
        <v>160</v>
      </c>
    </row>
    <row r="14" spans="1:10" ht="28.8">
      <c r="A14" s="46" t="s">
        <v>133</v>
      </c>
      <c r="B14" s="33">
        <v>318.14999999999998</v>
      </c>
      <c r="C14" s="35" t="s">
        <v>20</v>
      </c>
      <c r="D14" s="1" t="s">
        <v>25</v>
      </c>
      <c r="E14" s="1" t="s">
        <v>7</v>
      </c>
      <c r="F14" s="2" t="s">
        <v>50</v>
      </c>
      <c r="G14" s="1">
        <v>1</v>
      </c>
      <c r="H14" s="1">
        <v>1</v>
      </c>
      <c r="I14" s="6">
        <v>1</v>
      </c>
      <c r="J14" s="5" t="s">
        <v>134</v>
      </c>
    </row>
    <row r="15" spans="1:10" ht="14.4">
      <c r="A15" s="8" t="s">
        <v>89</v>
      </c>
      <c r="B15" s="34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90</v>
      </c>
    </row>
  </sheetData>
  <sheetProtection selectLockedCells="1"/>
  <mergeCells count="2">
    <mergeCell ref="A3:J3"/>
    <mergeCell ref="J4:J8"/>
  </mergeCells>
  <conditionalFormatting sqref="B15">
    <cfRule type="expression" dxfId="71" priority="10">
      <formula>IF(AND($B15&lt;&gt;"",$I15=0),1,0)</formula>
    </cfRule>
    <cfRule type="expression" dxfId="70" priority="11">
      <formula>IF($B15&lt;&gt;"",1,0)</formula>
    </cfRule>
    <cfRule type="expression" dxfId="69" priority="12">
      <formula>$I15=0</formula>
    </cfRule>
  </conditionalFormatting>
  <conditionalFormatting sqref="J4">
    <cfRule type="expression" dxfId="68" priority="13">
      <formula>IF(COUNTA($B$10:$B$15)&lt;&gt;COUNTIF($I$10:$I$15,1),1,0)</formula>
    </cfRule>
    <cfRule type="expression" dxfId="67" priority="14">
      <formula>IF(COUNTA($B$10:$B$15)=COUNTIF($I$10:$I$15,1),1,0)</formula>
    </cfRule>
  </conditionalFormatting>
  <conditionalFormatting sqref="B10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conditionalFormatting sqref="B11:B14">
    <cfRule type="expression" dxfId="63" priority="4">
      <formula>IF(AND($B11&lt;&gt;"",$I11=0),1,0)</formula>
    </cfRule>
    <cfRule type="expression" dxfId="62" priority="5">
      <formula>IF($B11&lt;&gt;"",1,0)</formula>
    </cfRule>
    <cfRule type="expression" dxfId="61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E10:E15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F10:F15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FFFF0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33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66</v>
      </c>
      <c r="F9" s="31" t="s">
        <v>42</v>
      </c>
      <c r="G9" s="31" t="s">
        <v>69</v>
      </c>
      <c r="H9" s="30" t="s">
        <v>70</v>
      </c>
      <c r="I9" s="32" t="s">
        <v>83</v>
      </c>
      <c r="J9" s="32" t="s">
        <v>12</v>
      </c>
    </row>
    <row r="10" spans="1:10" ht="43.2">
      <c r="A10" s="4" t="s">
        <v>85</v>
      </c>
      <c r="B10" s="33">
        <v>62</v>
      </c>
      <c r="C10" s="2" t="s">
        <v>23</v>
      </c>
      <c r="D10" s="1" t="s">
        <v>24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77</v>
      </c>
    </row>
    <row r="11" spans="1:10" ht="43.2">
      <c r="A11" s="4" t="s">
        <v>86</v>
      </c>
      <c r="B11" s="33">
        <v>19.7</v>
      </c>
      <c r="C11" s="2" t="s">
        <v>23</v>
      </c>
      <c r="D11" s="1" t="s">
        <v>24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77</v>
      </c>
    </row>
    <row r="12" spans="1:10" ht="14.4">
      <c r="A12" s="8" t="s">
        <v>89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90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FFFF0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33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66</v>
      </c>
      <c r="F9" s="31" t="s">
        <v>42</v>
      </c>
      <c r="G9" s="31" t="s">
        <v>69</v>
      </c>
      <c r="H9" s="30" t="s">
        <v>70</v>
      </c>
      <c r="I9" s="32" t="s">
        <v>83</v>
      </c>
      <c r="J9" s="32" t="s">
        <v>12</v>
      </c>
    </row>
    <row r="10" spans="1:10" ht="43.2">
      <c r="A10" s="46" t="s">
        <v>128</v>
      </c>
      <c r="B10" s="33"/>
      <c r="C10" s="35" t="s">
        <v>132</v>
      </c>
      <c r="D10" s="1" t="s">
        <v>25</v>
      </c>
      <c r="E10" s="1" t="s">
        <v>7</v>
      </c>
      <c r="F10" s="2" t="s">
        <v>43</v>
      </c>
      <c r="G10" s="1">
        <v>1</v>
      </c>
      <c r="H10" s="1">
        <v>1</v>
      </c>
      <c r="I10" s="44">
        <f>[2]Initialization!$B$14</f>
        <v>0</v>
      </c>
      <c r="J10" s="5" t="s">
        <v>129</v>
      </c>
    </row>
    <row r="11" spans="1:10" ht="14.4">
      <c r="A11" s="8" t="s">
        <v>89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90</v>
      </c>
    </row>
  </sheetData>
  <sheetProtection algorithmName="SHA-512" hashValue="+jeoD6kWEnkDnttlu5zt8LKYmPEpeSTLX69J5x92xZR8kpM7w6c2mv6xEJAT3Y2XA852rUHvEJSeooYVxAQybw==" saltValue="xBHZzXXwK5ThbwG5Fmmw1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157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97</v>
      </c>
    </row>
    <row r="2" spans="1:18" ht="14.4">
      <c r="A2" s="61" t="s">
        <v>104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108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110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119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105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106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112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113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117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118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111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107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155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114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116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115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120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124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125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126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127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100</v>
      </c>
    </row>
    <row r="2" spans="1:1">
      <c r="A2" t="s">
        <v>98</v>
      </c>
    </row>
    <row r="3" spans="1:1">
      <c r="A3" t="s">
        <v>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topLeftCell="CF1" workbookViewId="0">
      <selection activeCell="CM2" sqref="CM2"/>
    </sheetView>
  </sheetViews>
  <sheetFormatPr defaultColWidth="8.77734375" defaultRowHeight="14.4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77734375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2022-10-25T23:30:55Z</dcterms:modified>
</cp:coreProperties>
</file>