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10E678BC-D2C3-EE40-991E-4D717E797BC8}" xr6:coauthVersionLast="47" xr6:coauthVersionMax="47" xr10:uidLastSave="{00000000-0000-0000-0000-000000000000}"/>
  <bookViews>
    <workbookView xWindow="7600" yWindow="2520" windowWidth="23260" windowHeight="13180" tabRatio="818" firstSheet="1" activeTab="7" xr2:uid="{CB583278-6AF7-49E7-A969-6064EAB4A9B4}"/>
  </bookViews>
  <sheets>
    <sheet name="Revision History" sheetId="4" r:id="rId1"/>
    <sheet name="Reference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externalReferences>
    <externalReference r:id="rId13"/>
    <externalReference r:id="rId14"/>
    <externalReference r:id="rId15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History'!$C$3:$K$50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55" l="1"/>
  <c r="H44" i="53" l="1"/>
  <c r="H43" i="53"/>
  <c r="H42" i="53"/>
  <c r="H41" i="53"/>
  <c r="H40" i="53"/>
  <c r="H39" i="53"/>
  <c r="H38" i="53"/>
  <c r="H37" i="53"/>
  <c r="H36" i="53"/>
  <c r="H35" i="53"/>
  <c r="H34" i="53"/>
  <c r="H33" i="53"/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I14" i="53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2" i="57" l="1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sharedStrings.xml><?xml version="1.0" encoding="utf-8"?>
<sst xmlns="http://schemas.openxmlformats.org/spreadsheetml/2006/main" count="586" uniqueCount="219">
  <si>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</si>
  <si>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</si>
  <si>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</si>
  <si>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</si>
  <si>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</si>
  <si>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</si>
  <si>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</si>
  <si>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</si>
  <si>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</si>
  <si>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</si>
  <si>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</si>
  <si>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</si>
  <si>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</si>
  <si>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</si>
  <si>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</si>
  <si>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</si>
  <si>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</si>
  <si>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</si>
  <si>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</si>
  <si>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</si>
  <si>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</si>
  <si>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</si>
  <si>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</si>
  <si>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</si>
  <si>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</si>
  <si>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</si>
  <si>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</si>
  <si>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</si>
  <si>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</si>
  <si>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</si>
  <si>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</si>
  <si>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</si>
  <si>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</si>
  <si>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</si>
  <si>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</si>
  <si>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</si>
  <si>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</si>
  <si>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</si>
  <si>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</si>
  <si>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</si>
  <si>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</si>
  <si>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</si>
  <si>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</si>
  <si>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</si>
  <si>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</si>
  <si>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</si>
  <si>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</si>
  <si>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</si>
  <si>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</si>
  <si>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</si>
  <si>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</si>
  <si>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</si>
  <si>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</si>
  <si>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</si>
  <si>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</si>
  <si>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</si>
  <si>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</si>
  <si>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</si>
  <si>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</si>
  <si>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</si>
  <si>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</si>
  <si>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</si>
  <si>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</si>
  <si>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</si>
  <si>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</si>
  <si>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</si>
  <si>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</si>
  <si>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</si>
  <si>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</si>
  <si>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</si>
  <si>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</si>
  <si>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</si>
  <si>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</si>
  <si>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</si>
  <si>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</si>
  <si>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</si>
  <si>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</si>
  <si>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</si>
  <si>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</si>
  <si>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</si>
  <si>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</si>
  <si>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</si>
  <si>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</si>
  <si>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</si>
  <si>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</si>
  <si>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</si>
  <si>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</si>
  <si>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</si>
  <si>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</si>
  <si>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</si>
  <si>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</si>
  <si>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</si>
  <si>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</si>
  <si>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</si>
  <si>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</si>
  <si>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</si>
  <si>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</si>
  <si>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</si>
  <si>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</si>
  <si>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</si>
  <si>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</si>
  <si>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</si>
  <si>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</si>
  <si>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</si>
  <si>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</si>
  <si>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</si>
  <si>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</si>
  <si>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</si>
  <si>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</si>
  <si>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</si>
  <si>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</si>
  <si>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</si>
  <si>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</si>
  <si>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</si>
  <si>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</si>
  <si>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</si>
  <si>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</si>
  <si>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</si>
  <si>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</si>
  <si>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</si>
  <si>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</si>
  <si>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</si>
  <si>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</si>
  <si>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</si>
  <si>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</si>
  <si>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</si>
  <si>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</si>
  <si>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</si>
  <si>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</si>
  <si>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</si>
  <si>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</si>
  <si>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</si>
  <si>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</si>
  <si>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</si>
  <si>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</si>
  <si>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</si>
  <si>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</si>
  <si>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</si>
  <si>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</si>
  <si>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</si>
  <si>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</si>
  <si>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</si>
  <si>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</si>
  <si>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</si>
  <si>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</si>
  <si>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</si>
  <si>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</si>
  <si>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</si>
  <si>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</si>
  <si>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</si>
  <si>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</si>
  <si>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</si>
  <si>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</si>
  <si>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</si>
  <si>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</si>
  <si>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</si>
  <si>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</si>
  <si>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</si>
  <si>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</si>
  <si>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</si>
  <si>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</si>
  <si>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</si>
  <si>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</si>
  <si>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</si>
  <si>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</si>
  <si>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</si>
  <si>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</si>
  <si>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</si>
  <si>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</si>
  <si>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</si>
  <si>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</si>
  <si>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</si>
  <si>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</si>
  <si>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</si>
  <si>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</si>
  <si>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</si>
  <si>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</si>
  <si>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</si>
  <si>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</si>
  <si>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</si>
  <si>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</si>
  <si>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</si>
  <si>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</si>
  <si>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</si>
  <si>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</si>
  <si>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</si>
  <si>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</si>
  <si>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</si>
  <si>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</si>
  <si>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</si>
  <si>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</si>
  <si>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</si>
  <si>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</si>
  <si>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</si>
  <si>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</si>
  <si>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</si>
  <si>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</si>
  <si>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</si>
  <si>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</si>
  <si>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</si>
  <si>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</si>
  <si>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</si>
  <si>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</si>
  <si>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</si>
  <si>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</si>
  <si>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</si>
  <si>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</si>
  <si>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</si>
  <si>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</si>
  <si>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</si>
  <si>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</si>
  <si>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</si>
  <si>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</si>
  <si>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</si>
  <si>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</si>
  <si>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</si>
  <si>
    <t>Test place holder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</si>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</sst>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  <xf numFmtId="0" fontId="4" fillId="3" borderId="13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D8890BC-4CC4-D443-AA95-61F73FB2E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55165" y="1184087"/>
          <a:ext cx="48200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3">
          <cell r="B13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3" dataDxfId="121" headerRowBorderDxfId="122" tableBorderDxfId="120" totalsRowBorderDxfId="119">
  <autoFilter ref="A9:J11" xr:uid="{B089C5C3-2CCE-4800-96CA-2131BB6E3E4F}"/>
  <tableColumns count="10">
    <tableColumn id="1" xr3:uid="{A63D443C-23FA-C546-879B-699C109A0CA2}" name="Variable" dataDxfId="118"/>
    <tableColumn id="4" xr3:uid="{1A5FFB41-EB4E-E74A-8922-4B34B9316DE5}" name="Value" dataDxfId="117"/>
    <tableColumn id="5" xr3:uid="{BF7F7945-F7EF-9B43-BD77-AD1154395D6F}" name="Unit" dataDxfId="116"/>
    <tableColumn id="6" xr3:uid="{97B66A41-BCC9-AB4A-9001-73F9BCD59411}" name="Comparisons" dataDxfId="115"/>
    <tableColumn id="7" xr3:uid="{0CC57FA7-D6D5-D04B-8A50-C681928970E3}" name="Variable Type" dataDxfId="114"/>
    <tableColumn id="8" xr3:uid="{793541F2-DD76-C241-9A02-11BCAFDBFB73}" name="Dependency" dataDxfId="113"/>
    <tableColumn id="12" xr3:uid="{77D37813-222C-3645-B2B0-7C5CE186734F}" name="Test 1" dataDxfId="112"/>
    <tableColumn id="10" xr3:uid="{705C6C59-C9FA-CF40-8C63-CC7BAA8D5513}" name="Test 2" dataDxfId="111"/>
    <tableColumn id="2" xr3:uid="{3CCF3320-E3BD-5A4C-926A-DD0EC2697FB0}" name="Test 3" dataDxfId="110"/>
    <tableColumn id="9" xr3:uid="{DFCD7E77-6792-EC4A-8937-7BD5661A57E7}" name="Description" dataDxfId="1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3" dataDxfId="101" headerRowBorderDxfId="102" tableBorderDxfId="100" totalsRowBorderDxfId="99">
  <autoFilter ref="A9:J13" xr:uid="{B089C5C3-2CCE-4800-96CA-2131BB6E3E4F}"/>
  <tableColumns count="10">
    <tableColumn id="1" xr3:uid="{20310A95-CEA4-0E46-A375-D38774A1331C}" name="Variable" dataDxfId="98"/>
    <tableColumn id="4" xr3:uid="{677D6E7A-ABBB-7F47-BEBA-202C00329494}" name="Value" dataDxfId="97"/>
    <tableColumn id="5" xr3:uid="{4C9D6E28-38C2-434B-8F96-F002277F8DF6}" name="Unit" dataDxfId="96"/>
    <tableColumn id="6" xr3:uid="{14421855-DDE0-1B4F-9E2F-0DCEAE184349}" name="Comparisons" dataDxfId="95"/>
    <tableColumn id="7" xr3:uid="{B52A6C11-F701-BB42-BCC5-C034770E9DBB}" name="Variable Type" dataDxfId="94"/>
    <tableColumn id="8" xr3:uid="{7995AC5C-141D-1241-85F4-ED670AA6D852}" name="Dependency" dataDxfId="93"/>
    <tableColumn id="12" xr3:uid="{36F66342-4897-3D48-B96B-71B0734889A5}" name="Test 1" dataDxfId="92"/>
    <tableColumn id="10" xr3:uid="{7FE5DC9B-6534-0E47-9DE7-3B926E4C9E93}" name="Test 2" dataDxfId="91"/>
    <tableColumn id="2" xr3:uid="{B9967632-3249-EA4A-A375-C9085B3EE56A}" name="Test 3" dataDxfId="90"/>
    <tableColumn id="9" xr3:uid="{A656D5B2-43BE-D144-B69B-B013AE6BC6D4}" name="Description" dataDxfId="8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3" dataDxfId="81" headerRowBorderDxfId="82" tableBorderDxfId="80" totalsRowBorderDxfId="79">
  <autoFilter ref="A9:J12" xr:uid="{B089C5C3-2CCE-4800-96CA-2131BB6E3E4F}"/>
  <tableColumns count="10">
    <tableColumn id="1" xr3:uid="{29F8658A-9F09-7042-A7EC-353D08C08D34}" name="Variable" dataDxfId="78"/>
    <tableColumn id="4" xr3:uid="{0AC5C09B-7B5C-9640-A6C7-5BA8E05A9F0D}" name="Value" dataDxfId="77"/>
    <tableColumn id="5" xr3:uid="{4A165AEE-D3E0-DB4C-9890-DA2D18843B58}" name="Unit" dataDxfId="76"/>
    <tableColumn id="6" xr3:uid="{23F62B44-EB3B-FD48-85F1-55541D28F146}" name="Comparisons" dataDxfId="75"/>
    <tableColumn id="7" xr3:uid="{24641755-61AF-6C44-A79C-0EC6F77B3090}" name="Variable Type" dataDxfId="74"/>
    <tableColumn id="8" xr3:uid="{8EB70C81-0937-1548-8A36-195915CD1F99}" name="Dependency" dataDxfId="73"/>
    <tableColumn id="12" xr3:uid="{636C1BEE-1088-1842-B84F-652A0A7EFF6A}" name="Test 1" dataDxfId="72"/>
    <tableColumn id="10" xr3:uid="{611EFDE4-0DDB-044D-8690-A970063DA108}" name="Test 2" dataDxfId="71"/>
    <tableColumn id="2" xr3:uid="{2E2B9EE9-BE3C-354D-8E63-B39DE80C44A0}" name="Test 3" dataDxfId="70"/>
    <tableColumn id="9" xr3:uid="{F8DFB1CD-985B-4E45-BA3D-DD47F4100DAE}" name="Description" dataDxfId="6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54" dataDxfId="52" headerRowBorderDxfId="53" tableBorderDxfId="51" totalsRowBorderDxfId="50">
  <autoFilter ref="A9:J45" xr:uid="{B089C5C3-2CCE-4800-96CA-2131BB6E3E4F}"/>
  <tableColumns count="10">
    <tableColumn id="1" xr3:uid="{281F5226-2025-4C6E-999C-A8F575CB206B}" name="Variable" dataDxfId="49"/>
    <tableColumn id="4" xr3:uid="{907AC290-8B5F-4AFA-8DCB-C690B3734F6B}" name="Value" dataDxfId="48"/>
    <tableColumn id="5" xr3:uid="{76BE4CFE-05C6-43DC-A13C-4BFE2A2E4F38}" name="Unit" dataDxfId="47"/>
    <tableColumn id="6" xr3:uid="{8061F981-FF76-4C8B-B572-12CB713F43CB}" name="Comparisons" dataDxfId="46"/>
    <tableColumn id="7" xr3:uid="{2BCD4B9F-F682-4298-A3AA-A5F92D2263C4}" name="Variable Type" dataDxfId="45"/>
    <tableColumn id="8" xr3:uid="{1CC9FBBF-69F8-429A-814B-71DBAFF37359}" name="Dependency" dataDxfId="44"/>
    <tableColumn id="12" xr3:uid="{D2543F4F-0C85-4145-B5BB-64C7DAAA0F12}" name="Test 1" dataDxfId="43"/>
    <tableColumn id="10" xr3:uid="{4C9832B7-0AD2-4777-AAFC-C60DE2F7DA3B}" name="Test 2" dataDxfId="42"/>
    <tableColumn id="2" xr3:uid="{E95041DF-C927-4C37-AF74-78F291F45F62}" name="Test 3" dataDxfId="41"/>
    <tableColumn id="9" xr3:uid="{F7EA5B65-C16E-4E6D-B23B-ACC0E861E56F}" name="Description" dataDxfId="4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4" dataDxfId="32" headerRowBorderDxfId="33" tableBorderDxfId="31" totalsRowBorderDxfId="30">
  <autoFilter ref="A9:J12" xr:uid="{B089C5C3-2CCE-4800-96CA-2131BB6E3E4F}"/>
  <tableColumns count="10">
    <tableColumn id="1" xr3:uid="{44E0B3A5-6A4B-4795-9F7F-DFBC306A75AE}" name="Variable" dataDxfId="29"/>
    <tableColumn id="4" xr3:uid="{34601FCC-65BC-4521-A6D7-320915B57F27}" name="Value" dataDxfId="28"/>
    <tableColumn id="5" xr3:uid="{36AA1FCE-8527-4F3E-BCD1-98FD13692D02}" name="Unit" dataDxfId="27"/>
    <tableColumn id="6" xr3:uid="{12237314-E311-4D61-9218-5391943A2DF3}" name="Comparisons" dataDxfId="26"/>
    <tableColumn id="7" xr3:uid="{602D3377-1190-430C-923B-FDC8A407022D}" name="Variable Type" dataDxfId="25"/>
    <tableColumn id="8" xr3:uid="{10F3779F-E5E0-418C-9D45-01C039CD3A06}" name="Dependency" dataDxfId="24"/>
    <tableColumn id="12" xr3:uid="{69811E65-CA30-400A-95DC-3E2E433E9B45}" name="Test 1" dataDxfId="23"/>
    <tableColumn id="10" xr3:uid="{653CF00F-2786-4470-A0B5-63F5C3F8853F}" name="Test 2" dataDxfId="22"/>
    <tableColumn id="2" xr3:uid="{FB2088F6-6335-4325-9E72-FE87533BD5DC}" name="Test 3" dataDxfId="21"/>
    <tableColumn id="9" xr3:uid="{5B622A13-3DAF-4FB5-869E-E869B7C199FB}" name="Description" dataDxfId="2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9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40" x14ac:dyDescent="0.2">
      <c r="D5" s="61" t="s">
        <v>39</v>
      </c>
      <c r="E5" s="61"/>
      <c r="F5" s="61"/>
      <c r="G5" s="61"/>
      <c r="H5" s="61"/>
      <c r="I5" s="61"/>
      <c r="J5" s="61"/>
    </row>
    <row r="6" spans="4:10" ht="20" x14ac:dyDescent="0.2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40" x14ac:dyDescent="0.2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40" x14ac:dyDescent="0.2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80" x14ac:dyDescent="0.2">
      <c r="D9" s="40">
        <v>3</v>
      </c>
      <c r="E9" s="41" t="s">
        <v>217</v>
      </c>
      <c r="F9" s="42">
        <v>45649</v>
      </c>
      <c r="G9" s="40" t="s">
        <v>40</v>
      </c>
      <c r="H9" s="40"/>
      <c r="I9" s="40"/>
      <c r="J9" s="41" t="s">
        <v>218</v>
      </c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>
    <tabColor rgb="FFFFFF00"/>
  </sheetPr>
  <dimension ref="A1:U23"/>
  <sheetViews>
    <sheetView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 x14ac:dyDescent="0.2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 x14ac:dyDescent="0.2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 x14ac:dyDescent="0.2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139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dataConsolidate/>
  <phoneticPr fontId="1" type="noConversion"/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IF(COUNTIF(Table1931213142[Test 3],1)=COUNTA(Table1931213142[Value]),"Ready","Not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sheet="1" objects="1" scenarios="1" selectLockedCells="1"/>
  <mergeCells count="2">
    <mergeCell ref="A3:J3"/>
    <mergeCell ref="J4:J8"/>
  </mergeCells>
  <conditionalFormatting sqref="B10:B11">
    <cfRule type="expression" dxfId="128" priority="1">
      <formula>IF(AND($B10&lt;&gt;"",$I10=0),1,0)</formula>
    </cfRule>
    <cfRule type="expression" dxfId="127" priority="2">
      <formula>IF($B10&lt;&gt;"",1,0)</formula>
    </cfRule>
    <cfRule type="expression" dxfId="126" priority="3">
      <formula>$I10=0</formula>
    </cfRule>
  </conditionalFormatting>
  <conditionalFormatting sqref="J4">
    <cfRule type="expression" dxfId="125" priority="2056">
      <formula>IF(COUNTA($B$10:$B$11)&lt;&gt;COUNTIF($I$10:$I$11,1),1,0)</formula>
    </cfRule>
    <cfRule type="expression" dxfId="124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IF(COUNTIF(Table1931213143[Test 3],1)=COUNTA(Table1931213143[Value]),"Ready","Not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80" x14ac:dyDescent="0.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6" x14ac:dyDescent="0.2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6" x14ac:dyDescent="0.2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6" x14ac:dyDescent="0.2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sheet="1" objects="1" scenarios="1" selectLockedCells="1"/>
  <mergeCells count="2">
    <mergeCell ref="A3:J3"/>
    <mergeCell ref="J4:J8"/>
  </mergeCells>
  <conditionalFormatting sqref="B10:B13">
    <cfRule type="expression" dxfId="108" priority="1">
      <formula>IF(AND($B10&lt;&gt;"",$I10=0),1,0)</formula>
    </cfRule>
    <cfRule type="expression" dxfId="107" priority="2">
      <formula>IF($B10&lt;&gt;"",1,0)</formula>
    </cfRule>
    <cfRule type="expression" dxfId="106" priority="3">
      <formula>$I10=0</formula>
    </cfRule>
  </conditionalFormatting>
  <conditionalFormatting sqref="J4">
    <cfRule type="expression" dxfId="105" priority="2058">
      <formula>IF(COUNTA($B$10:$B$13)&lt;&gt;COUNTIF($I$10:$I$13,1),1,0)</formula>
    </cfRule>
    <cfRule type="expression" dxfId="104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J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IF(COUNTIF(Table1931213144[Test 3],1)=COUNTA(Table1931213144[Value]),"Ready","Not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32" x14ac:dyDescent="0.2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sheet="1" objects="1" scenarios="1" selectLockedCells="1"/>
  <mergeCells count="2">
    <mergeCell ref="A3:J3"/>
    <mergeCell ref="J4:J8"/>
  </mergeCells>
  <conditionalFormatting sqref="B10:B12">
    <cfRule type="expression" dxfId="88" priority="7">
      <formula>IF(AND($B10&lt;&gt;"",$I10=0),1,0)</formula>
    </cfRule>
    <cfRule type="expression" dxfId="87" priority="8">
      <formula>IF($B10&lt;&gt;"",1,0)</formula>
    </cfRule>
    <cfRule type="expression" dxfId="86" priority="9">
      <formula>$I10=0</formula>
    </cfRule>
  </conditionalFormatting>
  <conditionalFormatting sqref="J4">
    <cfRule type="expression" dxfId="85" priority="2062">
      <formula>IF(COUNTA($B$10:$B$12)&lt;&gt;COUNTIF($I$10:$I$12,1),1,0)</formula>
    </cfRule>
    <cfRule type="expression" dxfId="84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4.5" customHeight="1" x14ac:dyDescent="0.2"/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IF(COUNTIF(Table193121314[Test 3],1)=COUNTA(Table193121314[Value]),"Ready","Not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98" x14ac:dyDescent="0.2">
      <c r="A11" s="46" t="s">
        <v>157</v>
      </c>
      <c r="B11" s="33">
        <f>0.00328*760*1000/22413</f>
        <v>0.11122116628742247</v>
      </c>
      <c r="C11" s="35" t="s">
        <v>159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[2]Initialization!$B$10</f>
        <v>2</v>
      </c>
      <c r="I11" s="44">
        <f>IF('[3]Model Selection'!$B$10=1,1,0)</f>
        <v>1</v>
      </c>
      <c r="J11" s="5" t="s">
        <v>180</v>
      </c>
    </row>
    <row r="12" spans="1:10" ht="98" x14ac:dyDescent="0.2">
      <c r="A12" s="46" t="s">
        <v>158</v>
      </c>
      <c r="B12" s="33">
        <f>0.006*760*1000/22413</f>
        <v>0.20345335296479725</v>
      </c>
      <c r="C12" s="35" t="s">
        <v>159</v>
      </c>
      <c r="D12" s="1" t="s">
        <v>24</v>
      </c>
      <c r="E12" s="1" t="s">
        <v>7</v>
      </c>
      <c r="F12" s="2" t="s">
        <v>5</v>
      </c>
      <c r="G12" s="1"/>
      <c r="H12" s="55">
        <f>[2]Initialization!$B$10</f>
        <v>2</v>
      </c>
      <c r="I12" s="44">
        <f>IF('[3]Model Selection'!$B$10=1,1,0)</f>
        <v>1</v>
      </c>
      <c r="J12" s="5" t="s">
        <v>180</v>
      </c>
    </row>
    <row r="13" spans="1:10" ht="50" x14ac:dyDescent="0.2">
      <c r="A13" s="4" t="s">
        <v>71</v>
      </c>
      <c r="B13" s="33"/>
      <c r="C13" s="35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[2]Initialization!$B$10</f>
        <v>2</v>
      </c>
      <c r="I13" s="44">
        <f>IF(OR('[3]Model Selection'!$B$10=2,'[3]Model Selection'!$B$10=3),1,0)</f>
        <v>0</v>
      </c>
      <c r="J13" s="5" t="s">
        <v>188</v>
      </c>
    </row>
    <row r="14" spans="1:10" ht="50" x14ac:dyDescent="0.2">
      <c r="A14" s="4" t="s">
        <v>74</v>
      </c>
      <c r="B14" s="33"/>
      <c r="C14" s="35" t="s">
        <v>161</v>
      </c>
      <c r="D14" s="1" t="s">
        <v>24</v>
      </c>
      <c r="E14" s="1" t="s">
        <v>7</v>
      </c>
      <c r="F14" s="2" t="s">
        <v>5</v>
      </c>
      <c r="G14" s="1"/>
      <c r="H14" s="55">
        <f>[2]Initialization!$B$10</f>
        <v>2</v>
      </c>
      <c r="I14" s="44">
        <f>IF(OR('[3]Model Selection'!$B$10=2,'[3]Model Selection'!$B$10=3),1,0)</f>
        <v>0</v>
      </c>
      <c r="J14" s="5" t="s">
        <v>188</v>
      </c>
    </row>
    <row r="15" spans="1:10" ht="66" x14ac:dyDescent="0.2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[2]Initialization!$B$10</f>
        <v>2</v>
      </c>
      <c r="I15" s="44">
        <f>IF('[3]Model Selection'!$B$10=2,1,0)</f>
        <v>0</v>
      </c>
      <c r="J15" s="5" t="s">
        <v>181</v>
      </c>
    </row>
    <row r="16" spans="1:10" ht="66" x14ac:dyDescent="0.2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[2]Initialization!$B$10</f>
        <v>2</v>
      </c>
      <c r="I16" s="44">
        <f>IF('[3]Model Selection'!$B$10=2,1,0)</f>
        <v>0</v>
      </c>
      <c r="J16" s="5" t="s">
        <v>181</v>
      </c>
    </row>
    <row r="17" spans="1:10" ht="98" x14ac:dyDescent="0.2">
      <c r="A17" s="46" t="s">
        <v>163</v>
      </c>
      <c r="B17" s="33"/>
      <c r="C17" s="35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[2]Initialization!$B$10</f>
        <v>2</v>
      </c>
      <c r="I17" s="44">
        <f>IF('[3]Model Selection'!$B$10=3,1,0)</f>
        <v>0</v>
      </c>
      <c r="J17" s="5" t="s">
        <v>182</v>
      </c>
    </row>
    <row r="18" spans="1:10" ht="98" x14ac:dyDescent="0.2">
      <c r="A18" s="46" t="s">
        <v>164</v>
      </c>
      <c r="B18" s="33"/>
      <c r="C18" s="35" t="s">
        <v>160</v>
      </c>
      <c r="D18" s="1" t="s">
        <v>24</v>
      </c>
      <c r="E18" s="1" t="s">
        <v>7</v>
      </c>
      <c r="F18" s="2" t="s">
        <v>5</v>
      </c>
      <c r="G18" s="1"/>
      <c r="H18" s="55">
        <f>[2]Initialization!$B$10</f>
        <v>2</v>
      </c>
      <c r="I18" s="44">
        <f>IF('[3]Model Selection'!$B$10=3,1,0)</f>
        <v>0</v>
      </c>
      <c r="J18" s="5" t="s">
        <v>182</v>
      </c>
    </row>
    <row r="19" spans="1:10" ht="50" x14ac:dyDescent="0.2">
      <c r="A19" s="46" t="s">
        <v>165</v>
      </c>
      <c r="B19" s="33"/>
      <c r="C19" s="35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[2]Initialization!$B$10</f>
        <v>2</v>
      </c>
      <c r="I19" s="44">
        <f>IF('[3]Model Selection'!$B$10=3,1,0)</f>
        <v>0</v>
      </c>
      <c r="J19" s="5" t="s">
        <v>183</v>
      </c>
    </row>
    <row r="20" spans="1:10" ht="50" x14ac:dyDescent="0.2">
      <c r="A20" s="46" t="s">
        <v>166</v>
      </c>
      <c r="B20" s="33"/>
      <c r="C20" s="35" t="s">
        <v>3</v>
      </c>
      <c r="D20" s="1" t="s">
        <v>24</v>
      </c>
      <c r="E20" s="1" t="s">
        <v>7</v>
      </c>
      <c r="F20" s="2" t="s">
        <v>5</v>
      </c>
      <c r="G20" s="1"/>
      <c r="H20" s="55">
        <f>[2]Initialization!$B$10</f>
        <v>2</v>
      </c>
      <c r="I20" s="44">
        <f>IF('[3]Model Selection'!$B$10=3,1,0)</f>
        <v>0</v>
      </c>
      <c r="J20" s="5" t="s">
        <v>183</v>
      </c>
    </row>
    <row r="21" spans="1:10" ht="66" x14ac:dyDescent="0.2">
      <c r="A21" s="46" t="s">
        <v>167</v>
      </c>
      <c r="B21" s="33"/>
      <c r="C21" s="35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[2]Initialization!$B$10</f>
        <v>2</v>
      </c>
      <c r="I21" s="44">
        <f>IF('[3]Model Selection'!$B$10=4,1,0)</f>
        <v>0</v>
      </c>
      <c r="J21" s="5" t="s">
        <v>184</v>
      </c>
    </row>
    <row r="22" spans="1:10" ht="66" x14ac:dyDescent="0.2">
      <c r="A22" s="46" t="s">
        <v>168</v>
      </c>
      <c r="B22" s="33"/>
      <c r="C22" s="35" t="s">
        <v>161</v>
      </c>
      <c r="D22" s="1" t="s">
        <v>24</v>
      </c>
      <c r="E22" s="1" t="s">
        <v>7</v>
      </c>
      <c r="F22" s="2" t="s">
        <v>5</v>
      </c>
      <c r="G22" s="1"/>
      <c r="H22" s="55">
        <f>[2]Initialization!$B$10</f>
        <v>2</v>
      </c>
      <c r="I22" s="44">
        <f>IF('[3]Model Selection'!$B$10=4,1,0)</f>
        <v>0</v>
      </c>
      <c r="J22" s="5" t="s">
        <v>184</v>
      </c>
    </row>
    <row r="23" spans="1:10" ht="66" x14ac:dyDescent="0.2">
      <c r="A23" s="46" t="s">
        <v>169</v>
      </c>
      <c r="B23" s="33"/>
      <c r="C23" s="35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[2]Initialization!$B$10</f>
        <v>2</v>
      </c>
      <c r="I23" s="44">
        <f>IF('[3]Model Selection'!$B$10=4,1,0)</f>
        <v>0</v>
      </c>
      <c r="J23" s="5" t="s">
        <v>185</v>
      </c>
    </row>
    <row r="24" spans="1:10" ht="66" x14ac:dyDescent="0.2">
      <c r="A24" s="46" t="s">
        <v>170</v>
      </c>
      <c r="B24" s="33"/>
      <c r="C24" s="35" t="s">
        <v>179</v>
      </c>
      <c r="D24" s="1" t="s">
        <v>24</v>
      </c>
      <c r="E24" s="1" t="s">
        <v>7</v>
      </c>
      <c r="F24" s="2" t="s">
        <v>5</v>
      </c>
      <c r="G24" s="1"/>
      <c r="H24" s="55">
        <f>[2]Initialization!$B$10</f>
        <v>2</v>
      </c>
      <c r="I24" s="44">
        <f>IF('[3]Model Selection'!$B$10=4,1,0)</f>
        <v>0</v>
      </c>
      <c r="J24" s="5" t="s">
        <v>185</v>
      </c>
    </row>
    <row r="25" spans="1:10" ht="66" x14ac:dyDescent="0.2">
      <c r="A25" s="46" t="s">
        <v>171</v>
      </c>
      <c r="B25" s="33"/>
      <c r="C25" s="35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[2]Initialization!$B$10</f>
        <v>2</v>
      </c>
      <c r="I25" s="44">
        <f>IF('[3]Model Selection'!$B$10=4,1,0)</f>
        <v>0</v>
      </c>
      <c r="J25" s="5" t="s">
        <v>186</v>
      </c>
    </row>
    <row r="26" spans="1:10" ht="66" x14ac:dyDescent="0.2">
      <c r="A26" s="46" t="s">
        <v>172</v>
      </c>
      <c r="B26" s="33"/>
      <c r="C26" s="35" t="s">
        <v>189</v>
      </c>
      <c r="D26" s="1" t="s">
        <v>24</v>
      </c>
      <c r="E26" s="1" t="s">
        <v>7</v>
      </c>
      <c r="F26" s="2" t="s">
        <v>5</v>
      </c>
      <c r="G26" s="1"/>
      <c r="H26" s="55">
        <f>[2]Initialization!$B$10</f>
        <v>2</v>
      </c>
      <c r="I26" s="44">
        <f>IF('[3]Model Selection'!$B$10=4,1,0)</f>
        <v>0</v>
      </c>
      <c r="J26" s="5" t="s">
        <v>186</v>
      </c>
    </row>
    <row r="27" spans="1:10" ht="66" x14ac:dyDescent="0.2">
      <c r="A27" s="46" t="s">
        <v>173</v>
      </c>
      <c r="B27" s="33"/>
      <c r="C27" s="35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[2]Initialization!$B$10</f>
        <v>2</v>
      </c>
      <c r="I27" s="44">
        <f>IF('[3]Model Selection'!$B$10=4,1,0)</f>
        <v>0</v>
      </c>
      <c r="J27" s="5" t="s">
        <v>187</v>
      </c>
    </row>
    <row r="28" spans="1:10" ht="66" x14ac:dyDescent="0.2">
      <c r="A28" s="46" t="s">
        <v>174</v>
      </c>
      <c r="B28" s="33"/>
      <c r="C28" s="35" t="s">
        <v>20</v>
      </c>
      <c r="D28" s="1" t="s">
        <v>24</v>
      </c>
      <c r="E28" s="1" t="s">
        <v>7</v>
      </c>
      <c r="F28" s="2" t="s">
        <v>5</v>
      </c>
      <c r="G28" s="1"/>
      <c r="H28" s="55">
        <f>[2]Initialization!$B$10</f>
        <v>2</v>
      </c>
      <c r="I28" s="44">
        <f>IF('[3]Model Selection'!$B$10=4,1,0)</f>
        <v>0</v>
      </c>
      <c r="J28" s="5" t="s">
        <v>187</v>
      </c>
    </row>
    <row r="29" spans="1:10" ht="98" x14ac:dyDescent="0.2">
      <c r="A29" s="46" t="s">
        <v>175</v>
      </c>
      <c r="B29" s="33"/>
      <c r="C29" s="35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[2]Initialization!$B$10</f>
        <v>2</v>
      </c>
      <c r="I29" s="44">
        <f>IF('[3]Model Selection'!$B$10=4,1,0)</f>
        <v>0</v>
      </c>
      <c r="J29" s="5" t="s">
        <v>190</v>
      </c>
    </row>
    <row r="30" spans="1:10" ht="98" x14ac:dyDescent="0.2">
      <c r="A30" s="46" t="s">
        <v>176</v>
      </c>
      <c r="B30" s="33"/>
      <c r="C30" s="35" t="s">
        <v>3</v>
      </c>
      <c r="D30" s="1" t="s">
        <v>24</v>
      </c>
      <c r="E30" s="1" t="s">
        <v>7</v>
      </c>
      <c r="F30" s="2" t="s">
        <v>5</v>
      </c>
      <c r="G30" s="1"/>
      <c r="H30" s="55">
        <f>[2]Initialization!$B$10</f>
        <v>2</v>
      </c>
      <c r="I30" s="44">
        <f>IF('[3]Model Selection'!$B$10=4,1,0)</f>
        <v>0</v>
      </c>
      <c r="J30" s="5" t="s">
        <v>190</v>
      </c>
    </row>
    <row r="31" spans="1:10" ht="66" x14ac:dyDescent="0.2">
      <c r="A31" s="46" t="s">
        <v>177</v>
      </c>
      <c r="B31" s="33"/>
      <c r="C31" s="35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[2]Initialization!$B$10</f>
        <v>2</v>
      </c>
      <c r="I31" s="44">
        <f>IF('[3]Model Selection'!$B$10=4,1,0)</f>
        <v>0</v>
      </c>
      <c r="J31" s="5" t="s">
        <v>191</v>
      </c>
    </row>
    <row r="32" spans="1:10" ht="66" x14ac:dyDescent="0.2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1"/>
      <c r="H32" s="55">
        <f>[2]Initialization!$B$10</f>
        <v>2</v>
      </c>
      <c r="I32" s="44">
        <f>IF('[3]Model Selection'!$B$10=4,1,0)</f>
        <v>0</v>
      </c>
      <c r="J32" s="5" t="s">
        <v>191</v>
      </c>
    </row>
    <row r="33" spans="1:10" ht="48" x14ac:dyDescent="0.2">
      <c r="A33" s="56" t="s">
        <v>192</v>
      </c>
      <c r="B33" s="57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[2]Initialization!$B$10</f>
        <v>2</v>
      </c>
      <c r="I33" s="44">
        <f>IF(OR('[3]Model Selection'!$B$10=5,'[3]Model Selection'!$B$10=6),1,0)</f>
        <v>0</v>
      </c>
      <c r="J33" s="58" t="s">
        <v>193</v>
      </c>
    </row>
    <row r="34" spans="1:10" ht="48" x14ac:dyDescent="0.2">
      <c r="A34" s="56" t="s">
        <v>194</v>
      </c>
      <c r="B34" s="57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[2]Initialization!$B$10</f>
        <v>2</v>
      </c>
      <c r="I34" s="44">
        <f>IF(OR('[3]Model Selection'!$B$10=5,'[3]Model Selection'!$B$10=6),1,0)</f>
        <v>0</v>
      </c>
      <c r="J34" s="58" t="s">
        <v>195</v>
      </c>
    </row>
    <row r="35" spans="1:10" ht="48" x14ac:dyDescent="0.2">
      <c r="A35" s="56" t="s">
        <v>196</v>
      </c>
      <c r="B35" s="57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[2]Initialization!$B$10</f>
        <v>2</v>
      </c>
      <c r="I35" s="44">
        <f>IF(OR('[3]Model Selection'!$B$10=5,'[3]Model Selection'!$B$10=6),1,0)</f>
        <v>0</v>
      </c>
      <c r="J35" s="58" t="s">
        <v>197</v>
      </c>
    </row>
    <row r="36" spans="1:10" ht="48" x14ac:dyDescent="0.2">
      <c r="A36" s="56" t="s">
        <v>198</v>
      </c>
      <c r="B36" s="57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[2]Initialization!$B$10</f>
        <v>2</v>
      </c>
      <c r="I36" s="44">
        <f>IF(OR('[3]Model Selection'!$B$10=5,'[3]Model Selection'!$B$10=6),1,0)</f>
        <v>0</v>
      </c>
      <c r="J36" s="58" t="s">
        <v>199</v>
      </c>
    </row>
    <row r="37" spans="1:10" ht="48" x14ac:dyDescent="0.2">
      <c r="A37" s="56" t="s">
        <v>200</v>
      </c>
      <c r="B37" s="57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[2]Initialization!$B$10</f>
        <v>2</v>
      </c>
      <c r="I37" s="44">
        <f>IF(OR('[3]Model Selection'!$B$10=5,'[3]Model Selection'!$B$10=6),1,0)</f>
        <v>0</v>
      </c>
      <c r="J37" s="58" t="s">
        <v>201</v>
      </c>
    </row>
    <row r="38" spans="1:10" ht="48" x14ac:dyDescent="0.2">
      <c r="A38" s="56" t="s">
        <v>202</v>
      </c>
      <c r="B38" s="57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[2]Initialization!$B$10</f>
        <v>2</v>
      </c>
      <c r="I38" s="44">
        <f>IF(OR('[3]Model Selection'!$B$10=5,'[3]Model Selection'!$B$10=6),1,0)</f>
        <v>0</v>
      </c>
      <c r="J38" s="58" t="s">
        <v>203</v>
      </c>
    </row>
    <row r="39" spans="1:10" ht="48" x14ac:dyDescent="0.2">
      <c r="A39" s="56" t="s">
        <v>204</v>
      </c>
      <c r="B39" s="57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[2]Initialization!$B$10</f>
        <v>2</v>
      </c>
      <c r="I39" s="44">
        <f>IF(OR('[3]Model Selection'!$B$10=5,'[3]Model Selection'!$B$10=6),1,0)</f>
        <v>0</v>
      </c>
      <c r="J39" s="58" t="s">
        <v>205</v>
      </c>
    </row>
    <row r="40" spans="1:10" ht="48" x14ac:dyDescent="0.2">
      <c r="A40" s="56" t="s">
        <v>206</v>
      </c>
      <c r="B40" s="57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[2]Initialization!$B$10</f>
        <v>2</v>
      </c>
      <c r="I40" s="44">
        <f>IF(OR('[3]Model Selection'!$B$10=5,'[3]Model Selection'!$B$10=6),1,0)</f>
        <v>0</v>
      </c>
      <c r="J40" s="58" t="s">
        <v>207</v>
      </c>
    </row>
    <row r="41" spans="1:10" ht="32" x14ac:dyDescent="0.2">
      <c r="A41" s="56" t="s">
        <v>208</v>
      </c>
      <c r="B41" s="57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[2]Initialization!$B$10</f>
        <v>2</v>
      </c>
      <c r="I41" s="44">
        <f>IF(OR('[3]Model Selection'!$B$10=5,'[3]Model Selection'!$B$10=6),1,0)</f>
        <v>0</v>
      </c>
      <c r="J41" s="58" t="s">
        <v>209</v>
      </c>
    </row>
    <row r="42" spans="1:10" ht="32" x14ac:dyDescent="0.2">
      <c r="A42" s="56" t="s">
        <v>210</v>
      </c>
      <c r="B42" s="57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[2]Initialization!$B$10</f>
        <v>2</v>
      </c>
      <c r="I42" s="44">
        <f>IF(OR('[3]Model Selection'!$B$10=5,'[3]Model Selection'!$B$10=6),1,0)</f>
        <v>0</v>
      </c>
      <c r="J42" s="58" t="s">
        <v>211</v>
      </c>
    </row>
    <row r="43" spans="1:10" ht="32" x14ac:dyDescent="0.2">
      <c r="A43" s="56" t="s">
        <v>212</v>
      </c>
      <c r="B43" s="57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[2]Initialization!$B$10</f>
        <v>2</v>
      </c>
      <c r="I43" s="44">
        <f>IF(OR('[3]Model Selection'!$B$10=5,'[3]Model Selection'!$B$10=6),1,0)</f>
        <v>0</v>
      </c>
      <c r="J43" s="58" t="s">
        <v>213</v>
      </c>
    </row>
    <row r="44" spans="1:10" ht="32" x14ac:dyDescent="0.2">
      <c r="A44" s="56" t="s">
        <v>214</v>
      </c>
      <c r="B44" s="57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[2]Initialization!$B$10</f>
        <v>2</v>
      </c>
      <c r="I44" s="44">
        <f>IF(OR('[3]Model Selection'!$B$10=5,'[3]Model Selection'!$B$10=6),1,0)</f>
        <v>0</v>
      </c>
      <c r="J44" s="58" t="s">
        <v>215</v>
      </c>
    </row>
    <row r="45" spans="1:10" ht="14.5" customHeight="1" x14ac:dyDescent="0.2">
      <c r="A45" s="59" t="s">
        <v>88</v>
      </c>
      <c r="B45" s="34"/>
      <c r="C45" s="60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216</v>
      </c>
    </row>
  </sheetData>
  <sheetProtection sheet="1" objects="1" scenarios="1" selectLockedCells="1"/>
  <mergeCells count="2">
    <mergeCell ref="A3:J3"/>
    <mergeCell ref="J4:J8"/>
  </mergeCells>
  <conditionalFormatting sqref="B10">
    <cfRule type="expression" dxfId="68" priority="13">
      <formula>IF(AND($B10&lt;&gt;"",$I10=0),1,0)</formula>
    </cfRule>
    <cfRule type="expression" dxfId="67" priority="14">
      <formula>IF($B10&lt;&gt;"",1,0)</formula>
    </cfRule>
    <cfRule type="expression" dxfId="66" priority="15">
      <formula>$I10=0</formula>
    </cfRule>
  </conditionalFormatting>
  <conditionalFormatting sqref="B10:B44">
    <cfRule type="expression" dxfId="65" priority="25">
      <formula>IF(AND($B10&lt;&gt;"",$I10=0),1,0)</formula>
    </cfRule>
    <cfRule type="expression" dxfId="64" priority="26">
      <formula>IF($B10&lt;&gt;"",1,0)</formula>
    </cfRule>
    <cfRule type="expression" dxfId="63" priority="27">
      <formula>$I10=0</formula>
    </cfRule>
  </conditionalFormatting>
  <conditionalFormatting sqref="B13">
    <cfRule type="expression" dxfId="62" priority="16">
      <formula>IF(AND($B13&lt;&gt;"",$I13=0),1,0)</formula>
    </cfRule>
    <cfRule type="expression" dxfId="61" priority="17">
      <formula>IF($B13&lt;&gt;"",1,0)</formula>
    </cfRule>
    <cfRule type="expression" dxfId="60" priority="18">
      <formula>$I13=0</formula>
    </cfRule>
  </conditionalFormatting>
  <conditionalFormatting sqref="B45">
    <cfRule type="expression" dxfId="59" priority="1">
      <formula>IF(AND($B45&lt;&gt;"",$I45=0),1,0)</formula>
    </cfRule>
    <cfRule type="expression" dxfId="58" priority="2">
      <formula>IF($B45&lt;&gt;"",1,0)</formula>
    </cfRule>
    <cfRule type="expression" dxfId="57" priority="3">
      <formula>$I45=0</formula>
    </cfRule>
  </conditionalFormatting>
  <conditionalFormatting sqref="J4">
    <cfRule type="expression" dxfId="56" priority="2072">
      <formula>IF(COUNTA($B$10:$B$45)&lt;&gt;COUNTIF($I$10:$I$45,1),1,0)</formula>
    </cfRule>
    <cfRule type="expression" dxfId="55" priority="2073">
      <formula>IF(COUNTA($B$10:$B$45)=COUNTIF($I$10:$I$45,1),1,0)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IF(COUNTIF(Table19312131415[Test 3],1)=COUNTA(Table19312131415[Value]),"Ready","Not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[2]Initialization!$B$10</f>
        <v>2</v>
      </c>
      <c r="I10" s="6">
        <v>1</v>
      </c>
      <c r="J10" s="5" t="s">
        <v>76</v>
      </c>
    </row>
    <row r="11" spans="1:10" ht="32" x14ac:dyDescent="0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[2]Initialization!$B$10</f>
        <v>2</v>
      </c>
      <c r="I11" s="6">
        <v>1</v>
      </c>
      <c r="J11" s="5" t="s">
        <v>76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sheet="1" objects="1" scenarios="1" selectLockedCells="1"/>
  <mergeCells count="2">
    <mergeCell ref="A3:J3"/>
    <mergeCell ref="J4:J8"/>
  </mergeCells>
  <conditionalFormatting sqref="B10:B1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$I10=0</formula>
    </cfRule>
  </conditionalFormatting>
  <conditionalFormatting sqref="J4">
    <cfRule type="expression" dxfId="36" priority="2052">
      <formula>IF(COUNTA($B$10:$B$12)&lt;&gt;COUNTIF($I$10:$I$12,1),1,0)</formula>
    </cfRule>
    <cfRule type="expression" dxfId="35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IF(COUNTIF(Table1931213141516[Test 3],1)=COUNTA(Table1931213141516[Value]),"Ready","Not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[3]Initialization!$B$13</f>
        <v>0</v>
      </c>
      <c r="J10" s="5" t="s">
        <v>128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sheet="1" objects="1" scenarios="1" selectLockedCells="1"/>
  <mergeCells count="2">
    <mergeCell ref="A3:J3"/>
    <mergeCell ref="J4:J8"/>
  </mergeCells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E3E6612-1E4F-438B-A8D9-A639C32B3C71}">
          <x14:formula1>
            <xm:f>Reference!$A$2:$A$8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baseColWidth="10" defaultColWidth="0" defaultRowHeight="14.5" customHeight="1" zeroHeight="1" x14ac:dyDescent="0.2"/>
  <cols>
    <col min="1" max="2" width="8.83203125" style="48" customWidth="1"/>
    <col min="3" max="3" width="13.1640625" style="48" customWidth="1"/>
    <col min="4" max="4" width="13.5" style="48" customWidth="1"/>
    <col min="5" max="7" width="8.83203125" style="48" customWidth="1"/>
    <col min="8" max="8" width="14.8320312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83203125" style="48" customWidth="1"/>
    <col min="13" max="18" width="8.83203125" style="48" customWidth="1"/>
    <col min="19" max="48" width="0" style="48" hidden="1" customWidth="1"/>
    <col min="49" max="16384" width="8.83203125" style="48" hidden="1"/>
  </cols>
  <sheetData>
    <row r="1" spans="1:18" ht="14.5" customHeight="1" x14ac:dyDescent="0.2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5" x14ac:dyDescent="0.2">
      <c r="A2" s="66" t="s">
        <v>103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</row>
    <row r="3" spans="1:18" ht="15" x14ac:dyDescent="0.2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 x14ac:dyDescent="0.2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 x14ac:dyDescent="0.2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 x14ac:dyDescent="0.2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 x14ac:dyDescent="0.2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 x14ac:dyDescent="0.2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 x14ac:dyDescent="0.2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 x14ac:dyDescent="0.2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 x14ac:dyDescent="0.2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 x14ac:dyDescent="0.2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 x14ac:dyDescent="0.2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 x14ac:dyDescent="0.2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 x14ac:dyDescent="0.2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 x14ac:dyDescent="0.2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 x14ac:dyDescent="0.2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 x14ac:dyDescent="0.2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 x14ac:dyDescent="0.2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 x14ac:dyDescent="0.2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 x14ac:dyDescent="0.2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 x14ac:dyDescent="0.2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 x14ac:dyDescent="0.2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 x14ac:dyDescent="0.2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 x14ac:dyDescent="0.2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 x14ac:dyDescent="0.2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 x14ac:dyDescent="0.2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 x14ac:dyDescent="0.2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 x14ac:dyDescent="0.2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 x14ac:dyDescent="0.2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 x14ac:dyDescent="0.2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 x14ac:dyDescent="0.2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 x14ac:dyDescent="0.2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 x14ac:dyDescent="0.2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 x14ac:dyDescent="0.2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 x14ac:dyDescent="0.2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 x14ac:dyDescent="0.2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 x14ac:dyDescent="0.2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 x14ac:dyDescent="0.2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 x14ac:dyDescent="0.2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 x14ac:dyDescent="0.2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 x14ac:dyDescent="0.2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 x14ac:dyDescent="0.2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 x14ac:dyDescent="0.2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 x14ac:dyDescent="0.2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 x14ac:dyDescent="0.2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 x14ac:dyDescent="0.2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 x14ac:dyDescent="0.2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 x14ac:dyDescent="0.2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 x14ac:dyDescent="0.2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 x14ac:dyDescent="0.2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 x14ac:dyDescent="0.2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 x14ac:dyDescent="0.2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 x14ac:dyDescent="0.2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 x14ac:dyDescent="0.2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 x14ac:dyDescent="0.2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 x14ac:dyDescent="0.2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 x14ac:dyDescent="0.2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 x14ac:dyDescent="0.2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99</v>
      </c>
    </row>
    <row r="2" spans="1:1" x14ac:dyDescent="0.2">
      <c r="A2" t="s">
        <v>97</v>
      </c>
    </row>
    <row r="3" spans="1:1" x14ac:dyDescent="0.2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/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T2">
        <v>62</v>
      </c>
      <c r="AU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workbookViewId="0"/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2025-02-19T05:16:53Z</dcterms:modified>
</cp:coreProperties>
</file>