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ACA7364B-2598-0F41-96AE-20A76EECA19B}" xr6:coauthVersionLast="47" xr6:coauthVersionMax="47" xr10:uidLastSave="{00000000-0000-0000-0000-000000000000}"/>
  <bookViews>
    <workbookView xWindow="0" yWindow="640" windowWidth="28800" windowHeight="18000" tabRatio="818" activeTab="2" xr2:uid="{CB583278-6AF7-49E7-A969-6064EAB4A9B4}"/>
  </bookViews>
  <sheets>
    <sheet name="Revision History" sheetId="4" r:id="rId1"/>
    <sheet name="Reference" sheetId="2" state="hidden" r:id="rId2"/>
    <sheet name="Ambient Conditions" sheetId="31" r:id="rId3"/>
    <sheet name="Standard Conditions" sheetId="33" r:id="rId4"/>
    <sheet name="Ideal Gas Properties" sheetId="21" r:id="rId5"/>
    <sheet name="Help" sheetId="29" state="hidden" r:id="rId6"/>
    <sheet name="maintenance check list" sheetId="28" state="hidden" r:id="rId7"/>
    <sheet name="Data(Transposed)" sheetId="3" state="hidden" r:id="rId8"/>
    <sheet name="Data(Test)" sheetId="9" state="hidden" r:id="rId9"/>
  </sheets>
  <externalReferences>
    <externalReference r:id="rId10"/>
  </externalReferences>
  <definedNames>
    <definedName name="_xlnm._FilterDatabase" localSheetId="2" hidden="1">'Ambient Conditions'!$A$9:$J$12</definedName>
    <definedName name="_xlnm._FilterDatabase" localSheetId="4" hidden="1">'Ideal Gas Properties'!$A$9:$J$11</definedName>
    <definedName name="_xlnm._FilterDatabase" localSheetId="3" hidden="1">'Standard Conditions'!$A$9:$J$12</definedName>
    <definedName name="_xlnm.Print_Area" localSheetId="2">'Ambient Conditions'!$A$2:$J$12</definedName>
    <definedName name="_xlnm.Print_Area" localSheetId="4">'Ideal Gas Properties'!$A$2:$J$11</definedName>
    <definedName name="_xlnm.Print_Area" localSheetId="0">'Revision History'!$C$3:$K$51</definedName>
    <definedName name="_xlnm.Print_Area" localSheetId="3">'Standard Conditions'!$A$2:$J$12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3" l="1"/>
  <c r="J2" i="33"/>
  <c r="A2" i="33"/>
  <c r="J4" i="31"/>
  <c r="J2" i="31"/>
  <c r="A2" i="31"/>
  <c r="J2" i="21" l="1"/>
  <c r="J4" i="21" l="1"/>
  <c r="A2" i="2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tc={65B7B60E-C71D-494E-987D-FC43FC40E3BF}</author>
    <author>tc={238531AF-D0C1-41B1-9598-F05CADBC745C}</author>
    <author>tc={BCDA169C-81B0-4221-B2E5-343ABD173504}</author>
  </authors>
  <commentList>
    <comment ref="G9" authorId="0" shapeId="0" xr:uid="{65B7B60E-C71D-494E-987D-FC43FC40E3BF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8531AF-D0C1-41B1-9598-F05CADBC745C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CDA169C-81B0-4221-B2E5-343ABD173504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tc={0018B9D8-BE2C-4505-9EA4-9684290C1AB4}</author>
    <author>tc={D7509970-8AAE-4972-A62F-C6ED91EF51C9}</author>
    <author>tc={73D7FB2F-2679-4246-AB29-D830E5A9195D}</author>
  </authors>
  <commentList>
    <comment ref="G9" authorId="0" shapeId="0" xr:uid="{0018B9D8-BE2C-4505-9EA4-9684290C1A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7509970-8AAE-4972-A62F-C6ED91EF51C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3D7FB2F-2679-4246-AB29-D830E5A9195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tc={B6379D8D-81ED-47B9-B023-3A53C0EEA6A1}</author>
    <author>tc={A9836B3D-A181-4DB2-B823-8999C645C222}</author>
    <author>tc={90E32896-227C-4A2F-A904-49615A9E847F}</author>
  </authors>
  <commentList>
    <comment ref="G9" authorId="0" shapeId="0" xr:uid="{B6379D8D-81ED-47B9-B023-3A53C0EEA6A1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A9836B3D-A181-4DB2-B823-8999C645C22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0E32896-227C-4A2F-A904-49615A9E84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<sst xmlns="http://schemas.openxmlformats.org/spreadsheetml/2006/main" count="210" uniqueCount="125">
  <si>
    <t>Variable</t>
  </si>
  <si>
    <t>Value</t>
  </si>
  <si>
    <t>Unit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</si>
  <si>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</si>
  <si>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</si>
  <si>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</si>
  <si>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</si>
  <si>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</si>
  <si>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</si>
  <si>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</si>
  <si>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</si>
  <si>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</si>
  <si>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</si>
  <si>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</si>
  <si>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</si>
  <si>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</si>
  <si>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</si>
  <si>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</si>
  <si>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</si>
  <si>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cc-bar/mol-K</t>
  </si>
  <si>
    <t>bar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</si>
  <si>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</si>
  <si>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</si>
  <si>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</si>
  <si>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</si>
  <si>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</si>
  <si>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</si>
  <si>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</si>
  <si>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</si>
  <si>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</si>
  <si>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gasCons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</si>
  <si>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</si>
  <si>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</si>
  <si>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</si>
  <si>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</si>
  <si>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</si>
  <si>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</si>
  <si>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</si>
  <si>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</si>
  <si>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</si>
  <si>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</si>
  <si>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</si>
  <si>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</si>
  <si>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</si>
  <si>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</si>
  <si>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</si>
  <si>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</si>
  <si>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</si>
  <si>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</si>
  <si>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</si>
  <si>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</si>
  <si>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</si>
  <si>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</si>
  <si>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</si>
  <si>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</si>
  <si>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</si>
  <si>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</si>
  <si>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</si>
  <si>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</si>
  <si>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</si>
  <si>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</si>
  <si>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</si>
  <si>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</si>
  <si>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</si>
  <si>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</si>
  <si>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The gas constant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</si>
  <si>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</si>
  <si>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</si>
  <si>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</si>
  <si>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</si>
  <si>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</si>
  <si>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</si>
  <si>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</si>
  <si>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</si>
  <si>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</si>
  <si>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</si>
  <si>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</si>
  <si>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The ambient temperature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</si>
  <si>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</si>
  <si>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</si>
  <si>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</si>
  <si>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</si>
  <si>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</si>
  <si>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</si>
  <si>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</si>
  <si>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</si>
  <si>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</si>
  <si>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</si>
  <si>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</si>
  <si>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</si>
  <si>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</si>
  <si>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</si>
  <si>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</si>
  <si>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</si>
  <si>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the standard temperature</t>
  </si>
  <si>
    <t>MassTransferResistance</t>
  </si>
  <si>
    <t>Boolean</t>
  </si>
  <si>
    <t>numTanks</t>
  </si>
  <si>
    <t>initCondFeTa</t>
  </si>
  <si>
    <t>initCondRaTa</t>
  </si>
  <si>
    <t>presStan</t>
  </si>
  <si>
    <t>tempStan</t>
  </si>
  <si>
    <t>tempAmbi</t>
  </si>
  <si>
    <t>the standard presssure (= the ambient pressure)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</si>
  <si>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</si>
  <si>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</si>
  <si>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</si>
  <si>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</si>
  <si>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</si>
  <si>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</si>
  <si>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</si>
  <si>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</si>
  <si>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</si>
  <si>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</si>
  <si>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Natural Constants</t>
  </si>
  <si>
    <t>Natural Cosntants Reference Sources</t>
  </si>
  <si>
    <t>1. Readily available via web</t>
  </si>
  <si>
    <t>presAmbi</t>
  </si>
  <si>
    <t>The ambient pressure</t>
  </si>
  <si>
    <t>Finalized the spreadsheet for the v1.0 release</t>
  </si>
  <si>
    <t>Initial development of the "1.1_natural_constants.xlsm" sheet.</t>
  </si>
  <si>
    <t>REV. NO.2 (9/14/2022)</t>
  </si>
  <si>
    <t>REV. NO.1 (6/8/2022)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</si>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</sst>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0" borderId="0" xfId="0" applyFont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5" fillId="5" borderId="0" xfId="2" applyFont="1" applyFill="1" applyAlignment="1" applyProtection="1">
      <alignment horizontal="right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17</xdr:row>
      <xdr:rowOff>0</xdr:rowOff>
    </xdr:from>
    <xdr:to>
      <xdr:col>7</xdr:col>
      <xdr:colOff>216904</xdr:colOff>
      <xdr:row>1048576</xdr:row>
      <xdr:rowOff>139700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9FD29B8-0ED5-1349-83A6-5F2D9641F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5156200" y="5105400"/>
          <a:ext cx="2439404" cy="2425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3" name="Button 1" hidden="1">
                <a:extLst>
                  <a:ext uri="{63B3BB69-23CF-44E3-9099-C40C66FF867C}">
                    <a14:compatExt spid="_x0000_s33793"/>
                  </a:ext>
                  <a:ext uri="{FF2B5EF4-FFF2-40B4-BE49-F238E27FC236}">
                    <a16:creationId xmlns:a16="http://schemas.microsoft.com/office/drawing/2014/main" id="{00000000-0008-0000-0200-0000018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4" name="Button 2" hidden="1">
                <a:extLst>
                  <a:ext uri="{63B3BB69-23CF-44E3-9099-C40C66FF867C}">
                    <a14:compatExt spid="_x0000_s33794"/>
                  </a:ext>
                  <a:ext uri="{FF2B5EF4-FFF2-40B4-BE49-F238E27FC236}">
                    <a16:creationId xmlns:a16="http://schemas.microsoft.com/office/drawing/2014/main" id="{00000000-0008-0000-0200-0000028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3795" name="Button 3" hidden="1">
                <a:extLst>
                  <a:ext uri="{63B3BB69-23CF-44E3-9099-C40C66FF867C}">
                    <a14:compatExt spid="_x0000_s33795"/>
                  </a:ext>
                  <a:ext uri="{FF2B5EF4-FFF2-40B4-BE49-F238E27FC236}">
                    <a16:creationId xmlns:a16="http://schemas.microsoft.com/office/drawing/2014/main" id="{00000000-0008-0000-0200-00000384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Button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300-0000018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2" name="Button 2" hidden="1">
                <a:extLst>
                  <a:ext uri="{63B3BB69-23CF-44E3-9099-C40C66FF867C}">
                    <a14:compatExt spid="_x0000_s35842"/>
                  </a:ext>
                  <a:ext uri="{FF2B5EF4-FFF2-40B4-BE49-F238E27FC236}">
                    <a16:creationId xmlns:a16="http://schemas.microsoft.com/office/drawing/2014/main" id="{00000000-0008-0000-0300-0000028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3" name="Button 3" hidden="1">
                <a:extLst>
                  <a:ext uri="{63B3BB69-23CF-44E3-9099-C40C66FF867C}">
                    <a14:compatExt spid="_x0000_s35843"/>
                  </a:ext>
                  <a:ext uri="{FF2B5EF4-FFF2-40B4-BE49-F238E27FC236}">
                    <a16:creationId xmlns:a16="http://schemas.microsoft.com/office/drawing/2014/main" id="{00000000-0008-0000-0300-0000038C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5" name="Button 1" hidden="1">
                <a:extLst>
                  <a:ext uri="{63B3BB69-23CF-44E3-9099-C40C66FF867C}">
                    <a14:compatExt spid="_x0000_s26625"/>
                  </a:ext>
                  <a:ext uri="{FF2B5EF4-FFF2-40B4-BE49-F238E27FC236}">
                    <a16:creationId xmlns:a16="http://schemas.microsoft.com/office/drawing/2014/main" id="{00000000-0008-0000-0400-0000016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6" name="Button 2" hidden="1">
                <a:extLst>
                  <a:ext uri="{63B3BB69-23CF-44E3-9099-C40C66FF867C}">
                    <a14:compatExt spid="_x0000_s26626"/>
                  </a:ext>
                  <a:ext uri="{FF2B5EF4-FFF2-40B4-BE49-F238E27FC236}">
                    <a16:creationId xmlns:a16="http://schemas.microsoft.com/office/drawing/2014/main" id="{00000000-0008-0000-0400-0000026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6627" name="Button 3" hidden="1">
                <a:extLst>
                  <a:ext uri="{63B3BB69-23CF-44E3-9099-C40C66FF867C}">
                    <a14:compatExt spid="_x0000_s26627"/>
                  </a:ext>
                  <a:ext uri="{FF2B5EF4-FFF2-40B4-BE49-F238E27FC236}">
                    <a16:creationId xmlns:a16="http://schemas.microsoft.com/office/drawing/2014/main" id="{00000000-0008-0000-0400-0000036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5A30661-E2E8-412F-8106-D41199D4E3D2}" name="Table16112" displayName="Table1611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BE3B2DEE-DF6A-46EA-87C5-02B591519356}" name="Variable" dataDxfId="49"/>
    <tableColumn id="4" xr3:uid="{16CE1BD9-7D47-4704-8FA6-CD86B748A3E3}" name="Value" dataDxfId="48"/>
    <tableColumn id="5" xr3:uid="{36460C95-E98A-4995-9DB3-D2B2F9F98D63}" name="Unit" dataDxfId="47"/>
    <tableColumn id="6" xr3:uid="{E1C8ECF4-FEB3-4665-8CEE-7C4D0141700B}" name="Comparisons" dataDxfId="46"/>
    <tableColumn id="7" xr3:uid="{DE053069-9FED-4EC1-A9CC-4AA7118E0B96}" name="Variable Type" dataDxfId="45"/>
    <tableColumn id="8" xr3:uid="{5CA32585-E638-437B-858C-976C1896A007}" name="Dependency" dataDxfId="44"/>
    <tableColumn id="12" xr3:uid="{FADB51F9-C264-453D-8FD2-441E6C732E69}" name="Test 1" dataDxfId="43"/>
    <tableColumn id="10" xr3:uid="{1975A85A-F5A9-4FA8-9E1A-17B6A65B4648}" name="Test 2" dataDxfId="42"/>
    <tableColumn id="2" xr3:uid="{EA3DB17D-9195-44FF-A249-252DBB26E40B}" name="Test 3" dataDxfId="41"/>
    <tableColumn id="9" xr3:uid="{B50C6AC4-FE60-4F46-8894-FECA2E9077BE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0509DE5-E784-41C4-BD5D-20FB8A152AD9}" name="Table16114" displayName="Table16114" ref="A9:J12" totalsRowShown="0" headerRowDxfId="34" dataDxfId="32" headerRowBorderDxfId="33" tableBorderDxfId="31" totalsRowBorderDxfId="30">
  <autoFilter ref="A9:J12" xr:uid="{B089C5C3-2CCE-4800-96CA-2131BB6E3E4F}"/>
  <tableColumns count="10">
    <tableColumn id="1" xr3:uid="{91BFE39C-46D9-43DA-B44F-9009693C41F4}" name="Variable" dataDxfId="29"/>
    <tableColumn id="4" xr3:uid="{11A95599-ECE8-4E2A-A04F-F0E6FD5003FE}" name="Value" dataDxfId="28"/>
    <tableColumn id="5" xr3:uid="{06CF7066-F7A1-45A4-BB6D-00EE8CA25387}" name="Unit" dataDxfId="27"/>
    <tableColumn id="6" xr3:uid="{2558DEA0-021E-433F-A097-6A74DA3EA0DB}" name="Comparisons" dataDxfId="26"/>
    <tableColumn id="7" xr3:uid="{3AA5D5F4-F4BF-41CF-9173-522DEE21A030}" name="Variable Type" dataDxfId="25"/>
    <tableColumn id="8" xr3:uid="{D07B8979-0ED3-4576-BB6B-E10E49FBBEB9}" name="Dependency" dataDxfId="24"/>
    <tableColumn id="12" xr3:uid="{4043350D-794D-49B4-9FFC-7FC0D558D874}" name="Test 1" dataDxfId="23"/>
    <tableColumn id="10" xr3:uid="{A4236BFA-FCBC-465F-ADF1-C9507811EDD2}" name="Test 2" dataDxfId="22"/>
    <tableColumn id="2" xr3:uid="{77EF5D8B-EF73-4CFA-928B-79C43C16D3FC}" name="Test 3" dataDxfId="21"/>
    <tableColumn id="9" xr3:uid="{C91705FA-23F3-4253-AE28-F5F992CEAC0E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209735D-554C-4D45-9A5B-22726C412DAA}" name="Table1611" displayName="Table1611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1EBDAA0F-31AE-42B2-AC21-45954F97D91F}" name="Variable" dataDxfId="9"/>
    <tableColumn id="4" xr3:uid="{C1B34313-8638-4DBC-8F82-86A30B3114C8}" name="Value" dataDxfId="8"/>
    <tableColumn id="5" xr3:uid="{14759C69-3803-4BC3-A7A6-3DFFDE94B1DE}" name="Unit" dataDxfId="7"/>
    <tableColumn id="6" xr3:uid="{2D85834C-0034-47FE-BC01-DB15F04F42D2}" name="Comparisons" dataDxfId="6"/>
    <tableColumn id="7" xr3:uid="{8CD5D837-AF6D-4811-80AD-71F84A2DEB22}" name="Variable Type" dataDxfId="5"/>
    <tableColumn id="8" xr3:uid="{10026C7A-D83F-4A6C-93B4-4809A42E03C8}" name="Dependency" dataDxfId="4"/>
    <tableColumn id="12" xr3:uid="{E761AAA3-462F-4100-947A-C25D5E015411}" name="Test 1" dataDxfId="3"/>
    <tableColumn id="10" xr3:uid="{9D8C6DF1-F42E-4849-A79E-EB0F9A401CD0}" name="Test 2" dataDxfId="2"/>
    <tableColumn id="2" xr3:uid="{D8219F55-2AFF-4A68-8CB1-14BA6B3702D4}" name="Test 3" dataDxfId="1"/>
    <tableColumn id="9" xr3:uid="{E8EFBBB5-6104-496B-BE6C-A8E156BEAD7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65B7B60E-C71D-494E-987D-FC43FC40E3BF}">
    <text>place 1 if we want to keep the row when re-initializing. Otherwise, leave it as a blank.</text>
  </threadedComment>
  <threadedComment ref="H9" dT="2020-11-26T18:35:03.27" personId="{7F98AE94-13FB-49E1-9262-339C11E0EDB4}" id="{238531AF-D0C1-41B1-9598-F05CADBC745C}">
    <text>supply a value greater than 1 if you want to duplicate the row</text>
  </threadedComment>
  <threadedComment ref="I9" dT="2020-11-28T01:53:47.29" personId="{7F98AE94-13FB-49E1-9262-339C11E0EDB4}" id="{BCDA169C-81B0-4221-B2E5-343ABD173504}">
    <text>1 means we need to have the variable specified; 0 means we need not have the variable specified</text>
  </threadedComment>
  <threadedComment ref="I9" dT="2020-11-28T01:56:42.32" personId="{7F98AE94-13FB-49E1-9262-339C11E0EDB4}" id="{6478D60B-71CA-4E90-B00C-B73E13ED46D7}" parentId="{BCDA169C-81B0-4221-B2E5-343ABD173504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018B9D8-BE2C-4505-9EA4-9684290C1AB4}">
    <text>place 1 if we want to keep the row when re-initializing. Otherwise, leave it as a blank.</text>
  </threadedComment>
  <threadedComment ref="H9" dT="2020-11-26T18:35:03.27" personId="{7F98AE94-13FB-49E1-9262-339C11E0EDB4}" id="{D7509970-8AAE-4972-A62F-C6ED91EF51C9}">
    <text>supply a value greater than 1 if you want to duplicate the row</text>
  </threadedComment>
  <threadedComment ref="I9" dT="2020-11-28T01:53:47.29" personId="{7F98AE94-13FB-49E1-9262-339C11E0EDB4}" id="{73D7FB2F-2679-4246-AB29-D830E5A9195D}">
    <text>1 means we need to have the variable specified; 0 means we need not have the variable specified</text>
  </threadedComment>
  <threadedComment ref="I9" dT="2020-11-28T01:56:42.32" personId="{7F98AE94-13FB-49E1-9262-339C11E0EDB4}" id="{414A191B-728A-4286-8F94-3130A30FC4DC}" parentId="{73D7FB2F-2679-4246-AB29-D830E5A9195D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6379D8D-81ED-47B9-B023-3A53C0EEA6A1}">
    <text>place 1 if we want to keep the row when re-initializing. Otherwise, leave it as a blank.</text>
  </threadedComment>
  <threadedComment ref="H9" dT="2020-11-26T18:35:03.27" personId="{7F98AE94-13FB-49E1-9262-339C11E0EDB4}" id="{A9836B3D-A181-4DB2-B823-8999C645C222}">
    <text>supply a value greater than 1 if you want to duplicate the row</text>
  </threadedComment>
  <threadedComment ref="I9" dT="2020-11-28T01:53:47.29" personId="{7F98AE94-13FB-49E1-9262-339C11E0EDB4}" id="{90E32896-227C-4A2F-A904-49615A9E847F}">
    <text>1 means we need to have the variable specified; 0 means we need not have the variable specified</text>
  </threadedComment>
  <threadedComment ref="I9" dT="2020-11-28T01:56:42.32" personId="{7F98AE94-13FB-49E1-9262-339C11E0EDB4}" id="{E5CA60F1-F107-40C9-A74C-65690A2E108E}" parentId="{90E32896-227C-4A2F-A904-49615A9E847F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H24" sqref="H24"/>
    </sheetView>
  </sheetViews>
  <sheetFormatPr baseColWidth="10" defaultColWidth="0" defaultRowHeight="15" zeroHeight="1" x14ac:dyDescent="0.2"/>
  <cols>
    <col min="1" max="2" width="3.33203125" style="34" hidden="1" customWidth="1"/>
    <col min="3" max="3" width="2.5" style="34" customWidth="1"/>
    <col min="4" max="4" width="13.83203125" style="34" customWidth="1"/>
    <col min="5" max="5" width="51.33203125" style="35" bestFit="1" customWidth="1"/>
    <col min="6" max="6" width="15.83203125" style="36" bestFit="1" customWidth="1"/>
    <col min="7" max="9" width="13.33203125" style="34" customWidth="1"/>
    <col min="10" max="10" width="48.83203125" style="34" customWidth="1"/>
    <col min="11" max="11" width="2.5" style="34" customWidth="1"/>
    <col min="12" max="12" width="0" style="34" hidden="1" customWidth="1"/>
    <col min="13" max="16384" width="9" style="34" hidden="1"/>
  </cols>
  <sheetData>
    <row r="3" spans="4:10" x14ac:dyDescent="0.2"/>
    <row r="4" spans="4:10" ht="19" x14ac:dyDescent="0.25">
      <c r="D4" s="44" t="s">
        <v>121</v>
      </c>
      <c r="E4" s="45"/>
      <c r="F4" s="46"/>
      <c r="G4" s="47"/>
      <c r="H4" s="47"/>
      <c r="I4" s="47"/>
      <c r="J4" s="48" t="s">
        <v>87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3" t="s">
        <v>33</v>
      </c>
      <c r="E6" s="43" t="s">
        <v>113</v>
      </c>
      <c r="F6" s="43" t="s">
        <v>34</v>
      </c>
      <c r="G6" s="43" t="s">
        <v>35</v>
      </c>
      <c r="H6" s="43" t="s">
        <v>36</v>
      </c>
      <c r="I6" s="43" t="s">
        <v>37</v>
      </c>
      <c r="J6" s="43" t="s">
        <v>38</v>
      </c>
    </row>
    <row r="7" spans="4:10" ht="40" x14ac:dyDescent="0.2">
      <c r="D7" s="37">
        <v>1</v>
      </c>
      <c r="E7" s="38" t="s">
        <v>120</v>
      </c>
      <c r="F7" s="39">
        <v>44720</v>
      </c>
      <c r="G7" s="37" t="s">
        <v>40</v>
      </c>
      <c r="H7" s="37"/>
      <c r="I7" s="37"/>
      <c r="J7" s="38"/>
    </row>
    <row r="8" spans="4:10" ht="40" x14ac:dyDescent="0.2">
      <c r="D8" s="37">
        <v>2</v>
      </c>
      <c r="E8" s="38" t="s">
        <v>119</v>
      </c>
      <c r="F8" s="39">
        <v>44818</v>
      </c>
      <c r="G8" s="37" t="s">
        <v>40</v>
      </c>
      <c r="H8" s="37"/>
      <c r="I8" s="37"/>
      <c r="J8" s="38"/>
    </row>
    <row r="9" spans="4:10" ht="80" x14ac:dyDescent="0.2">
      <c r="D9" s="37">
        <v>3</v>
      </c>
      <c r="E9" s="38" t="s">
        <v>123</v>
      </c>
      <c r="F9" s="39">
        <v>45649</v>
      </c>
      <c r="G9" s="37" t="s">
        <v>40</v>
      </c>
      <c r="H9" s="37"/>
      <c r="I9" s="37"/>
      <c r="J9" s="38" t="s">
        <v>124</v>
      </c>
    </row>
    <row r="10" spans="4:10" ht="19" x14ac:dyDescent="0.2">
      <c r="D10" s="37">
        <v>4</v>
      </c>
      <c r="E10" s="38"/>
      <c r="F10" s="39"/>
      <c r="G10" s="37"/>
      <c r="H10" s="37"/>
      <c r="I10" s="37"/>
      <c r="J10" s="38"/>
    </row>
    <row r="11" spans="4:10" ht="19" x14ac:dyDescent="0.2">
      <c r="D11" s="37">
        <v>5</v>
      </c>
      <c r="E11" s="38"/>
      <c r="F11" s="39"/>
      <c r="G11" s="37"/>
      <c r="H11" s="37"/>
      <c r="I11" s="37"/>
      <c r="J11" s="38"/>
    </row>
    <row r="12" spans="4:10" ht="19" x14ac:dyDescent="0.2">
      <c r="D12" s="37">
        <v>6</v>
      </c>
      <c r="E12" s="38"/>
      <c r="F12" s="39"/>
      <c r="G12" s="37"/>
      <c r="H12" s="37"/>
      <c r="I12" s="37"/>
      <c r="J12" s="38"/>
    </row>
    <row r="13" spans="4:10" ht="19" x14ac:dyDescent="0.2">
      <c r="D13" s="37">
        <v>7</v>
      </c>
      <c r="E13" s="38"/>
      <c r="F13" s="39"/>
      <c r="G13" s="37"/>
      <c r="H13" s="37"/>
      <c r="I13" s="37"/>
      <c r="J13" s="38"/>
    </row>
    <row r="14" spans="4:10" ht="19" x14ac:dyDescent="0.2">
      <c r="D14" s="37">
        <v>8</v>
      </c>
      <c r="E14" s="38"/>
      <c r="F14" s="39"/>
      <c r="G14" s="37"/>
      <c r="H14" s="37"/>
      <c r="I14" s="37"/>
      <c r="J14" s="38"/>
    </row>
    <row r="15" spans="4:10" ht="19" x14ac:dyDescent="0.2">
      <c r="D15" s="37">
        <v>9</v>
      </c>
      <c r="E15" s="38"/>
      <c r="F15" s="39"/>
      <c r="G15" s="37"/>
      <c r="H15" s="37"/>
      <c r="I15" s="37"/>
      <c r="J15" s="38"/>
    </row>
    <row r="16" spans="4:10" ht="19" x14ac:dyDescent="0.2">
      <c r="D16" s="37">
        <v>10</v>
      </c>
      <c r="E16" s="38"/>
      <c r="F16" s="39"/>
      <c r="G16" s="37"/>
      <c r="H16" s="37"/>
      <c r="I16" s="37"/>
      <c r="J16" s="4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0AE1F244-6E04-421A-8B14-CCBD0BECF90F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12</v>
      </c>
      <c r="B1" t="s">
        <v>13</v>
      </c>
      <c r="C1" t="s">
        <v>41</v>
      </c>
      <c r="D1" t="s">
        <v>69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5</v>
      </c>
      <c r="L1" t="s">
        <v>85</v>
      </c>
      <c r="M1" t="s">
        <v>82</v>
      </c>
      <c r="N1" t="s">
        <v>83</v>
      </c>
      <c r="O1" t="s">
        <v>86</v>
      </c>
      <c r="P1" t="s">
        <v>91</v>
      </c>
      <c r="Q1" t="s">
        <v>95</v>
      </c>
      <c r="R1" t="s">
        <v>96</v>
      </c>
      <c r="S1" t="s">
        <v>97</v>
      </c>
      <c r="T1" t="s">
        <v>104</v>
      </c>
      <c r="U1" t="s">
        <v>105</v>
      </c>
    </row>
    <row r="2" spans="1:21" x14ac:dyDescent="0.2">
      <c r="A2" t="s">
        <v>7</v>
      </c>
      <c r="B2" t="s">
        <v>7</v>
      </c>
      <c r="C2" t="s">
        <v>7</v>
      </c>
      <c r="E2" t="s">
        <v>7</v>
      </c>
      <c r="F2" t="s">
        <v>7</v>
      </c>
      <c r="G2" t="s">
        <v>7</v>
      </c>
      <c r="H2" t="s">
        <v>7</v>
      </c>
      <c r="I2" t="s">
        <v>7</v>
      </c>
      <c r="J2" t="s">
        <v>7</v>
      </c>
      <c r="K2" t="s">
        <v>7</v>
      </c>
      <c r="L2" t="s">
        <v>7</v>
      </c>
      <c r="M2" t="s">
        <v>7</v>
      </c>
      <c r="N2" t="s">
        <v>7</v>
      </c>
      <c r="O2" t="s">
        <v>7</v>
      </c>
      <c r="P2" t="s">
        <v>7</v>
      </c>
      <c r="Q2" t="s">
        <v>7</v>
      </c>
      <c r="R2" t="s">
        <v>7</v>
      </c>
      <c r="S2" t="s">
        <v>7</v>
      </c>
      <c r="U2" t="s">
        <v>7</v>
      </c>
    </row>
    <row r="3" spans="1:21" x14ac:dyDescent="0.2">
      <c r="A3" t="s">
        <v>6</v>
      </c>
      <c r="B3" t="s">
        <v>26</v>
      </c>
      <c r="C3" t="s">
        <v>42</v>
      </c>
      <c r="D3" t="s">
        <v>78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84</v>
      </c>
      <c r="B4" t="s">
        <v>23</v>
      </c>
      <c r="C4" t="s">
        <v>46</v>
      </c>
      <c r="D4" t="s">
        <v>79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9</v>
      </c>
      <c r="B5" t="s">
        <v>24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5</v>
      </c>
      <c r="B6" t="s">
        <v>25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8</v>
      </c>
      <c r="B7" t="s">
        <v>27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10</v>
      </c>
      <c r="B8" t="s">
        <v>28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92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29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15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98</v>
      </c>
    </row>
    <row r="12" spans="1:21" x14ac:dyDescent="0.2">
      <c r="B12" t="s">
        <v>93</v>
      </c>
      <c r="C12" t="s">
        <v>53</v>
      </c>
      <c r="G12">
        <v>9</v>
      </c>
      <c r="H12">
        <v>9</v>
      </c>
      <c r="I12">
        <v>9</v>
      </c>
      <c r="J12" t="s">
        <v>7</v>
      </c>
    </row>
    <row r="13" spans="1:21" x14ac:dyDescent="0.2">
      <c r="B13" t="s">
        <v>16</v>
      </c>
      <c r="C13" t="s">
        <v>54</v>
      </c>
      <c r="J13">
        <v>1</v>
      </c>
    </row>
    <row r="14" spans="1:21" x14ac:dyDescent="0.2">
      <c r="B14" t="s">
        <v>22</v>
      </c>
      <c r="C14" t="s">
        <v>55</v>
      </c>
      <c r="J14">
        <v>2</v>
      </c>
    </row>
    <row r="15" spans="1:21" x14ac:dyDescent="0.2">
      <c r="B15" t="s">
        <v>14</v>
      </c>
      <c r="C15" t="s">
        <v>56</v>
      </c>
    </row>
    <row r="16" spans="1:21" x14ac:dyDescent="0.2">
      <c r="B16" t="s">
        <v>60</v>
      </c>
      <c r="C16" t="s">
        <v>57</v>
      </c>
      <c r="J16" t="s">
        <v>99</v>
      </c>
    </row>
    <row r="17" spans="2:10" x14ac:dyDescent="0.2">
      <c r="B17" t="s">
        <v>17</v>
      </c>
      <c r="C17" t="s">
        <v>58</v>
      </c>
      <c r="J17" t="s">
        <v>7</v>
      </c>
    </row>
    <row r="18" spans="2:10" x14ac:dyDescent="0.2">
      <c r="B18" t="s">
        <v>18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3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38197-7FDC-4A6E-A180-06EDC25F3A27}">
  <sheetPr codeName="Sheet11">
    <tabColor rgb="FF00B050"/>
  </sheetPr>
  <dimension ref="A1:K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O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IF(COUNTIF(Table16112[Test 3],1)=COUNTA(Table16112[Value]),"Ready","Not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102</v>
      </c>
      <c r="B10" s="31">
        <v>298.14999999999998</v>
      </c>
      <c r="C10" s="2" t="s">
        <v>21</v>
      </c>
      <c r="D10" s="1" t="s">
        <v>16</v>
      </c>
      <c r="E10" s="1" t="s">
        <v>6</v>
      </c>
      <c r="F10" s="2" t="s">
        <v>49</v>
      </c>
      <c r="G10" s="1">
        <v>1</v>
      </c>
      <c r="H10" s="1">
        <v>1</v>
      </c>
      <c r="I10" s="6">
        <v>1</v>
      </c>
      <c r="J10" s="5" t="s">
        <v>77</v>
      </c>
    </row>
    <row r="11" spans="1:10" ht="14.5" customHeight="1" x14ac:dyDescent="0.2">
      <c r="A11" s="53" t="s">
        <v>117</v>
      </c>
      <c r="B11" s="31">
        <v>1.01325</v>
      </c>
      <c r="C11" s="54" t="s">
        <v>20</v>
      </c>
      <c r="D11" s="1" t="s">
        <v>16</v>
      </c>
      <c r="E11" s="1" t="s">
        <v>6</v>
      </c>
      <c r="F11" s="2" t="s">
        <v>49</v>
      </c>
      <c r="G11" s="1">
        <v>1</v>
      </c>
      <c r="H11" s="1">
        <v>1</v>
      </c>
      <c r="I11" s="6">
        <v>1</v>
      </c>
      <c r="J11" s="5" t="s">
        <v>118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+AKOxxz/QqGc2iCRBO86GKZnJ/OXt0YOv0SZoJEmiR32uQ05UDRRSbXQOGpw2lIYEtUzKTHx7eBxdIRxh8KbdA==" saltValue="1dmiZdrlRvDU2gRTJkl07Q==" spinCount="100000" sheet="1" objects="1" scenarios="1" selectLockedCells="1"/>
  <mergeCells count="2">
    <mergeCell ref="A3:J3"/>
    <mergeCell ref="J4:J8"/>
  </mergeCells>
  <conditionalFormatting sqref="B10:B12">
    <cfRule type="expression" dxfId="59" priority="7">
      <formula>IF(AND($B10&lt;&gt;"",$I10=0),1,0)</formula>
    </cfRule>
    <cfRule type="expression" dxfId="58" priority="8">
      <formula>IF($B10&lt;&gt;"",1,0)</formula>
    </cfRule>
    <cfRule type="expression" dxfId="57" priority="9">
      <formula>$I10=0</formula>
    </cfRule>
  </conditionalFormatting>
  <conditionalFormatting sqref="J4">
    <cfRule type="expression" dxfId="56" priority="36">
      <formula>IF(COUNTA($B$10:$B$12)&lt;&gt;COUNTIF($I$10:$I$12,1),1,0)</formula>
    </cfRule>
    <cfRule type="expression" dxfId="55" priority="37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162FFD61-01AC-41FA-B881-82EEF67F4B4F}">
          <x14:formula1>
            <xm:f>Reference!$C$2:$C$23</xm:f>
          </x14:formula1>
          <xm:sqref>F10:F12</xm:sqref>
        </x14:dataValidation>
        <x14:dataValidation type="list" allowBlank="1" showInputMessage="1" showErrorMessage="1" xr:uid="{643E96B8-C926-439C-BA77-676379F7BFA3}">
          <x14:formula1>
            <xm:f>Reference!$B$2:$B$18</xm:f>
          </x14:formula1>
          <xm:sqref>D10:D12</xm:sqref>
        </x14:dataValidation>
        <x14:dataValidation type="list" allowBlank="1" showInputMessage="1" showErrorMessage="1" xr:uid="{804EDA42-8594-41DC-BADA-8EA85E13891E}">
          <x14:formula1>
            <xm:f>Reference!$A$2:$A$8</xm:f>
          </x14:formula1>
          <xm:sqref>E10:E12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23B85-4C47-4EBB-8FB4-329FEC2F3950}">
  <sheetPr codeName="Sheet12">
    <tabColor rgb="FF00B050"/>
  </sheetPr>
  <dimension ref="A1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K2" sqref="K1:XFD1048576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IF(COUNTIF(Table16114[Test 3],1)=COUNTA(Table16114[Value]),"Ready","Not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101</v>
      </c>
      <c r="B10" s="31">
        <v>273.14999999999998</v>
      </c>
      <c r="C10" s="2" t="s">
        <v>21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94</v>
      </c>
    </row>
    <row r="11" spans="1:10" ht="14.5" customHeight="1" x14ac:dyDescent="0.2">
      <c r="A11" s="4" t="s">
        <v>100</v>
      </c>
      <c r="B11" s="31">
        <v>1.01325</v>
      </c>
      <c r="C11" s="2" t="s">
        <v>20</v>
      </c>
      <c r="D11" s="1" t="s">
        <v>14</v>
      </c>
      <c r="E11" s="1" t="s">
        <v>6</v>
      </c>
      <c r="F11" s="2" t="s">
        <v>42</v>
      </c>
      <c r="G11" s="1">
        <v>1</v>
      </c>
      <c r="H11" s="1">
        <v>1</v>
      </c>
      <c r="I11" s="6">
        <v>1</v>
      </c>
      <c r="J11" s="5" t="s">
        <v>103</v>
      </c>
    </row>
    <row r="12" spans="1:10" ht="14.5" customHeight="1" x14ac:dyDescent="0.2">
      <c r="A12" s="8" t="s">
        <v>80</v>
      </c>
      <c r="B12" s="32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81</v>
      </c>
    </row>
  </sheetData>
  <sheetProtection algorithmName="SHA-512" hashValue="PmJtpqLoqcWipia/Wt1x6WYLu1hl10Ql73/FgsJacuDbu1d71JXMgTEOpCo/cC8ElTv48ZATB9tC/COXEzaIXw==" saltValue="6TAtuqzzJZhqdY622xVQiA==" spinCount="100000" sheet="1" objects="1" scenarios="1" selectLockedCells="1"/>
  <mergeCells count="2">
    <mergeCell ref="A3:J3"/>
    <mergeCell ref="J4:J8"/>
  </mergeCells>
  <conditionalFormatting sqref="B10:B12">
    <cfRule type="expression" dxfId="39" priority="7">
      <formula>IF(AND($B10&lt;&gt;"",$I10=0),1,0)</formula>
    </cfRule>
    <cfRule type="expression" dxfId="38" priority="8">
      <formula>IF($B10&lt;&gt;"",1,0)</formula>
    </cfRule>
    <cfRule type="expression" dxfId="37" priority="9">
      <formula>$I10=0</formula>
    </cfRule>
  </conditionalFormatting>
  <conditionalFormatting sqref="J4">
    <cfRule type="expression" dxfId="36" priority="43">
      <formula>IF(COUNTA($B$10:$B$12)&lt;&gt;COUNTIF($I$10:$I$12,1),1,0)</formula>
    </cfRule>
    <cfRule type="expression" dxfId="35" priority="44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734A74F-81D5-4E84-9335-84A553F8DA60}">
          <x14:formula1>
            <xm:f>Reference!$C$2:$C$23</xm:f>
          </x14:formula1>
          <xm:sqref>F10:F12</xm:sqref>
        </x14:dataValidation>
        <x14:dataValidation type="list" allowBlank="1" showInputMessage="1" showErrorMessage="1" xr:uid="{A7955C7A-5372-4A4F-84C3-08E2875F5290}">
          <x14:formula1>
            <xm:f>Reference!$B$2:$B$18</xm:f>
          </x14:formula1>
          <xm:sqref>D10:D12</xm:sqref>
        </x14:dataValidation>
        <x14:dataValidation type="list" allowBlank="1" showInputMessage="1" showErrorMessage="1" xr:uid="{B1F87DDD-7F6B-4264-8002-FA9302C3DECC}">
          <x14:formula1>
            <xm:f>Reference!$A$2:$A$8</xm:f>
          </x14:formula1>
          <xm:sqref>E10:E12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EA8B4-67A2-442E-BFD5-C73C7E5C199D}">
  <sheetPr codeName="Sheet10">
    <tabColor rgb="FF00B050"/>
  </sheetPr>
  <dimension ref="A1:K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A12" sqref="A12:XFD12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3" customWidth="1"/>
    <col min="3" max="3" width="20" style="41" customWidth="1"/>
    <col min="4" max="4" width="24.1640625" style="41" customWidth="1"/>
    <col min="5" max="5" width="17.33203125" style="41" customWidth="1"/>
    <col min="6" max="6" width="13.1640625" style="41" hidden="1" customWidth="1"/>
    <col min="7" max="9" width="15" style="41" hidden="1" customWidth="1"/>
    <col min="10" max="10" width="57.5" style="41" customWidth="1"/>
    <col min="11" max="11" width="0" style="3" hidden="1" customWidth="1"/>
    <col min="12" max="16384" width="8.83203125" style="3" hidden="1"/>
  </cols>
  <sheetData>
    <row r="1" spans="1:10" ht="15" hidden="1" x14ac:dyDescent="0.2">
      <c r="B1" s="3"/>
      <c r="C1" s="3"/>
      <c r="D1" s="3"/>
      <c r="E1" s="3"/>
      <c r="F1" s="3"/>
      <c r="G1" s="3"/>
      <c r="H1" s="3"/>
      <c r="I1" s="3"/>
      <c r="J1" s="3"/>
    </row>
    <row r="2" spans="1:10" ht="15" x14ac:dyDescent="0.2">
      <c r="A2" s="24" t="str">
        <f>'Revision History'!$D$4</f>
        <v>REV. NO.2 (9/14/2022)</v>
      </c>
      <c r="B2" s="25"/>
      <c r="C2" s="25"/>
      <c r="D2" s="25"/>
      <c r="E2" s="25"/>
      <c r="F2" s="25"/>
      <c r="G2" s="25"/>
      <c r="H2" s="25"/>
      <c r="I2" s="25"/>
      <c r="J2" s="26" t="str">
        <f>'Revision History'!$J$4</f>
        <v>Scott Research Group (jkscottresearchgroup.com)</v>
      </c>
    </row>
    <row r="3" spans="1:10" ht="19" x14ac:dyDescent="0.2">
      <c r="A3" s="56" t="s">
        <v>32</v>
      </c>
      <c r="B3" s="56"/>
      <c r="C3" s="56"/>
      <c r="D3" s="56"/>
      <c r="E3" s="56"/>
      <c r="F3" s="56"/>
      <c r="G3" s="56"/>
      <c r="H3" s="56"/>
      <c r="I3" s="56"/>
      <c r="J3" s="56"/>
    </row>
    <row r="4" spans="1:10" ht="14.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IF(COUNTIF(Table1611[Test 3],1)=COUNTA(Table1611[Value]),"Ready","Not Ready")</f>
        <v>Ready</v>
      </c>
    </row>
    <row r="5" spans="1:10" ht="14.5" customHeight="1" x14ac:dyDescent="0.2">
      <c r="A5" s="17"/>
      <c r="B5" s="18"/>
      <c r="C5" s="42"/>
      <c r="D5" s="42"/>
      <c r="E5" s="42"/>
      <c r="F5" s="42"/>
      <c r="G5" s="19"/>
      <c r="H5" s="42"/>
      <c r="I5" s="42"/>
      <c r="J5" s="58"/>
    </row>
    <row r="6" spans="1:10" ht="14.5" customHeight="1" x14ac:dyDescent="0.2">
      <c r="A6" s="17"/>
      <c r="B6" s="18"/>
      <c r="C6" s="42"/>
      <c r="D6" s="42"/>
      <c r="E6" s="42"/>
      <c r="F6" s="42"/>
      <c r="G6" s="19"/>
      <c r="H6" s="42"/>
      <c r="I6" s="42"/>
      <c r="J6" s="58"/>
    </row>
    <row r="7" spans="1:10" ht="14.5" customHeight="1" x14ac:dyDescent="0.2">
      <c r="A7" s="17"/>
      <c r="B7" s="18"/>
      <c r="C7" s="42"/>
      <c r="D7" s="42"/>
      <c r="E7" s="42"/>
      <c r="F7" s="42"/>
      <c r="G7" s="19"/>
      <c r="H7" s="42"/>
      <c r="I7" s="42"/>
      <c r="J7" s="58"/>
    </row>
    <row r="8" spans="1:10" ht="14.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5" customHeight="1" x14ac:dyDescent="0.2">
      <c r="A9" s="27" t="s">
        <v>0</v>
      </c>
      <c r="B9" s="28" t="s">
        <v>1</v>
      </c>
      <c r="C9" s="28" t="s">
        <v>2</v>
      </c>
      <c r="D9" s="28" t="s">
        <v>13</v>
      </c>
      <c r="E9" s="28" t="s">
        <v>66</v>
      </c>
      <c r="F9" s="29" t="s">
        <v>41</v>
      </c>
      <c r="G9" s="29" t="s">
        <v>67</v>
      </c>
      <c r="H9" s="28" t="s">
        <v>68</v>
      </c>
      <c r="I9" s="30" t="s">
        <v>75</v>
      </c>
      <c r="J9" s="30" t="s">
        <v>11</v>
      </c>
    </row>
    <row r="10" spans="1:10" ht="14.5" customHeight="1" x14ac:dyDescent="0.2">
      <c r="A10" s="4" t="s">
        <v>30</v>
      </c>
      <c r="B10" s="31">
        <v>83.144099999999995</v>
      </c>
      <c r="C10" s="2" t="s">
        <v>19</v>
      </c>
      <c r="D10" s="1" t="s">
        <v>14</v>
      </c>
      <c r="E10" s="1" t="s">
        <v>6</v>
      </c>
      <c r="F10" s="2" t="s">
        <v>42</v>
      </c>
      <c r="G10" s="1">
        <v>1</v>
      </c>
      <c r="H10" s="1">
        <v>1</v>
      </c>
      <c r="I10" s="6">
        <v>1</v>
      </c>
      <c r="J10" s="5" t="s">
        <v>65</v>
      </c>
    </row>
    <row r="11" spans="1:10" ht="14.5" customHeight="1" x14ac:dyDescent="0.2">
      <c r="A11" s="8" t="s">
        <v>80</v>
      </c>
      <c r="B11" s="32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81</v>
      </c>
    </row>
  </sheetData>
  <sheetProtection algorithmName="SHA-512" hashValue="C5TAAMLJsdMZolqcnwJTqocgZmTUWbR7I13foFYh1MMLli2czEstdOhAg9+vqS7hK52wUCjm7Cwc4FP2jmm2Uw==" saltValue="E5ajPqdGx1bR03ee9lkF6A==" spinCount="100000" sheet="1" objects="1" scenarios="1" selectLockedCells="1"/>
  <mergeCells count="2">
    <mergeCell ref="A3:J3"/>
    <mergeCell ref="J4:J8"/>
  </mergeCells>
  <conditionalFormatting sqref="B10:B11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60">
      <formula>IF(COUNTA($B$10:$B$11)&lt;&gt;COUNTIF($I$10:$I$11,1),1,0)</formula>
    </cfRule>
    <cfRule type="expression" dxfId="15" priority="61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6C25A647-0C0D-4AF0-8743-8D556816898E}">
          <x14:formula1>
            <xm:f>Reference!$A$2:$A$8</xm:f>
          </x14:formula1>
          <xm:sqref>E10:E11</xm:sqref>
        </x14:dataValidation>
        <x14:dataValidation type="list" allowBlank="1" showInputMessage="1" showErrorMessage="1" xr:uid="{FA783B11-485C-4991-97F3-CB17806FCB72}">
          <x14:formula1>
            <xm:f>Reference!$B$2:$B$18</xm:f>
          </x14:formula1>
          <xm:sqref>D10:D11</xm:sqref>
        </x14:dataValidation>
        <x14:dataValidation type="list" allowBlank="1" showInputMessage="1" showErrorMessage="1" xr:uid="{198BE472-E3AC-42D8-ACBB-85ED486D06E0}">
          <x14:formula1>
            <xm:f>Reference!$C$2:$C$23</xm:f>
          </x14:formula1>
          <xm:sqref>F10:F11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33329-A13C-4A83-A812-58DAC21E46B8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6" sqref="C6"/>
    </sheetView>
  </sheetViews>
  <sheetFormatPr baseColWidth="10" defaultColWidth="0" defaultRowHeight="0" customHeight="1" zeroHeight="1" x14ac:dyDescent="0.2"/>
  <cols>
    <col min="1" max="2" width="8.83203125" style="49" customWidth="1"/>
    <col min="3" max="3" width="13.1640625" style="49" customWidth="1"/>
    <col min="4" max="4" width="13.5" style="49" customWidth="1"/>
    <col min="5" max="6" width="8.83203125" style="49" customWidth="1"/>
    <col min="7" max="7" width="14.83203125" style="49" customWidth="1"/>
    <col min="8" max="8" width="11.6640625" style="49" customWidth="1"/>
    <col min="9" max="9" width="10.33203125" style="49" customWidth="1"/>
    <col min="10" max="10" width="5.6640625" style="49" customWidth="1"/>
    <col min="11" max="11" width="10.5" style="49" customWidth="1"/>
    <col min="12" max="17" width="8.83203125" style="49" customWidth="1"/>
    <col min="18" max="16384" width="8.83203125" style="49" hidden="1"/>
  </cols>
  <sheetData>
    <row r="1" spans="1:17" ht="15" x14ac:dyDescent="0.2">
      <c r="A1" s="24" t="s">
        <v>122</v>
      </c>
      <c r="B1" s="25"/>
      <c r="C1" s="25"/>
      <c r="D1" s="25"/>
      <c r="E1" s="25"/>
      <c r="F1" s="25"/>
      <c r="G1" s="25"/>
      <c r="H1" s="25"/>
      <c r="I1" s="26"/>
      <c r="J1" s="26"/>
      <c r="K1" s="26"/>
      <c r="L1" s="26"/>
      <c r="M1" s="26"/>
      <c r="N1" s="26"/>
      <c r="O1" s="26"/>
      <c r="P1" s="26"/>
      <c r="Q1" s="26" t="s">
        <v>87</v>
      </c>
    </row>
    <row r="2" spans="1:17" ht="15" x14ac:dyDescent="0.2">
      <c r="A2" s="60" t="s">
        <v>114</v>
      </c>
      <c r="B2" s="61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</row>
    <row r="3" spans="1:17" ht="15" x14ac:dyDescent="0.2">
      <c r="A3" s="50"/>
      <c r="B3" s="51"/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</row>
    <row r="4" spans="1:17" ht="15" x14ac:dyDescent="0.2">
      <c r="A4" s="50"/>
      <c r="B4" s="51" t="s">
        <v>115</v>
      </c>
      <c r="C4" s="51"/>
      <c r="D4" s="51"/>
      <c r="E4" s="51"/>
      <c r="F4" s="51"/>
      <c r="G4" s="51"/>
      <c r="H4" s="51"/>
      <c r="I4" s="51"/>
      <c r="J4" s="51"/>
      <c r="K4" s="51"/>
      <c r="L4" s="51"/>
      <c r="M4" s="51"/>
      <c r="N4" s="51"/>
      <c r="O4" s="51"/>
      <c r="P4" s="51"/>
      <c r="Q4" s="51"/>
    </row>
    <row r="5" spans="1:17" ht="15" x14ac:dyDescent="0.2">
      <c r="A5" s="50"/>
      <c r="B5" s="52"/>
      <c r="C5" s="51" t="s">
        <v>116</v>
      </c>
      <c r="D5" s="51"/>
      <c r="E5" s="51"/>
      <c r="F5" s="51"/>
      <c r="G5" s="51"/>
      <c r="H5" s="51"/>
      <c r="I5" s="51"/>
      <c r="J5" s="51"/>
      <c r="K5" s="51"/>
      <c r="L5" s="51"/>
      <c r="M5" s="51"/>
      <c r="N5" s="51"/>
      <c r="O5" s="51"/>
      <c r="P5" s="51"/>
      <c r="Q5" s="51"/>
    </row>
    <row r="6" spans="1:17" ht="15" x14ac:dyDescent="0.2">
      <c r="A6" s="50"/>
      <c r="B6" s="51"/>
      <c r="C6" s="51"/>
      <c r="D6" s="51"/>
      <c r="E6" s="51"/>
      <c r="F6" s="51"/>
      <c r="G6" s="51"/>
      <c r="H6" s="51"/>
      <c r="I6" s="51"/>
      <c r="J6" s="51"/>
      <c r="K6" s="51"/>
      <c r="L6" s="51"/>
      <c r="M6" s="51"/>
      <c r="N6" s="51"/>
      <c r="O6" s="51"/>
      <c r="P6" s="51"/>
      <c r="Q6" s="51"/>
    </row>
    <row r="7" spans="1:17" ht="15" x14ac:dyDescent="0.2">
      <c r="A7" s="50"/>
      <c r="B7" s="51"/>
      <c r="C7" s="51"/>
      <c r="D7" s="51"/>
      <c r="E7" s="51"/>
      <c r="F7" s="51"/>
      <c r="G7" s="51"/>
      <c r="H7" s="51"/>
      <c r="I7" s="51"/>
      <c r="J7" s="51"/>
      <c r="K7" s="51"/>
      <c r="L7" s="51"/>
      <c r="M7" s="51"/>
      <c r="N7" s="51"/>
      <c r="O7" s="51"/>
      <c r="P7" s="51"/>
      <c r="Q7" s="51"/>
    </row>
    <row r="8" spans="1:17" ht="15" x14ac:dyDescent="0.2">
      <c r="A8" s="50"/>
      <c r="B8" s="51"/>
      <c r="C8" s="51"/>
      <c r="D8" s="51"/>
      <c r="E8" s="51"/>
      <c r="F8" s="51"/>
      <c r="G8" s="51"/>
      <c r="H8" s="51"/>
      <c r="I8" s="51"/>
      <c r="J8" s="51"/>
      <c r="K8" s="51"/>
      <c r="L8" s="51"/>
      <c r="M8" s="51"/>
      <c r="N8" s="51"/>
      <c r="O8" s="51"/>
      <c r="P8" s="51"/>
      <c r="Q8" s="51"/>
    </row>
    <row r="9" spans="1:17" ht="15" x14ac:dyDescent="0.2">
      <c r="A9" s="50"/>
      <c r="B9" s="51"/>
      <c r="C9" s="51"/>
      <c r="D9" s="51"/>
      <c r="E9" s="51"/>
      <c r="F9" s="51"/>
      <c r="G9" s="51"/>
      <c r="H9" s="51"/>
      <c r="I9" s="51"/>
      <c r="J9" s="51"/>
      <c r="K9" s="51"/>
      <c r="L9" s="51"/>
      <c r="M9" s="51"/>
      <c r="N9" s="51"/>
      <c r="O9" s="51"/>
      <c r="P9" s="51"/>
      <c r="Q9" s="51"/>
    </row>
    <row r="10" spans="1:17" ht="15" x14ac:dyDescent="0.2">
      <c r="A10" s="50"/>
      <c r="B10" s="51"/>
      <c r="C10" s="51"/>
      <c r="D10" s="51"/>
      <c r="E10" s="51"/>
      <c r="F10" s="51"/>
      <c r="G10" s="51"/>
      <c r="H10" s="51"/>
      <c r="I10" s="51"/>
      <c r="J10" s="51"/>
      <c r="K10" s="51"/>
      <c r="L10" s="51"/>
      <c r="M10" s="51"/>
      <c r="N10" s="51"/>
      <c r="O10" s="51"/>
      <c r="P10" s="51"/>
      <c r="Q10" s="51"/>
    </row>
    <row r="11" spans="1:17" ht="15" x14ac:dyDescent="0.2">
      <c r="A11" s="50"/>
      <c r="B11" s="51"/>
      <c r="C11" s="51"/>
      <c r="D11" s="51"/>
      <c r="E11" s="51"/>
      <c r="F11" s="51"/>
      <c r="G11" s="51"/>
      <c r="H11" s="51"/>
      <c r="I11" s="51"/>
      <c r="J11" s="51"/>
      <c r="K11" s="51"/>
      <c r="L11" s="51"/>
      <c r="M11" s="51"/>
      <c r="N11" s="51"/>
      <c r="O11" s="51"/>
      <c r="P11" s="51"/>
      <c r="Q11" s="51"/>
    </row>
    <row r="12" spans="1:17" ht="15" x14ac:dyDescent="0.2">
      <c r="A12" s="50"/>
      <c r="B12" s="51"/>
      <c r="C12" s="51"/>
      <c r="D12" s="51"/>
      <c r="E12" s="51"/>
      <c r="F12" s="51"/>
      <c r="G12" s="51"/>
      <c r="H12" s="51"/>
      <c r="I12" s="51"/>
      <c r="J12" s="51"/>
      <c r="K12" s="51"/>
      <c r="L12" s="51"/>
      <c r="M12" s="51"/>
      <c r="N12" s="51"/>
      <c r="O12" s="51"/>
      <c r="P12" s="51"/>
      <c r="Q12" s="51"/>
    </row>
    <row r="13" spans="1:17" ht="15" x14ac:dyDescent="0.2">
      <c r="A13" s="50"/>
      <c r="B13" s="51"/>
      <c r="C13" s="51"/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</row>
    <row r="14" spans="1:17" ht="15" x14ac:dyDescent="0.2">
      <c r="A14" s="50"/>
      <c r="B14" s="51"/>
      <c r="C14" s="51"/>
      <c r="D14" s="51"/>
      <c r="E14" s="51"/>
      <c r="F14" s="51"/>
      <c r="G14" s="51"/>
      <c r="H14" s="51"/>
      <c r="I14" s="51"/>
      <c r="J14" s="51"/>
      <c r="K14" s="51"/>
      <c r="L14" s="51"/>
      <c r="M14" s="51"/>
      <c r="N14" s="51"/>
      <c r="O14" s="51"/>
      <c r="P14" s="51"/>
      <c r="Q14" s="51"/>
    </row>
    <row r="15" spans="1:17" ht="15" x14ac:dyDescent="0.2">
      <c r="A15" s="50"/>
      <c r="B15" s="51"/>
      <c r="C15" s="51"/>
      <c r="D15" s="51"/>
      <c r="E15" s="51"/>
      <c r="F15" s="51"/>
      <c r="G15" s="51"/>
      <c r="H15" s="51"/>
      <c r="I15" s="51"/>
      <c r="J15" s="51"/>
      <c r="K15" s="51"/>
      <c r="L15" s="51"/>
      <c r="M15" s="51"/>
      <c r="N15" s="51"/>
      <c r="O15" s="51"/>
      <c r="P15" s="51"/>
      <c r="Q15" s="51"/>
    </row>
    <row r="16" spans="1:17" ht="15" x14ac:dyDescent="0.2">
      <c r="A16" s="50"/>
      <c r="B16" s="51"/>
      <c r="C16" s="51"/>
      <c r="D16" s="51"/>
      <c r="E16" s="51"/>
      <c r="F16" s="51"/>
      <c r="G16" s="51"/>
      <c r="H16" s="51"/>
      <c r="I16" s="51"/>
      <c r="J16" s="51"/>
      <c r="K16" s="51"/>
      <c r="L16" s="51"/>
      <c r="M16" s="51"/>
      <c r="N16" s="51"/>
      <c r="O16" s="51"/>
      <c r="P16" s="51"/>
      <c r="Q16" s="51"/>
    </row>
    <row r="17" spans="1:17" ht="15" x14ac:dyDescent="0.2">
      <c r="A17" s="50"/>
      <c r="B17" s="51"/>
      <c r="C17" s="51"/>
      <c r="D17" s="51"/>
      <c r="E17" s="51"/>
      <c r="F17" s="51"/>
      <c r="G17" s="51"/>
      <c r="H17" s="51"/>
      <c r="I17" s="51"/>
      <c r="J17" s="51"/>
      <c r="K17" s="51"/>
      <c r="L17" s="51"/>
      <c r="M17" s="51"/>
      <c r="N17" s="51"/>
      <c r="O17" s="51"/>
      <c r="P17" s="51"/>
      <c r="Q17" s="51"/>
    </row>
    <row r="18" spans="1:17" ht="15" x14ac:dyDescent="0.2">
      <c r="A18" s="50"/>
      <c r="B18" s="51"/>
      <c r="C18" s="51"/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</row>
    <row r="19" spans="1:17" ht="15" x14ac:dyDescent="0.2">
      <c r="A19" s="50"/>
      <c r="B19" s="51"/>
      <c r="C19" s="51"/>
      <c r="D19" s="51"/>
      <c r="E19" s="51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</row>
    <row r="20" spans="1:17" ht="15" x14ac:dyDescent="0.2">
      <c r="A20" s="50"/>
      <c r="B20" s="51"/>
      <c r="C20" s="51"/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  <c r="P20" s="51"/>
      <c r="Q20" s="51"/>
    </row>
    <row r="21" spans="1:17" ht="15" x14ac:dyDescent="0.2">
      <c r="A21" s="50"/>
      <c r="B21" s="51"/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1"/>
      <c r="N21" s="51"/>
      <c r="O21" s="51"/>
      <c r="P21" s="51"/>
      <c r="Q21" s="51"/>
    </row>
    <row r="22" spans="1:17" ht="15" x14ac:dyDescent="0.2">
      <c r="A22" s="50"/>
      <c r="B22" s="51"/>
      <c r="C22" s="51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</row>
    <row r="23" spans="1:17" ht="15" x14ac:dyDescent="0.2">
      <c r="A23" s="50"/>
      <c r="B23" s="51"/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  <c r="Q23" s="51"/>
    </row>
    <row r="24" spans="1:17" ht="15" x14ac:dyDescent="0.2">
      <c r="A24" s="50"/>
      <c r="B24" s="51"/>
      <c r="C24" s="51"/>
      <c r="D24" s="51"/>
      <c r="E24" s="51"/>
      <c r="F24" s="51"/>
      <c r="G24" s="51"/>
      <c r="H24" s="51"/>
      <c r="I24" s="51"/>
      <c r="J24" s="51"/>
      <c r="K24" s="51"/>
      <c r="L24" s="51"/>
      <c r="M24" s="51"/>
      <c r="N24" s="51"/>
      <c r="O24" s="51"/>
      <c r="P24" s="51"/>
      <c r="Q24" s="51"/>
    </row>
    <row r="25" spans="1:17" ht="15" x14ac:dyDescent="0.2">
      <c r="A25" s="50"/>
      <c r="B25" s="51"/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51"/>
      <c r="Q25" s="51"/>
    </row>
    <row r="26" spans="1:17" ht="15" x14ac:dyDescent="0.2">
      <c r="A26" s="50"/>
      <c r="B26" s="51"/>
      <c r="C26" s="51"/>
      <c r="D26" s="51"/>
      <c r="E26" s="51"/>
      <c r="F26" s="51"/>
      <c r="G26" s="51"/>
      <c r="H26" s="51"/>
      <c r="I26" s="51"/>
      <c r="J26" s="51"/>
      <c r="K26" s="51"/>
      <c r="L26" s="51"/>
      <c r="M26" s="51"/>
      <c r="N26" s="51"/>
      <c r="O26" s="51"/>
      <c r="P26" s="51"/>
      <c r="Q26" s="51"/>
    </row>
    <row r="27" spans="1:17" ht="15" x14ac:dyDescent="0.2">
      <c r="A27" s="50"/>
      <c r="B27" s="51"/>
      <c r="C27" s="51"/>
      <c r="D27" s="51"/>
      <c r="E27" s="51"/>
      <c r="F27" s="51"/>
      <c r="G27" s="51"/>
      <c r="H27" s="51"/>
      <c r="I27" s="51"/>
      <c r="J27" s="51"/>
      <c r="K27" s="51"/>
      <c r="L27" s="51"/>
      <c r="M27" s="51"/>
      <c r="N27" s="51"/>
      <c r="O27" s="51"/>
      <c r="P27" s="51"/>
      <c r="Q27" s="51"/>
    </row>
    <row r="28" spans="1:17" ht="15" x14ac:dyDescent="0.2">
      <c r="A28" s="50"/>
      <c r="B28" s="51"/>
      <c r="C28" s="51"/>
      <c r="D28" s="51"/>
      <c r="E28" s="51"/>
      <c r="F28" s="51"/>
      <c r="G28" s="51"/>
      <c r="H28" s="51"/>
      <c r="I28" s="51"/>
      <c r="J28" s="51"/>
      <c r="K28" s="51"/>
      <c r="L28" s="51"/>
      <c r="M28" s="51"/>
      <c r="N28" s="51"/>
      <c r="O28" s="51"/>
      <c r="P28" s="51"/>
      <c r="Q28" s="51"/>
    </row>
    <row r="29" spans="1:17" ht="15" x14ac:dyDescent="0.2">
      <c r="A29" s="50"/>
      <c r="B29" s="51"/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51"/>
      <c r="Q29" s="51"/>
    </row>
    <row r="30" spans="1:17" ht="15" x14ac:dyDescent="0.2">
      <c r="A30" s="50"/>
      <c r="B30" s="51"/>
      <c r="C30" s="51"/>
      <c r="D30" s="51"/>
      <c r="E30" s="51"/>
      <c r="F30" s="51"/>
      <c r="G30" s="51"/>
      <c r="H30" s="51"/>
      <c r="I30" s="51"/>
      <c r="J30" s="51"/>
      <c r="K30" s="51"/>
      <c r="L30" s="51"/>
      <c r="M30" s="51"/>
      <c r="N30" s="51"/>
      <c r="O30" s="51"/>
      <c r="P30" s="51"/>
      <c r="Q30" s="51"/>
    </row>
    <row r="31" spans="1:17" ht="15" x14ac:dyDescent="0.2">
      <c r="A31" s="50"/>
      <c r="B31" s="51"/>
      <c r="C31" s="51"/>
      <c r="D31" s="51"/>
      <c r="E31" s="51"/>
      <c r="F31" s="51"/>
      <c r="G31" s="51"/>
      <c r="H31" s="51"/>
      <c r="I31" s="51"/>
      <c r="J31" s="51"/>
      <c r="K31" s="51"/>
      <c r="L31" s="51"/>
      <c r="M31" s="51"/>
      <c r="N31" s="51"/>
      <c r="O31" s="51"/>
      <c r="P31" s="51"/>
      <c r="Q31" s="51"/>
    </row>
    <row r="32" spans="1:17" ht="15" x14ac:dyDescent="0.2">
      <c r="A32" s="50"/>
      <c r="B32" s="52"/>
      <c r="C32" s="51"/>
      <c r="D32" s="51"/>
      <c r="E32" s="51"/>
      <c r="F32" s="51"/>
      <c r="G32" s="51"/>
      <c r="H32" s="51"/>
      <c r="I32" s="51"/>
      <c r="J32" s="51"/>
      <c r="K32" s="51"/>
      <c r="L32" s="51"/>
      <c r="M32" s="51"/>
      <c r="N32" s="51"/>
      <c r="O32" s="51"/>
      <c r="P32" s="51"/>
      <c r="Q32" s="51"/>
    </row>
    <row r="33" spans="1:17" ht="15" x14ac:dyDescent="0.2">
      <c r="A33" s="50"/>
      <c r="B33" s="51"/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51"/>
      <c r="Q33" s="51"/>
    </row>
    <row r="34" spans="1:17" ht="15" x14ac:dyDescent="0.2">
      <c r="A34" s="50"/>
      <c r="B34" s="51"/>
      <c r="C34" s="51"/>
      <c r="D34" s="51"/>
      <c r="E34" s="51"/>
      <c r="F34" s="51"/>
      <c r="G34" s="51"/>
      <c r="H34" s="51"/>
      <c r="I34" s="51"/>
      <c r="J34" s="51"/>
      <c r="K34" s="51"/>
      <c r="L34" s="51"/>
      <c r="M34" s="51"/>
      <c r="N34" s="51"/>
      <c r="O34" s="51"/>
      <c r="P34" s="51"/>
      <c r="Q34" s="51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H2"/>
  <sheetViews>
    <sheetView topLeftCell="CF1" workbookViewId="0">
      <selection activeCell="CM2" sqref="CM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298.14999999999998</v>
      </c>
      <c r="B2">
        <v>1.01325</v>
      </c>
      <c r="D2">
        <v>273.14999999999998</v>
      </c>
      <c r="E2">
        <v>1.01325</v>
      </c>
      <c r="G2">
        <v>83.144099999999995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H2"/>
  <sheetViews>
    <sheetView topLeftCell="CC1" workbookViewId="0">
      <selection activeCell="CR2" sqref="CR2"/>
    </sheetView>
  </sheetViews>
  <sheetFormatPr baseColWidth="10" defaultColWidth="8.83203125" defaultRowHeight="15" x14ac:dyDescent="0.2"/>
  <sheetData>
    <row r="1" spans="1:8" x14ac:dyDescent="0.2">
      <c r="A1" t="s">
        <v>102</v>
      </c>
      <c r="B1" t="s">
        <v>117</v>
      </c>
      <c r="C1" t="s">
        <v>80</v>
      </c>
      <c r="D1" t="s">
        <v>101</v>
      </c>
      <c r="E1" t="s">
        <v>100</v>
      </c>
      <c r="F1" t="s">
        <v>80</v>
      </c>
      <c r="G1" t="s">
        <v>30</v>
      </c>
      <c r="H1" t="s">
        <v>80</v>
      </c>
    </row>
    <row r="2" spans="1:8" x14ac:dyDescent="0.2">
      <c r="A2">
        <v>1</v>
      </c>
      <c r="B2">
        <v>1</v>
      </c>
      <c r="C2">
        <v>0</v>
      </c>
      <c r="D2">
        <v>1</v>
      </c>
      <c r="E2">
        <v>1</v>
      </c>
      <c r="F2">
        <v>0</v>
      </c>
      <c r="G2">
        <v>1</v>
      </c>
      <c r="H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Ambient Conditions</vt:lpstr>
      <vt:lpstr>Standard Conditions</vt:lpstr>
      <vt:lpstr>Ideal Gas Properties</vt:lpstr>
      <vt:lpstr>Help</vt:lpstr>
      <vt:lpstr>maintenance check list</vt:lpstr>
      <vt:lpstr>Data(Transposed)</vt:lpstr>
      <vt:lpstr>Data(Test)</vt:lpstr>
      <vt:lpstr>'Ambient Conditions'!Print_Area</vt:lpstr>
      <vt:lpstr>'Ideal Gas Properties'!Print_Area</vt:lpstr>
      <vt:lpstr>'Revision History'!Print_Area</vt:lpstr>
      <vt:lpstr>'Standard Conditions'!Print_Area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2025-02-18T19:27:18Z</dcterms:modified>
</cp:coreProperties>
</file>