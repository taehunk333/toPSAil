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k/Documents/GitHub/toPSAil/4_example/case_study_1.0/1_simulation_inputs/"/>
    </mc:Choice>
  </mc:AlternateContent>
  <xr:revisionPtr revIDLastSave="0" documentId="13_ncr:1_{99A49F85-0CA8-2B49-A8B9-7A770A4D1B97}" xr6:coauthVersionLast="47" xr6:coauthVersionMax="47" xr10:uidLastSave="{00000000-0000-0000-0000-000000000000}"/>
  <bookViews>
    <workbookView xWindow="0" yWindow="640" windowWidth="23260" windowHeight="13180" tabRatio="818" activeTab="1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externalReferences>
    <externalReference r:id="rId9"/>
  </externalReferences>
  <definedNames>
    <definedName name="_xlnm._FilterDatabase" localSheetId="1" hidden="1">Initialization!$A$8:$J$21</definedName>
    <definedName name="_xlnm._FilterDatabase" localSheetId="2" hidden="1">'Model Selection'!$A$9:$J$17</definedName>
    <definedName name="_xlnm.Print_Area" localSheetId="1">Initialization!$A$1:$J$21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3" i="39" l="1"/>
  <c r="J1" i="39"/>
  <c r="A1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8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8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8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<sst xmlns="http://schemas.openxmlformats.org/spreadsheetml/2006/main" count="308" uniqueCount="136">
  <si>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</si>
  <si>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</si>
  <si>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</si>
  <si>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</si>
  <si>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</si>
  <si>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</si>
  <si>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</si>
  <si>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</si>
  <si>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</si>
  <si>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</si>
  <si>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</si>
  <si>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</si>
  <si>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</si>
  <si>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</si>
  <si>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</si>
  <si>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</si>
  <si>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</si>
  <si>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</si>
  <si>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</si>
  <si>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</si>
  <si>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</si>
  <si>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</si>
  <si>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</si>
  <si>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</si>
  <si>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</si>
  <si>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</si>
  <si>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</si>
  <si>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</si>
  <si>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</si>
  <si>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</si>
  <si>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</si>
  <si>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</si>
  <si>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</si>
  <si>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</si>
  <si>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</si>
  <si>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</si>
  <si>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</si>
  <si>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</si>
  <si>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</si>
  <si>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</si>
  <si>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</si>
  <si>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</si>
  <si>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</si>
  <si>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</si>
  <si>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</si>
  <si>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</si>
  <si>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</si>
  <si>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</si>
  <si>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</si>
  <si>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</si>
  <si>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</si>
  <si>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</si>
  <si>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</si>
  <si>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</si>
  <si>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</si>
  <si>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</si>
  <si>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</si>
  <si>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</si>
  <si>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</si>
  <si>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</si>
  <si>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</si>
  <si>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</si>
  <si>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</si>
  <si>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</si>
  <si>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</si>
  <si>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</si>
  <si>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</si>
  <si>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</si>
  <si>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</si>
  <si>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</si>
  <si>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</si>
  <si>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</si>
  <si>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</si>
  <si>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</si>
  <si>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</si>
  <si>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</si>
  <si>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</si>
  <si>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</si>
  <si>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</si>
  <si>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</si>
  <si>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</si>
  <si>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</si>
  <si>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</si>
  <si>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</si>
  <si>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</si>
  <si>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</si>
  <si>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</si>
  <si>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</si>
  <si>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</si>
  <si>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</si>
  <si>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</si>
  <si>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</si>
  <si>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</si>
  <si>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</si>
  <si>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</si>
  <si>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</si>
  <si>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</si>
  <si>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</si>
  <si>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</si>
  <si>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</si>
  <si>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</si>
  <si>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</si>
  <si>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</si>
  <si>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</si>
  <si>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</si>
  <si>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</si>
  <si>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</si>
  <si>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</si>
  <si>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</si>
  <si>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</si>
  <si>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</si>
  <si>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</si>
  <si>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</si>
  <si>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</si>
  <si>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</si>
  <si>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</si>
  <si>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</si>
  <si>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Specify an equation of states:
0 = none
1 = ideal gas law</t>
  </si>
  <si>
    <t>Specify a valve model:
0 = none
1 = a linear valve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</si>
  <si>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</si>
  <si>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</si>
  <si>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</si>
  <si>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</si>
  <si>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</si>
  <si>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</si>
  <si>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</si>
  <si>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</si>
  <si>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</si>
  <si>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</si>
  <si>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</si>
  <si>
    <t>Specify the axial pressure drop model:
0 = no axial pressure drop
1 = Kozeny-Carman equation
2 = Ergun equation</t>
  </si>
  <si>
    <t>0 = isothermal operation,
1 = non-isothermal operation.</t>
  </si>
  <si>
    <t>Specify an adsorption isotherm model:
0 = none
1 = linear isotherm
2 = extended Langmuir isotherm
3 = multi-site Langmuir isotherm
4 = extended Langmuir-Freundlich isotherm
5 = dual-site Langmuir-Freundlich isotherm
6 = extended dual-site Langmuir-Freundlich isotherm</t>
  </si>
  <si>
    <t>0 = no hysteresis in adsorption isotherm
1 = there is hysteresis in adsorption isotherm</t>
  </si>
  <si>
    <t>Major updates on the macros.</t>
  </si>
  <si>
    <t>Macros were moved to a centeralized location: ./toPSAil/3_resources/10_macros/InputParsingMacros.xlam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</si>
</sst>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7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4" fillId="3" borderId="14" xfId="0" applyFont="1" applyFill="1" applyBorder="1" applyAlignment="1">
      <alignment horizontal="left" vertical="center" wrapText="1" indent="1"/>
    </xf>
    <xf numFmtId="0" fontId="4" fillId="3" borderId="15" xfId="0" applyFont="1" applyFill="1" applyBorder="1" applyAlignment="1">
      <alignment horizontal="center" vertical="center"/>
    </xf>
    <xf numFmtId="0" fontId="4" fillId="3" borderId="8" xfId="0" applyFont="1" applyFill="1" applyBorder="1" applyAlignment="1">
      <alignment horizontal="left" vertical="center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3</xdr:row>
      <xdr:rowOff>0</xdr:rowOff>
    </xdr:from>
    <xdr:to>
      <xdr:col>4</xdr:col>
      <xdr:colOff>490392</xdr:colOff>
      <xdr:row>6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tk/Documents/GitHub/toPSAil/3_source/10_macros/InputParsingMacros.xlam" TargetMode="External"/><Relationship Id="rId1" Type="http://schemas.openxmlformats.org/officeDocument/2006/relationships/externalLinkPath" Target="/Users/tk/Documents/GitHub/toPSAil/3_source/10_macros/InputParsingMacros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Macros.clearData"/>
      <definedName name="Macros.initComs"/>
      <definedName name="Macros.pushData"/>
    </definedNames>
    <sheetDataSet>
      <sheetData sheetId="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8:J21" totalsRowShown="0" headerRowDxfId="39" dataDxfId="37" headerRowBorderDxfId="38" tableBorderDxfId="36" totalsRowBorderDxfId="35">
  <autoFilter ref="A8:J21" xr:uid="{B089C5C3-2CCE-4800-96CA-2131BB6E3E4F}"/>
  <tableColumns count="10">
    <tableColumn id="1" xr3:uid="{68F80D25-29F2-4666-84E3-9B384B347FD6}" name="Variable" dataDxfId="34"/>
    <tableColumn id="4" xr3:uid="{970AC59F-A924-43F5-8348-8D9DC81CE55B}" name="Value" dataDxfId="33"/>
    <tableColumn id="5" xr3:uid="{4FD08566-BE5D-47FE-B0A9-0CA38A822BD7}" name="Unit" dataDxfId="32"/>
    <tableColumn id="6" xr3:uid="{0F3D7A19-FE09-47B5-B728-B70B368EF4CC}" name="Comparisons" dataDxfId="31"/>
    <tableColumn id="7" xr3:uid="{5AF158AA-FE83-40DC-9724-0492D92AFA6F}" name="Variable Type" dataDxfId="30"/>
    <tableColumn id="8" xr3:uid="{78535DA3-AFED-41F4-9B3B-57036563810F}" name="Dependency" dataDxfId="29"/>
    <tableColumn id="12" xr3:uid="{38B40BA1-DBE1-4774-8D5F-BDC4A25DDD46}" name="Test 1" dataDxfId="28"/>
    <tableColumn id="10" xr3:uid="{89B3A532-8A94-4DC0-B282-E767ECBF7A34}" name="Test 2" dataDxfId="27"/>
    <tableColumn id="2" xr3:uid="{8BB3F0AB-F341-44C2-860A-A879E77C3D5D}" name="Test 3" dataDxfId="26"/>
    <tableColumn id="9" xr3:uid="{9BB1CE86-B342-454F-B7CA-E8FDD6004FB1}" name="Description" dataDxfId="2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24" dataDxfId="22" headerRowBorderDxfId="23" tableBorderDxfId="21" totalsRowBorderDxfId="20">
  <autoFilter ref="A9:J17" xr:uid="{B089C5C3-2CCE-4800-96CA-2131BB6E3E4F}"/>
  <tableColumns count="10">
    <tableColumn id="1" xr3:uid="{E0503319-4244-40BF-80AC-47EAB20F9D82}" name="Variable" dataDxfId="19"/>
    <tableColumn id="4" xr3:uid="{C9B93118-2D75-48EB-867F-A112A1413B3A}" name="Value" dataDxfId="18"/>
    <tableColumn id="5" xr3:uid="{6DB24D56-641D-41E7-A0AF-33D3EA326C9E}" name="Unit" dataDxfId="17"/>
    <tableColumn id="6" xr3:uid="{EC0DB7D6-1463-4C4D-9A2A-4BC3C7916932}" name="Comparisons" dataDxfId="16"/>
    <tableColumn id="7" xr3:uid="{6FE91FB5-8BB7-4A02-B5AC-265E1EBFD7A4}" name="Variable Type" dataDxfId="15"/>
    <tableColumn id="8" xr3:uid="{A6460C6C-273A-466F-8C24-29520D28AB0E}" name="Dependency" dataDxfId="14"/>
    <tableColumn id="12" xr3:uid="{0D55DF56-EF41-44E6-9DE8-92E85F8BC954}" name="Test 1" dataDxfId="13"/>
    <tableColumn id="10" xr3:uid="{FE581202-0C06-4BC7-8D50-2FDDC17F8184}" name="Test 2" dataDxfId="12"/>
    <tableColumn id="2" xr3:uid="{0C40960E-3CC9-432B-A5CB-D76546536ADF}" name="Test 3" dataDxfId="11"/>
    <tableColumn id="9" xr3:uid="{05A43EF2-B89E-41B1-ABA5-98E847A1B9DC}" name="Description" dataDxfId="1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8" dT="2020-11-26T20:01:15.60" personId="{7F98AE94-13FB-49E1-9262-339C11E0EDB4}" id="{2098560F-C92A-4527-B73B-CDE0FA861BCD}">
    <text>place 1 if we want to keep the row when re-initializing. Otherwise, leave it as a blank.</text>
  </threadedComment>
  <threadedComment ref="H8" dT="2020-11-26T18:35:03.27" personId="{7F98AE94-13FB-49E1-9262-339C11E0EDB4}" id="{02C02106-AE8E-4FEF-8B35-8F0B8F7C1FE9}">
    <text>supply a value greater than 1 if you want to duplicate the row</text>
  </threadedComment>
  <threadedComment ref="I8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8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E9" sqref="E9:J9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127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50" t="s">
        <v>36</v>
      </c>
      <c r="E5" s="50"/>
      <c r="F5" s="50"/>
      <c r="G5" s="50"/>
      <c r="H5" s="50"/>
      <c r="I5" s="50"/>
      <c r="J5" s="50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126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124</v>
      </c>
      <c r="F8" s="35">
        <v>44818</v>
      </c>
      <c r="G8" s="33" t="s">
        <v>37</v>
      </c>
      <c r="H8" s="33"/>
      <c r="I8" s="33"/>
      <c r="J8" s="34"/>
    </row>
    <row r="9" spans="4:10" ht="80" x14ac:dyDescent="0.2">
      <c r="D9" s="33">
        <v>3</v>
      </c>
      <c r="E9" s="34" t="s">
        <v>134</v>
      </c>
      <c r="F9" s="35">
        <v>45649</v>
      </c>
      <c r="G9" s="33" t="s">
        <v>37</v>
      </c>
      <c r="H9" s="33"/>
      <c r="I9" s="33"/>
      <c r="J9" s="34" t="s">
        <v>135</v>
      </c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1:K21"/>
  <sheetViews>
    <sheetView showGridLines="0" tabSelected="1" zoomScaleNormal="100" zoomScaleSheetLayoutView="70" workbookViewId="0">
      <pane ySplit="8" topLeftCell="A9" activePane="bottomLeft" state="frozen"/>
      <selection activeCell="B2" sqref="B2"/>
      <selection pane="bottomLeft" activeCell="B9" sqref="B9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1" spans="1:10" ht="15" x14ac:dyDescent="0.2">
      <c r="A1" s="20" t="str">
        <f>'Revision History'!$D$4</f>
        <v>REV. NO.2 (9/14/2022)</v>
      </c>
      <c r="B1" s="21"/>
      <c r="C1" s="21"/>
      <c r="D1" s="21"/>
      <c r="E1" s="21"/>
      <c r="F1" s="21"/>
      <c r="G1" s="21"/>
      <c r="H1" s="21"/>
      <c r="I1" s="21"/>
      <c r="J1" s="22" t="str">
        <f>'Revision History'!$J$4</f>
        <v>Scott Research Group (jkscottresearchgroup.com)</v>
      </c>
    </row>
    <row r="2" spans="1:10" ht="19" x14ac:dyDescent="0.2">
      <c r="A2" s="51" t="s">
        <v>29</v>
      </c>
      <c r="B2" s="51"/>
      <c r="C2" s="51"/>
      <c r="D2" s="51"/>
      <c r="E2" s="51"/>
      <c r="F2" s="51"/>
      <c r="G2" s="51"/>
      <c r="H2" s="51"/>
      <c r="I2" s="51"/>
      <c r="J2" s="51"/>
    </row>
    <row r="3" spans="1:10" ht="14.5" customHeight="1" x14ac:dyDescent="0.2">
      <c r="A3" s="13"/>
      <c r="B3" s="14"/>
      <c r="C3" s="37"/>
      <c r="D3" s="15"/>
      <c r="E3" s="15"/>
      <c r="F3" s="15"/>
      <c r="G3" s="15"/>
      <c r="H3" s="15"/>
      <c r="I3" s="14"/>
      <c r="J3" s="52" t="str">
        <f>IF(COUNTIF(Table132[Test 3],1)=COUNTA(Table132[Value]),"Ready","Not Ready")</f>
        <v>Ready</v>
      </c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5"/>
      <c r="J4" s="53"/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6"/>
      <c r="B7" s="17"/>
      <c r="C7" s="18"/>
      <c r="D7" s="19"/>
      <c r="E7" s="19"/>
      <c r="F7" s="19"/>
      <c r="G7" s="19"/>
      <c r="H7" s="19"/>
      <c r="I7" s="19"/>
      <c r="J7" s="54"/>
    </row>
    <row r="8" spans="1:10" ht="16" x14ac:dyDescent="0.2">
      <c r="A8" s="23" t="s">
        <v>0</v>
      </c>
      <c r="B8" s="24" t="s">
        <v>1</v>
      </c>
      <c r="C8" s="24" t="s">
        <v>2</v>
      </c>
      <c r="D8" s="24" t="s">
        <v>14</v>
      </c>
      <c r="E8" s="24" t="s">
        <v>63</v>
      </c>
      <c r="F8" s="25" t="s">
        <v>38</v>
      </c>
      <c r="G8" s="25" t="s">
        <v>64</v>
      </c>
      <c r="H8" s="24" t="s">
        <v>65</v>
      </c>
      <c r="I8" s="26" t="s">
        <v>74</v>
      </c>
      <c r="J8" s="26" t="s">
        <v>12</v>
      </c>
    </row>
    <row r="9" spans="1:10" ht="32" x14ac:dyDescent="0.2">
      <c r="A9" s="4" t="s">
        <v>43</v>
      </c>
      <c r="B9" s="27">
        <v>1</v>
      </c>
      <c r="C9" s="2" t="s">
        <v>3</v>
      </c>
      <c r="D9" s="1" t="s">
        <v>57</v>
      </c>
      <c r="E9" s="1" t="s">
        <v>6</v>
      </c>
      <c r="F9" s="2" t="s">
        <v>39</v>
      </c>
      <c r="G9" s="1">
        <v>1</v>
      </c>
      <c r="H9" s="1">
        <v>1</v>
      </c>
      <c r="I9" s="6">
        <v>1</v>
      </c>
      <c r="J9" s="5" t="s">
        <v>101</v>
      </c>
    </row>
    <row r="10" spans="1:10" ht="32" x14ac:dyDescent="0.2">
      <c r="A10" s="4" t="s">
        <v>42</v>
      </c>
      <c r="B10" s="27">
        <v>0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58</v>
      </c>
    </row>
    <row r="11" spans="1:10" ht="32" x14ac:dyDescent="0.2">
      <c r="A11" s="4" t="s">
        <v>44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128</v>
      </c>
    </row>
    <row r="12" spans="1:10" ht="32" x14ac:dyDescent="0.2">
      <c r="A12" s="4" t="s">
        <v>45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116</v>
      </c>
    </row>
    <row r="13" spans="1:10" ht="32" x14ac:dyDescent="0.2">
      <c r="A13" s="4" t="s">
        <v>46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131</v>
      </c>
    </row>
    <row r="14" spans="1:10" ht="32" x14ac:dyDescent="0.2">
      <c r="A14" s="4" t="s">
        <v>47</v>
      </c>
      <c r="B14" s="27">
        <v>0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100</v>
      </c>
    </row>
    <row r="15" spans="1:10" ht="32" x14ac:dyDescent="0.2">
      <c r="A15" s="4" t="s">
        <v>48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120</v>
      </c>
    </row>
    <row r="16" spans="1:10" ht="32" x14ac:dyDescent="0.2">
      <c r="A16" s="4" t="s">
        <v>49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121</v>
      </c>
    </row>
    <row r="17" spans="1:10" ht="32" x14ac:dyDescent="0.2">
      <c r="A17" s="4" t="s">
        <v>50</v>
      </c>
      <c r="B17" s="27">
        <v>1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102</v>
      </c>
    </row>
    <row r="18" spans="1:10" ht="32" x14ac:dyDescent="0.2">
      <c r="A18" s="4" t="s">
        <v>51</v>
      </c>
      <c r="B18" s="27">
        <v>0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123</v>
      </c>
    </row>
    <row r="19" spans="1:10" ht="32" x14ac:dyDescent="0.2">
      <c r="A19" s="4" t="s">
        <v>52</v>
      </c>
      <c r="B19" s="27">
        <v>1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122</v>
      </c>
    </row>
    <row r="20" spans="1:10" ht="32" x14ac:dyDescent="0.2">
      <c r="A20" s="48" t="s">
        <v>53</v>
      </c>
      <c r="B20" s="27">
        <v>0</v>
      </c>
      <c r="C20" s="49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47" t="s">
        <v>133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</sheetData>
  <sheetProtection algorithmName="SHA-512" hashValue="6VKPflcfv789jo0SG9bhyOqGP4bgNsHxUjg3eQvm8uM622nxaIs3WHE5Dilx4cvtomma9zQzvYOmVxtsgf3VuQ==" saltValue="AIUntO4Ajv841YC3i398yg==" spinCount="100000" sheet="1" objects="1" scenarios="1" selectLockedCells="1"/>
  <mergeCells count="2">
    <mergeCell ref="A2:J2"/>
    <mergeCell ref="J3:J7"/>
  </mergeCells>
  <phoneticPr fontId="1" type="noConversion"/>
  <conditionalFormatting sqref="B9:B21">
    <cfRule type="expression" dxfId="9" priority="1">
      <formula>IF(AND($B9&lt;&gt;"",$I9=0),1,0)</formula>
    </cfRule>
    <cfRule type="expression" dxfId="8" priority="2">
      <formula>IF($B9&lt;&gt;"",1,0)</formula>
    </cfRule>
    <cfRule type="expression" dxfId="7" priority="3">
      <formula>$I9 = 0</formula>
    </cfRule>
  </conditionalFormatting>
  <conditionalFormatting sqref="J3">
    <cfRule type="expression" dxfId="6" priority="1937">
      <formula>IF(COUNTA($B$9:$B$21)&lt;&gt;COUNTIF($I$9:$I$21,1),1,0)</formula>
    </cfRule>
    <cfRule type="expression" dxfId="5" priority="1938">
      <formula>IF(COUNTA($B$9:$B$21)=COUNTIF($I$9:$I$21,1),1,0)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1]!Macros.initComs">
                <anchor moveWithCells="1" sizeWithCells="1">
                  <from>
                    <xdr:col>0</xdr:col>
                    <xdr:colOff>190500</xdr:colOff>
                    <xdr:row>3</xdr:row>
                    <xdr:rowOff>76200</xdr:rowOff>
                  </from>
                  <to>
                    <xdr:col>1</xdr:col>
                    <xdr:colOff>1003300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1]!Macros.pushData">
                <anchor moveWithCells="1" sizeWithCells="1">
                  <from>
                    <xdr:col>1</xdr:col>
                    <xdr:colOff>1104900</xdr:colOff>
                    <xdr:row>3</xdr:row>
                    <xdr:rowOff>76200</xdr:rowOff>
                  </from>
                  <to>
                    <xdr:col>3</xdr:col>
                    <xdr:colOff>0</xdr:colOff>
                    <xdr:row>5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1]!Macros.clearData">
                <anchor moveWithCells="1" sizeWithCells="1">
                  <from>
                    <xdr:col>3</xdr:col>
                    <xdr:colOff>114300</xdr:colOff>
                    <xdr:row>3</xdr:row>
                    <xdr:rowOff>76200</xdr:rowOff>
                  </from>
                  <to>
                    <xdr:col>4</xdr:col>
                    <xdr:colOff>381000</xdr:colOff>
                    <xdr:row>5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B14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B13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B12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B11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B10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B9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B15:B20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F9:F21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D9:D21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E9:E21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opLeftCell="A2" zoomScaleNormal="85" zoomScaleSheetLayoutView="70" workbookViewId="0">
      <pane ySplit="8" topLeftCell="A10" activePane="bottomLeft" state="frozen"/>
      <selection activeCell="B2" sqref="B2"/>
      <selection pane="bottomLeft" activeCell="B10" sqref="B10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51" t="s">
        <v>29</v>
      </c>
      <c r="B3" s="51"/>
      <c r="C3" s="51"/>
      <c r="D3" s="51"/>
      <c r="E3" s="51"/>
      <c r="F3" s="51"/>
      <c r="G3" s="51"/>
      <c r="H3" s="51"/>
      <c r="I3" s="51"/>
      <c r="J3" s="51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52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3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3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3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4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128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47" t="s">
        <v>132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119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117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118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130</v>
      </c>
    </row>
    <row r="16" spans="1:10" ht="96" x14ac:dyDescent="0.2">
      <c r="A16" s="4" t="s">
        <v>87</v>
      </c>
      <c r="B16" s="27">
        <v>0</v>
      </c>
      <c r="C16" s="2" t="s">
        <v>3</v>
      </c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125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GPQkpX0QOXRMmFCNyG78wjkiUrG1HQuAloPATfgKH920Hzizbo8gP7SDGKiX9muzE+8N9CA3FnZ0EoI4uk8uig==" saltValue="kaFoFaU0PazxJTOOxHkzVw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4" priority="1">
      <formula>IF(AND($B10&lt;&gt;"",$I10=0),1,0)</formula>
    </cfRule>
    <cfRule type="expression" dxfId="3" priority="2">
      <formula>IF($B10&lt;&gt;"",1,0)</formula>
    </cfRule>
    <cfRule type="expression" dxfId="2" priority="8">
      <formula>$I10 = 0</formula>
    </cfRule>
  </conditionalFormatting>
  <conditionalFormatting sqref="J4">
    <cfRule type="expression" dxfId="1" priority="1942">
      <formula>IF(COUNTA($B$10:$B$17)&lt;&gt;COUNTIF($I$10:$I$17,1),1,0)</formula>
    </cfRule>
    <cfRule type="expression" dxfId="0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1]!Macros.initComs">
                <anchor moveWithCells="1" sizeWithCells="1">
                  <from>
                    <xdr:col>0</xdr:col>
                    <xdr:colOff>177800</xdr:colOff>
                    <xdr:row>4</xdr:row>
                    <xdr:rowOff>76200</xdr:rowOff>
                  </from>
                  <to>
                    <xdr:col>1</xdr:col>
                    <xdr:colOff>927100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1]!Macros.pushData">
                <anchor moveWithCells="1" sizeWithCells="1">
                  <from>
                    <xdr:col>1</xdr:col>
                    <xdr:colOff>1016000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1]!Macros.clearData">
                <anchor moveWithCells="1" sizeWithCells="1">
                  <from>
                    <xdr:col>3</xdr:col>
                    <xdr:colOff>139700</xdr:colOff>
                    <xdr:row>4</xdr:row>
                    <xdr:rowOff>76200</xdr:rowOff>
                  </from>
                  <to>
                    <xdr:col>4</xdr:col>
                    <xdr:colOff>393700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6C3A73A-B6B2-43B7-8595-D4931E22BD65}">
          <x14:formula1>
            <xm:f>Reference!$G$2:$G$12</xm:f>
          </x14:formula1>
          <xm:sqref>B10:B16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129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5" t="s">
        <v>113</v>
      </c>
      <c r="B2" s="56"/>
      <c r="C2" s="56"/>
      <c r="D2" s="56"/>
      <c r="E2" s="56"/>
      <c r="F2" s="56"/>
      <c r="G2" s="56"/>
      <c r="H2" s="56"/>
      <c r="I2" s="56"/>
      <c r="J2" s="56"/>
      <c r="K2" s="56"/>
      <c r="L2" s="56"/>
      <c r="M2" s="56"/>
      <c r="N2" s="56"/>
      <c r="O2" s="56"/>
      <c r="P2" s="56"/>
      <c r="Q2" s="56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5" t="s">
        <v>114</v>
      </c>
      <c r="B18" s="56"/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U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L2">
        <v>0</v>
      </c>
      <c r="N2">
        <v>1</v>
      </c>
      <c r="O2">
        <v>1</v>
      </c>
      <c r="P2">
        <v>1</v>
      </c>
      <c r="Q2">
        <v>1</v>
      </c>
      <c r="R2">
        <v>0</v>
      </c>
      <c r="S2">
        <v>0</v>
      </c>
      <c r="T2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U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1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53</v>
      </c>
      <c r="M1" t="s">
        <v>78</v>
      </c>
      <c r="N1" t="s">
        <v>69</v>
      </c>
      <c r="O1" t="s">
        <v>70</v>
      </c>
      <c r="P1" t="s">
        <v>71</v>
      </c>
      <c r="Q1" t="s">
        <v>72</v>
      </c>
      <c r="R1" t="s">
        <v>73</v>
      </c>
      <c r="S1" t="s">
        <v>86</v>
      </c>
      <c r="T1" t="s">
        <v>87</v>
      </c>
      <c r="U1" t="s">
        <v>78</v>
      </c>
    </row>
    <row r="2" spans="1:21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1</v>
      </c>
      <c r="M2">
        <v>0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2024-12-23T22:55:49Z</dcterms:modified>
</cp:coreProperties>
</file>