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96BF9A7B-09CB-1F46-82ED-20F5E6E8C46E}" xr6:coauthVersionLast="47" xr6:coauthVersionMax="47" xr10:uidLastSave="{00000000-0000-0000-0000-000000000000}"/>
  <bookViews>
    <workbookView xWindow="0" yWindow="640" windowWidth="23260" windowHeight="13180" tabRatio="818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externalReferences>
    <externalReference r:id="rId9"/>
  </externalReferences>
  <definedNames>
    <definedName name="_xlnm._FilterDatabase" localSheetId="1" hidden="1">Initialization!$A$8:$J$21</definedName>
    <definedName name="_xlnm._FilterDatabase" localSheetId="2" hidden="1">'Model Selection'!$A$9:$J$17</definedName>
    <definedName name="_xlnm.Print_Area" localSheetId="1">Initialization!$A$1:$J$21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" i="39" l="1"/>
  <c r="J1" i="39"/>
  <c r="A1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8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<sst xmlns="http://schemas.openxmlformats.org/spreadsheetml/2006/main" count="308" uniqueCount="136">
  <si>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</si>
  <si>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</si>
  <si>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</si>
  <si>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</si>
  <si>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</si>
  <si>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</si>
  <si>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</si>
  <si>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</si>
  <si>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</si>
  <si>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</si>
  <si>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</si>
  <si>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</si>
  <si>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</si>
  <si>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</si>
  <si>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</si>
  <si>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</si>
  <si>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</si>
  <si>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</si>
  <si>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</si>
  <si>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</si>
  <si>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</si>
  <si>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</si>
  <si>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</si>
  <si>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</si>
  <si>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</si>
  <si>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</si>
  <si>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</si>
  <si>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</si>
  <si>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</si>
  <si>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</si>
  <si>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</si>
  <si>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</si>
  <si>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</si>
  <si>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</si>
  <si>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</si>
  <si>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</si>
  <si>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</si>
  <si>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</si>
  <si>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</si>
  <si>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</si>
  <si>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</si>
  <si>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</si>
  <si>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</si>
  <si>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</si>
  <si>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</si>
  <si>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</si>
  <si>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</si>
  <si>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</si>
  <si>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</si>
  <si>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</si>
  <si>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</si>
  <si>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</si>
  <si>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</si>
  <si>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</si>
  <si>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</si>
  <si>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</si>
  <si>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</si>
  <si>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</si>
  <si>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</si>
  <si>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</si>
  <si>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</si>
  <si>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</si>
  <si>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</si>
  <si>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</si>
  <si>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</si>
  <si>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</si>
  <si>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</si>
  <si>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</si>
  <si>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</si>
  <si>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</si>
  <si>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</si>
  <si>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</si>
  <si>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</si>
  <si>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</si>
  <si>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</si>
  <si>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</si>
  <si>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</si>
  <si>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</si>
  <si>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</si>
  <si>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</si>
  <si>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</si>
  <si>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</si>
  <si>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</si>
  <si>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</si>
  <si>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</si>
  <si>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</si>
  <si>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</si>
  <si>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</si>
  <si>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</si>
  <si>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</si>
  <si>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</si>
  <si>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</si>
  <si>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</si>
  <si>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</si>
  <si>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</si>
  <si>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</si>
  <si>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</si>
  <si>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</si>
  <si>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</si>
  <si>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</si>
  <si>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</si>
  <si>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</si>
  <si>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</si>
  <si>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</si>
  <si>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</si>
  <si>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</si>
  <si>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</si>
  <si>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</si>
  <si>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</si>
  <si>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</si>
  <si>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</si>
  <si>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</si>
  <si>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</si>
  <si>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</si>
  <si>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</si>
  <si>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</si>
  <si>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</si>
  <si>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</si>
  <si>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</si>
  <si>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</si>
  <si>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</si>
  <si>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</si>
  <si>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</si>
  <si>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</si>
  <si>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</si>
  <si>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</si>
  <si>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</si>
  <si>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</si>
  <si>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</si>
  <si>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</si>
  <si>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</si>
  <si>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</si>
  <si>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</si>
  <si>
    <t>0 = no hysteresis in adsorption isotherm
1 = there is hysteresis in adsorption isotherm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</si>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</sst>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14" xfId="0" applyFont="1" applyFill="1" applyBorder="1" applyAlignment="1">
      <alignment horizontal="left" vertical="center" wrapText="1" indent="1"/>
    </xf>
    <xf numFmtId="0" fontId="4" fillId="3" borderId="15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3</xdr:row>
      <xdr:rowOff>0</xdr:rowOff>
    </xdr:from>
    <xdr:to>
      <xdr:col>4</xdr:col>
      <xdr:colOff>490392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8:J21" totalsRowShown="0" headerRowDxfId="34" dataDxfId="32" headerRowBorderDxfId="33" tableBorderDxfId="31" totalsRowBorderDxfId="30">
  <autoFilter ref="A8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2098560F-C92A-4527-B73B-CDE0FA861BCD}">
    <text>place 1 if we want to keep the row when re-initializing. Otherwise, leave it as a blank.</text>
  </threadedComment>
  <threadedComment ref="H8" dT="2020-11-26T18:35:03.27" personId="{7F98AE94-13FB-49E1-9262-339C11E0EDB4}" id="{02C02106-AE8E-4FEF-8B35-8F0B8F7C1FE9}">
    <text>supply a value greater than 1 if you want to duplicate the row</text>
  </threadedComment>
  <threadedComment ref="I8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8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E7" sqref="E7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83203125" style="29" customWidth="1"/>
    <col min="5" max="5" width="51.33203125" style="30" bestFit="1" customWidth="1"/>
    <col min="6" max="6" width="15.83203125" style="31" bestFit="1" customWidth="1"/>
    <col min="7" max="9" width="13.33203125" style="29" customWidth="1"/>
    <col min="10" max="10" width="48.832031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40" x14ac:dyDescent="0.2">
      <c r="D5" s="50" t="s">
        <v>36</v>
      </c>
      <c r="E5" s="50"/>
      <c r="F5" s="50"/>
      <c r="G5" s="50"/>
      <c r="H5" s="50"/>
      <c r="I5" s="50"/>
      <c r="J5" s="50"/>
    </row>
    <row r="6" spans="4:10" ht="20" x14ac:dyDescent="0.2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60" x14ac:dyDescent="0.2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40" x14ac:dyDescent="0.2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80" x14ac:dyDescent="0.2">
      <c r="D9" s="33">
        <v>3</v>
      </c>
      <c r="E9" s="34" t="s">
        <v>134</v>
      </c>
      <c r="F9" s="35">
        <v>45649</v>
      </c>
      <c r="G9" s="33" t="s">
        <v>37</v>
      </c>
      <c r="H9" s="33"/>
      <c r="I9" s="33"/>
      <c r="J9" s="34" t="s">
        <v>135</v>
      </c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1:K21"/>
  <sheetViews>
    <sheetView showGridLines="0" zoomScaleNormal="100" zoomScaleSheetLayoutView="70" workbookViewId="0">
      <pane ySplit="8" topLeftCell="A9" activePane="bottomLeft" state="frozen"/>
      <selection activeCell="B2" sqref="B2"/>
      <selection pane="bottomLeft" activeCell="B9" sqref="B9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x14ac:dyDescent="0.2">
      <c r="A1" s="20" t="str">
        <f>'Revision History'!$D$4</f>
        <v>REV. NO.2 (9/14/2022)</v>
      </c>
      <c r="B1" s="21"/>
      <c r="C1" s="21"/>
      <c r="D1" s="21"/>
      <c r="E1" s="21"/>
      <c r="F1" s="21"/>
      <c r="G1" s="21"/>
      <c r="H1" s="21"/>
      <c r="I1" s="21"/>
      <c r="J1" s="22" t="str">
        <f>'Revision History'!$J$4</f>
        <v>Scott Research Group (jkscottresearchgroup.com)</v>
      </c>
    </row>
    <row r="2" spans="1:10" ht="19" x14ac:dyDescent="0.2">
      <c r="A2" s="51" t="s">
        <v>29</v>
      </c>
      <c r="B2" s="51"/>
      <c r="C2" s="51"/>
      <c r="D2" s="51"/>
      <c r="E2" s="51"/>
      <c r="F2" s="51"/>
      <c r="G2" s="51"/>
      <c r="H2" s="51"/>
      <c r="I2" s="51"/>
      <c r="J2" s="51"/>
    </row>
    <row r="3" spans="1:10" ht="14.5" customHeight="1" x14ac:dyDescent="0.2">
      <c r="A3" s="13"/>
      <c r="B3" s="14"/>
      <c r="C3" s="37"/>
      <c r="D3" s="15"/>
      <c r="E3" s="15"/>
      <c r="F3" s="15"/>
      <c r="G3" s="15"/>
      <c r="H3" s="15"/>
      <c r="I3" s="14"/>
      <c r="J3" s="52" t="str">
        <f>IF(COUNTIF(Table132[Test 3],1)=COUNTA(Table132[Value]),"Ready","Not Ready")</f>
        <v>Ready</v>
      </c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5"/>
      <c r="J4" s="53"/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6"/>
      <c r="B7" s="17"/>
      <c r="C7" s="18"/>
      <c r="D7" s="19"/>
      <c r="E7" s="19"/>
      <c r="F7" s="19"/>
      <c r="G7" s="19"/>
      <c r="H7" s="19"/>
      <c r="I7" s="19"/>
      <c r="J7" s="54"/>
    </row>
    <row r="8" spans="1:10" ht="16" x14ac:dyDescent="0.2">
      <c r="A8" s="23" t="s">
        <v>0</v>
      </c>
      <c r="B8" s="24" t="s">
        <v>1</v>
      </c>
      <c r="C8" s="24" t="s">
        <v>2</v>
      </c>
      <c r="D8" s="24" t="s">
        <v>14</v>
      </c>
      <c r="E8" s="24" t="s">
        <v>63</v>
      </c>
      <c r="F8" s="25" t="s">
        <v>38</v>
      </c>
      <c r="G8" s="25" t="s">
        <v>64</v>
      </c>
      <c r="H8" s="24" t="s">
        <v>65</v>
      </c>
      <c r="I8" s="26" t="s">
        <v>74</v>
      </c>
      <c r="J8" s="26" t="s">
        <v>12</v>
      </c>
    </row>
    <row r="9" spans="1:10" ht="32" x14ac:dyDescent="0.2">
      <c r="A9" s="4" t="s">
        <v>43</v>
      </c>
      <c r="B9" s="27">
        <v>1</v>
      </c>
      <c r="C9" s="2" t="s">
        <v>3</v>
      </c>
      <c r="D9" s="1" t="s">
        <v>57</v>
      </c>
      <c r="E9" s="1" t="s">
        <v>6</v>
      </c>
      <c r="F9" s="2" t="s">
        <v>39</v>
      </c>
      <c r="G9" s="1">
        <v>1</v>
      </c>
      <c r="H9" s="1">
        <v>1</v>
      </c>
      <c r="I9" s="6">
        <v>1</v>
      </c>
      <c r="J9" s="5" t="s">
        <v>101</v>
      </c>
    </row>
    <row r="10" spans="1:10" ht="32" x14ac:dyDescent="0.2">
      <c r="A10" s="4" t="s">
        <v>42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58</v>
      </c>
    </row>
    <row r="11" spans="1:10" ht="32" x14ac:dyDescent="0.2">
      <c r="A11" s="4" t="s">
        <v>44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128</v>
      </c>
    </row>
    <row r="12" spans="1:10" ht="32" x14ac:dyDescent="0.2">
      <c r="A12" s="4" t="s">
        <v>45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116</v>
      </c>
    </row>
    <row r="13" spans="1:10" ht="32" x14ac:dyDescent="0.2">
      <c r="A13" s="4" t="s">
        <v>46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131</v>
      </c>
    </row>
    <row r="14" spans="1:10" ht="32" x14ac:dyDescent="0.2">
      <c r="A14" s="4" t="s">
        <v>47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100</v>
      </c>
    </row>
    <row r="15" spans="1:10" ht="32" x14ac:dyDescent="0.2">
      <c r="A15" s="4" t="s">
        <v>48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120</v>
      </c>
    </row>
    <row r="16" spans="1:10" ht="32" x14ac:dyDescent="0.2">
      <c r="A16" s="4" t="s">
        <v>49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121</v>
      </c>
    </row>
    <row r="17" spans="1:10" ht="32" x14ac:dyDescent="0.2">
      <c r="A17" s="4" t="s">
        <v>50</v>
      </c>
      <c r="B17" s="27">
        <v>1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102</v>
      </c>
    </row>
    <row r="18" spans="1:10" ht="32" x14ac:dyDescent="0.2">
      <c r="A18" s="4" t="s">
        <v>51</v>
      </c>
      <c r="B18" s="27">
        <v>0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123</v>
      </c>
    </row>
    <row r="19" spans="1:10" ht="32" x14ac:dyDescent="0.2">
      <c r="A19" s="4" t="s">
        <v>52</v>
      </c>
      <c r="B19" s="27">
        <v>1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122</v>
      </c>
    </row>
    <row r="20" spans="1:10" ht="32" x14ac:dyDescent="0.2">
      <c r="A20" s="48" t="s">
        <v>53</v>
      </c>
      <c r="B20" s="27">
        <v>0</v>
      </c>
      <c r="C20" s="49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47" t="s">
        <v>133</v>
      </c>
    </row>
    <row r="21" spans="1:10" ht="16" x14ac:dyDescent="0.2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untl4ZR5MlarSAexG6J2W3ZmDfQXFWlGiTprDctyatAKdj67QXmmlE94van7bynsuogQ9/Fx/J704nDXLkxE9g==" saltValue="/Eap6I4ejkdGDyVMjcHbgw==" spinCount="100000" sheet="1" objects="1" scenarios="1" selectLockedCells="1"/>
  <mergeCells count="2">
    <mergeCell ref="A2:J2"/>
    <mergeCell ref="J3:J7"/>
  </mergeCells>
  <phoneticPr fontId="1" type="noConversion"/>
  <conditionalFormatting sqref="B9:B19 B21">
    <cfRule type="expression" dxfId="42" priority="4">
      <formula>IF(AND($B9&lt;&gt;"",$I9=0),1,0)</formula>
    </cfRule>
    <cfRule type="expression" dxfId="41" priority="5">
      <formula>IF($B9&lt;&gt;"",1,0)</formula>
    </cfRule>
    <cfRule type="expression" dxfId="40" priority="6">
      <formula>$I9 = 0</formula>
    </cfRule>
  </conditionalFormatting>
  <conditionalFormatting sqref="J3">
    <cfRule type="expression" dxfId="39" priority="1937">
      <formula>IF(COUNTA($B$9:$B$21)&lt;&gt;COUNTIF($I$9:$I$21,1),1,0)</formula>
    </cfRule>
    <cfRule type="expression" dxfId="38" priority="1938">
      <formula>IF(COUNTA($B$9:$B$21)=COUNTIF($I$9:$I$21,1),1,0)</formula>
    </cfRule>
  </conditionalFormatting>
  <conditionalFormatting sqref="B20">
    <cfRule type="expression" dxfId="37" priority="1">
      <formula>IF(AND($B20&lt;&gt;"",$I20=0),1,0)</formula>
    </cfRule>
    <cfRule type="expression" dxfId="36" priority="2">
      <formula>IF($B20&lt;&gt;"",1,0)</formula>
    </cfRule>
    <cfRule type="expression" dxfId="35" priority="3">
      <formula>$I20 = 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B14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B13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B12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B11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B10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B9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B15:B20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F9:F21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D9:D21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E9:E21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8" x14ac:dyDescent="0.2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47" t="s">
        <v>132</v>
      </c>
    </row>
    <row r="11" spans="1:10" ht="48" x14ac:dyDescent="0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8" x14ac:dyDescent="0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8" x14ac:dyDescent="0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32" x14ac:dyDescent="0.2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4" x14ac:dyDescent="0.2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96" x14ac:dyDescent="0.2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 ht="16" x14ac:dyDescent="0.2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GPQkpX0QOXRMmFCNyG78wjkiUrG1HQuAloPATfgKH920Hzizbo8gP7SDGKiX9muzE+8N9CA3FnZ0EoI4uk8uig==" saltValue="kaFoFaU0PazxJTOOxHkzVw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83203125" style="43" customWidth="1"/>
    <col min="3" max="3" width="13.1640625" style="43" customWidth="1"/>
    <col min="4" max="4" width="13.5" style="43" customWidth="1"/>
    <col min="5" max="6" width="8.83203125" style="43" customWidth="1"/>
    <col min="7" max="7" width="14.8320312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5" style="43" customWidth="1"/>
    <col min="12" max="17" width="8.83203125" style="43" customWidth="1"/>
    <col min="18" max="16384" width="8.83203125" style="43" hidden="1"/>
  </cols>
  <sheetData>
    <row r="1" spans="1:17" ht="15" x14ac:dyDescent="0.2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 x14ac:dyDescent="0.2">
      <c r="A2" s="55" t="s">
        <v>113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5" x14ac:dyDescent="0.2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 x14ac:dyDescent="0.2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 x14ac:dyDescent="0.2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 x14ac:dyDescent="0.2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 x14ac:dyDescent="0.2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 x14ac:dyDescent="0.2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 x14ac:dyDescent="0.2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 x14ac:dyDescent="0.2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 x14ac:dyDescent="0.2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 x14ac:dyDescent="0.2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 x14ac:dyDescent="0.2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 x14ac:dyDescent="0.2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 x14ac:dyDescent="0.2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 x14ac:dyDescent="0.2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 x14ac:dyDescent="0.2">
      <c r="A18" s="55" t="s">
        <v>114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</row>
    <row r="19" spans="1:17" ht="15" x14ac:dyDescent="0.2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 x14ac:dyDescent="0.2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 x14ac:dyDescent="0.2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 x14ac:dyDescent="0.2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 x14ac:dyDescent="0.2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 x14ac:dyDescent="0.2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 x14ac:dyDescent="0.2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 x14ac:dyDescent="0.2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 x14ac:dyDescent="0.2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 x14ac:dyDescent="0.2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 x14ac:dyDescent="0.2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 x14ac:dyDescent="0.2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 x14ac:dyDescent="0.2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 x14ac:dyDescent="0.2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 x14ac:dyDescent="0.2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 x14ac:dyDescent="0.2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 x14ac:dyDescent="0.2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 x14ac:dyDescent="0.2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 x14ac:dyDescent="0.2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 x14ac:dyDescent="0.2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 x14ac:dyDescent="0.2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 x14ac:dyDescent="0.2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98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0</v>
      </c>
      <c r="N2">
        <v>1</v>
      </c>
      <c r="O2">
        <v>1</v>
      </c>
      <c r="P2">
        <v>1</v>
      </c>
      <c r="Q2">
        <v>1</v>
      </c>
      <c r="R2">
        <v>0</v>
      </c>
      <c r="S2">
        <v>0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2024-12-23T19:27:07Z</dcterms:modified>
</cp:coreProperties>
</file>