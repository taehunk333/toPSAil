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BCAB7F2B-BBF5-9D49-ADAA-5096078C704A}" xr6:coauthVersionLast="47" xr6:coauthVersionMax="47" xr10:uidLastSave="{00000000-0000-0000-0000-000000000000}"/>
  <bookViews>
    <workbookView xWindow="7140" yWindow="3980" windowWidth="23860" windowHeight="11180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state="hidden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  <externalReference r:id="rId11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1" i="44" l="1"/>
  <c r="I10" i="44"/>
  <c r="H13" i="40"/>
  <c r="H11" i="48"/>
  <c r="H10" i="48"/>
  <c r="J4" i="48"/>
  <c r="J2" i="48"/>
  <c r="A2" i="48"/>
  <c r="H17" i="44" l="1"/>
  <c r="H16" i="44"/>
  <c r="H15" i="44"/>
  <c r="H14" i="44"/>
  <c r="H13" i="44"/>
  <c r="H12" i="44"/>
  <c r="H11" i="44"/>
  <c r="H10" i="44"/>
  <c r="J4" i="44"/>
  <c r="J2" i="44"/>
  <c r="A2" i="44"/>
  <c r="H12" i="40" l="1"/>
  <c r="J4" i="40"/>
  <c r="J2" i="40"/>
  <c r="A2" i="40"/>
</calcChain>
</file>

<file path=xl/sharedStrings.xml><?xml version="1.0" encoding="utf-8"?>
<sst xmlns="http://schemas.openxmlformats.org/spreadsheetml/2006/main" count="288" uniqueCount="142">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</sst>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A75C1B0-EEBF-D644-9F4B-C1FA4E82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3">
          <cell r="B13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69" dataDxfId="67" headerRowBorderDxfId="68" tableBorderDxfId="66" totalsRowBorderDxfId="65">
  <autoFilter ref="A9:J14" xr:uid="{B089C5C3-2CCE-4800-96CA-2131BB6E3E4F}"/>
  <tableColumns count="10">
    <tableColumn id="1" xr3:uid="{F0083DBC-BA3F-499A-AB41-58DC14E7EC9B}" name="Variable" dataDxfId="64"/>
    <tableColumn id="4" xr3:uid="{2D9C78CB-0A98-4E06-A17A-328F6643A2AB}" name="Value" dataDxfId="63"/>
    <tableColumn id="5" xr3:uid="{2D40A785-0BF0-4D20-A6A3-606AF3EAEA1D}" name="Unit" dataDxfId="62"/>
    <tableColumn id="6" xr3:uid="{47E47CE1-84EE-4BBF-AF16-7CD09E32C8D5}" name="Comparisons" dataDxfId="61"/>
    <tableColumn id="7" xr3:uid="{1E01755C-F10B-47AF-87D2-261FE9E5C304}" name="Variable Type" dataDxfId="60"/>
    <tableColumn id="8" xr3:uid="{A1508BC9-F251-4C78-AFE1-9780568F4570}" name="Dependency" dataDxfId="59"/>
    <tableColumn id="12" xr3:uid="{483B9187-B663-438A-A6C2-F92DD2C5981E}" name="Test 1" dataDxfId="58"/>
    <tableColumn id="10" xr3:uid="{B0989B53-E4FA-42D2-AC40-B81EF1952308}" name="Test 2" dataDxfId="57"/>
    <tableColumn id="2" xr3:uid="{3B51E6F8-78E0-4FDA-AE7D-0D8F50BB7A78}" name="Test 3" dataDxfId="56"/>
    <tableColumn id="9" xr3:uid="{87AE414E-FFE1-4067-A57C-04659EEE8430}" name="Description" data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49" dataDxfId="47" headerRowBorderDxfId="48" tableBorderDxfId="46" totalsRowBorderDxfId="45">
  <autoFilter ref="A9:J12" xr:uid="{B089C5C3-2CCE-4800-96CA-2131BB6E3E4F}"/>
  <tableColumns count="10">
    <tableColumn id="1" xr3:uid="{D4652DE0-AD05-4BC4-B7DC-B91D6E15B5B2}" name="Variable" dataDxfId="44"/>
    <tableColumn id="4" xr3:uid="{2F59C491-C7E1-4257-A250-2EA854EB6288}" name="Value" dataDxfId="43"/>
    <tableColumn id="5" xr3:uid="{34876DE5-AC85-42AE-9A77-1A7DBC37EA9C}" name="Unit" dataDxfId="42"/>
    <tableColumn id="6" xr3:uid="{16522C00-28AB-414D-9B4E-DF5790D96FB0}" name="Comparisons" dataDxfId="41"/>
    <tableColumn id="7" xr3:uid="{A1C9D628-05B1-4FEF-97C7-8DAC16591D17}" name="Variable Type" dataDxfId="40"/>
    <tableColumn id="8" xr3:uid="{21ED6E86-E0CA-4EA6-8452-7E8EC49D47E9}" name="Dependency" dataDxfId="39"/>
    <tableColumn id="12" xr3:uid="{833F4E3C-8288-4E33-9D60-BB141BA16440}" name="Test 1" dataDxfId="38"/>
    <tableColumn id="10" xr3:uid="{B5ACF3FF-F7B5-4328-AF7F-9A1641C64EBC}" name="Test 2" dataDxfId="37"/>
    <tableColumn id="2" xr3:uid="{69651FF2-E47D-4C8B-88C9-DEAB4746E36D}" name="Test 3" dataDxfId="36"/>
    <tableColumn id="9" xr3:uid="{7323C7D4-0CE9-41A5-811B-0D3D008EC15F}" name="Description" dataDxfId="3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3" hidden="1" customWidth="1"/>
    <col min="3" max="3" width="2.5" style="33" customWidth="1"/>
    <col min="4" max="4" width="13.83203125" style="33" customWidth="1"/>
    <col min="5" max="5" width="51.33203125" style="34" bestFit="1" customWidth="1"/>
    <col min="6" max="6" width="15.83203125" style="35" bestFit="1" customWidth="1"/>
    <col min="7" max="9" width="13.33203125" style="33" customWidth="1"/>
    <col min="10" max="10" width="48.83203125" style="33" customWidth="1"/>
    <col min="11" max="11" width="2.5" style="33" customWidth="1"/>
    <col min="12" max="12" width="0" style="33" hidden="1" customWidth="1"/>
    <col min="13" max="16384" width="9" style="33" hidden="1"/>
  </cols>
  <sheetData>
    <row r="3" spans="4:10" x14ac:dyDescent="0.2"/>
    <row r="4" spans="4:10" ht="19" x14ac:dyDescent="0.25">
      <c r="D4" s="49" t="s">
        <v>134</v>
      </c>
      <c r="E4" s="50"/>
      <c r="F4" s="51"/>
      <c r="G4" s="52"/>
      <c r="H4" s="52"/>
      <c r="I4" s="52"/>
      <c r="J4" s="36" t="s">
        <v>85</v>
      </c>
    </row>
    <row r="5" spans="4:10" ht="40" x14ac:dyDescent="0.2">
      <c r="D5" s="60" t="s">
        <v>36</v>
      </c>
      <c r="E5" s="60"/>
      <c r="F5" s="60"/>
      <c r="G5" s="60"/>
      <c r="H5" s="60"/>
      <c r="I5" s="60"/>
      <c r="J5" s="60"/>
    </row>
    <row r="6" spans="4:10" ht="20" x14ac:dyDescent="0.2">
      <c r="D6" s="46" t="s">
        <v>30</v>
      </c>
      <c r="E6" s="46" t="s">
        <v>128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60" x14ac:dyDescent="0.2">
      <c r="D7" s="37">
        <v>1</v>
      </c>
      <c r="E7" s="38" t="s">
        <v>133</v>
      </c>
      <c r="F7" s="39">
        <v>44720</v>
      </c>
      <c r="G7" s="37" t="s">
        <v>37</v>
      </c>
      <c r="H7" s="37"/>
      <c r="I7" s="37"/>
      <c r="J7" s="38"/>
    </row>
    <row r="8" spans="4:10" ht="40" x14ac:dyDescent="0.2">
      <c r="D8" s="37">
        <v>2</v>
      </c>
      <c r="E8" s="38" t="s">
        <v>131</v>
      </c>
      <c r="F8" s="39">
        <v>44818</v>
      </c>
      <c r="G8" s="37" t="s">
        <v>37</v>
      </c>
      <c r="H8" s="37"/>
      <c r="I8" s="37"/>
      <c r="J8" s="38"/>
    </row>
    <row r="9" spans="4:10" ht="80" x14ac:dyDescent="0.2">
      <c r="D9" s="37">
        <v>3</v>
      </c>
      <c r="E9" s="38" t="s">
        <v>140</v>
      </c>
      <c r="F9" s="39">
        <v>45649</v>
      </c>
      <c r="G9" s="37" t="s">
        <v>37</v>
      </c>
      <c r="H9" s="37"/>
      <c r="I9" s="37"/>
      <c r="J9" s="38" t="s">
        <v>141</v>
      </c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101</v>
      </c>
      <c r="S1" t="s">
        <v>102</v>
      </c>
      <c r="T1" t="s">
        <v>115</v>
      </c>
      <c r="U1" t="s">
        <v>116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117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122</v>
      </c>
    </row>
    <row r="9" spans="1:21" x14ac:dyDescent="0.2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113</v>
      </c>
    </row>
    <row r="12" spans="1:21" x14ac:dyDescent="0.2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114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IF(COUNTIF(Table110823[Test 3],1)=COUNTA(Table110823[Value]),"Ready","Not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32" x14ac:dyDescent="0.2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137</v>
      </c>
    </row>
    <row r="11" spans="1:10" ht="64" x14ac:dyDescent="0.2">
      <c r="A11" s="47" t="s">
        <v>136</v>
      </c>
      <c r="B11" s="30">
        <v>1</v>
      </c>
      <c r="C11" s="32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138</v>
      </c>
    </row>
    <row r="12" spans="1:10" ht="32" x14ac:dyDescent="0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132</v>
      </c>
    </row>
    <row r="13" spans="1:10" ht="32" x14ac:dyDescent="0.2">
      <c r="A13" s="4" t="s">
        <v>63</v>
      </c>
      <c r="B13" s="30" t="s">
        <v>103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132</v>
      </c>
    </row>
    <row r="14" spans="1:10" ht="16" x14ac:dyDescent="0.2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yN6AoUg2WWfWhzqUiyGdoosAiDDSxE/LVNNM2nONH7qo6rtG3p1NKEQr7N+BbW+92hgVTCh6X34rJn/TBpZRNg==" saltValue="DcQ0xANNfehTCXgNlcr+yw==" spinCount="100000" sheet="1" objects="1" scenarios="1" selectLockedCells="1"/>
  <mergeCells count="2">
    <mergeCell ref="A3:J3"/>
    <mergeCell ref="J4:J8"/>
  </mergeCells>
  <conditionalFormatting sqref="B10:B14">
    <cfRule type="expression" dxfId="74" priority="1">
      <formula>IF(AND($B10&lt;&gt;"",$I10=0),1,0)</formula>
    </cfRule>
    <cfRule type="expression" dxfId="73" priority="2">
      <formula>IF($B10&lt;&gt;"",1,0)</formula>
    </cfRule>
    <cfRule type="expression" dxfId="72" priority="3">
      <formula>$I10=0</formula>
    </cfRule>
  </conditionalFormatting>
  <conditionalFormatting sqref="J4">
    <cfRule type="expression" dxfId="71" priority="575">
      <formula>IF(COUNTA($B$10:$B$14)&lt;&gt;COUNTIF($I$10:$I$14,1),1,0)</formula>
    </cfRule>
    <cfRule type="expression" dxfId="70" priority="576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IF(COUNTIF(Table1108238[Test 3],1)=COUNTA(Table1108238[Value]),"Ready","Not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6" x14ac:dyDescent="0.2">
      <c r="A10" s="4" t="s">
        <v>124</v>
      </c>
      <c r="B10" s="30">
        <v>32</v>
      </c>
      <c r="C10" s="2" t="s">
        <v>125</v>
      </c>
      <c r="D10" s="1" t="s">
        <v>22</v>
      </c>
      <c r="E10" s="1" t="s">
        <v>7</v>
      </c>
      <c r="F10" s="2" t="s">
        <v>5</v>
      </c>
      <c r="G10" s="1">
        <v>1</v>
      </c>
      <c r="H10" s="59">
        <f>Initialization!B$10</f>
        <v>2</v>
      </c>
      <c r="I10" s="6">
        <v>1</v>
      </c>
      <c r="J10" s="5" t="s">
        <v>126</v>
      </c>
    </row>
    <row r="11" spans="1:10" ht="16" x14ac:dyDescent="0.2">
      <c r="A11" s="4" t="s">
        <v>127</v>
      </c>
      <c r="B11" s="30">
        <v>28</v>
      </c>
      <c r="C11" s="2" t="s">
        <v>125</v>
      </c>
      <c r="D11" s="1" t="s">
        <v>22</v>
      </c>
      <c r="E11" s="1" t="s">
        <v>7</v>
      </c>
      <c r="F11" s="2" t="s">
        <v>5</v>
      </c>
      <c r="G11" s="1"/>
      <c r="H11" s="59">
        <f>Initialization!B$10</f>
        <v>2</v>
      </c>
      <c r="I11" s="6">
        <v>1</v>
      </c>
      <c r="J11" s="5" t="s">
        <v>126</v>
      </c>
    </row>
    <row r="12" spans="1:10" ht="16" x14ac:dyDescent="0.2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fooUQBr343DOoyEqwuExQI1Objd8I9fd627l7s9MOtMaTWE8jeUMRhOxzsuAYO3Uvx4hcFdCmCFEtKD0/G/X1Q==" saltValue="TpsneRLW6LRchOg+mZH46A==" spinCount="100000" sheet="1" objects="1" scenarios="1" selectLockedCells="1"/>
  <mergeCells count="2">
    <mergeCell ref="A3:J3"/>
    <mergeCell ref="J4:J8"/>
  </mergeCells>
  <conditionalFormatting sqref="B10:B12">
    <cfRule type="expression" dxfId="54" priority="16">
      <formula>IF(AND($B10&lt;&gt;"",$I10=0),1,0)</formula>
    </cfRule>
    <cfRule type="expression" dxfId="53" priority="17">
      <formula>IF($B10&lt;&gt;"",1,0)</formula>
    </cfRule>
    <cfRule type="expression" dxfId="52" priority="18">
      <formula>$I10=0</formula>
    </cfRule>
  </conditionalFormatting>
  <conditionalFormatting sqref="J4">
    <cfRule type="expression" dxfId="51" priority="567">
      <formula>IF(COUNTA($B$10:$B$12)&lt;&gt;COUNTIF($I$10:$I$12,1),1,0)</formula>
    </cfRule>
    <cfRule type="expression" dxfId="50" priority="568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I2" sqref="F1:I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IF(COUNTIF(Table110824[Test 3],1)=COUNTA(Table110824[Value]),"Ready","Not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32" x14ac:dyDescent="0.2">
      <c r="A10" s="4" t="s">
        <v>93</v>
      </c>
      <c r="B10" s="30"/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58">
        <f>[2]Initialization!$B$13</f>
        <v>0</v>
      </c>
      <c r="J10" s="5" t="s">
        <v>139</v>
      </c>
    </row>
    <row r="11" spans="1:10" ht="32" x14ac:dyDescent="0.2">
      <c r="A11" s="4" t="s">
        <v>94</v>
      </c>
      <c r="B11" s="30"/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58">
        <f>[2]Initialization!$B$13</f>
        <v>0</v>
      </c>
      <c r="J11" s="5" t="s">
        <v>139</v>
      </c>
    </row>
    <row r="12" spans="1:10" ht="32" x14ac:dyDescent="0.2">
      <c r="A12" s="4" t="s">
        <v>106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104</v>
      </c>
    </row>
    <row r="13" spans="1:10" ht="32" x14ac:dyDescent="0.2">
      <c r="A13" s="4" t="s">
        <v>107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104</v>
      </c>
    </row>
    <row r="14" spans="1:10" ht="32" x14ac:dyDescent="0.2">
      <c r="A14" s="47" t="s">
        <v>108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105</v>
      </c>
    </row>
    <row r="15" spans="1:10" ht="32" x14ac:dyDescent="0.2">
      <c r="A15" s="47" t="s">
        <v>109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105</v>
      </c>
    </row>
    <row r="16" spans="1:10" ht="32" x14ac:dyDescent="0.2">
      <c r="A16" s="47" t="s">
        <v>111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110</v>
      </c>
    </row>
    <row r="17" spans="1:10" ht="32" x14ac:dyDescent="0.2">
      <c r="A17" s="47" t="s">
        <v>112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110</v>
      </c>
    </row>
    <row r="18" spans="1:10" ht="16" x14ac:dyDescent="0.2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2B8DJkLuNb9zwJvvUhqt33kGfFkhFOa4YShwQ2yTkm0GX6O8S1QkPZlIBZ5GwH8ebMOThw2po5C4i9TgVOTrNg==" saltValue="JAbNh/kr37GqSeet5NXhxg==" spinCount="100000" sheet="1" objects="1" scenarios="1" selectLockedCells="1"/>
  <mergeCells count="2">
    <mergeCell ref="A3:J3"/>
    <mergeCell ref="J4:J8"/>
  </mergeCells>
  <conditionalFormatting sqref="B10">
    <cfRule type="expression" dxfId="34" priority="31">
      <formula>IF(AND($B10&lt;&gt;"",$I10=0),1,0)</formula>
    </cfRule>
    <cfRule type="expression" dxfId="33" priority="32">
      <formula>IF($B10&lt;&gt;"",1,0)</formula>
    </cfRule>
    <cfRule type="expression" dxfId="32" priority="33">
      <formula>$I10=0</formula>
    </cfRule>
  </conditionalFormatting>
  <conditionalFormatting sqref="B10:B18">
    <cfRule type="expression" dxfId="31" priority="13">
      <formula>IF(AND($B10&lt;&gt;"",$I10=0),1,0)</formula>
    </cfRule>
    <cfRule type="expression" dxfId="30" priority="14">
      <formula>IF($B10&lt;&gt;"",1,0)</formula>
    </cfRule>
    <cfRule type="expression" dxfId="29" priority="15">
      <formula>$I10=0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3">
    <cfRule type="expression" dxfId="25" priority="4">
      <formula>IF(AND($B13&lt;&gt;"",$I13=0),1,0)</formula>
    </cfRule>
    <cfRule type="expression" dxfId="24" priority="5">
      <formula>IF($B13&lt;&gt;"",1,0)</formula>
    </cfRule>
    <cfRule type="expression" dxfId="23" priority="6">
      <formula>$I13=0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7">
    <cfRule type="expression" dxfId="19" priority="10">
      <formula>IF(AND($B17&lt;&gt;"",$I17=0),1,0)</formula>
    </cfRule>
    <cfRule type="expression" dxfId="18" priority="11">
      <formula>IF($B17&lt;&gt;"",1,0)</formula>
    </cfRule>
    <cfRule type="expression" dxfId="17" priority="12">
      <formula>$I17=0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baseColWidth="10" defaultColWidth="0" defaultRowHeight="0" customHeight="1" zeroHeight="1" x14ac:dyDescent="0.2"/>
  <cols>
    <col min="1" max="2" width="8.83203125" style="56" customWidth="1"/>
    <col min="3" max="3" width="13.1640625" style="56" customWidth="1"/>
    <col min="4" max="4" width="13.5" style="56" customWidth="1"/>
    <col min="5" max="6" width="8.83203125" style="56" customWidth="1"/>
    <col min="7" max="7" width="14.8320312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" style="56" customWidth="1"/>
    <col min="12" max="17" width="8.83203125" style="56" customWidth="1"/>
    <col min="18" max="16384" width="8.83203125" style="56" hidden="1"/>
  </cols>
  <sheetData>
    <row r="1" spans="1:17" ht="15" x14ac:dyDescent="0.2">
      <c r="A1" s="53" t="s">
        <v>135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5" x14ac:dyDescent="0.2">
      <c r="A2" s="65" t="s">
        <v>129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</row>
    <row r="3" spans="1:17" ht="15" x14ac:dyDescent="0.2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5" x14ac:dyDescent="0.2">
      <c r="A4" s="24"/>
      <c r="B4" s="57" t="s">
        <v>130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5" x14ac:dyDescent="0.2">
      <c r="A5" s="24"/>
      <c r="B5" s="57"/>
      <c r="C5" s="57" t="s">
        <v>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5" x14ac:dyDescent="0.2">
      <c r="A6" s="24"/>
      <c r="B6" s="57"/>
      <c r="C6" s="57"/>
      <c r="D6" s="45" t="s">
        <v>98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5" x14ac:dyDescent="0.2">
      <c r="A7" s="24"/>
      <c r="B7" s="57"/>
      <c r="C7" s="57" t="s">
        <v>99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5" x14ac:dyDescent="0.2">
      <c r="A8" s="24"/>
      <c r="B8" s="57"/>
      <c r="C8" s="57"/>
      <c r="D8" s="44" t="s">
        <v>100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5" x14ac:dyDescent="0.2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88</v>
      </c>
    </row>
    <row r="2" spans="1:1" x14ac:dyDescent="0.2">
      <c r="A2" t="s">
        <v>86</v>
      </c>
    </row>
    <row r="3" spans="1:1" x14ac:dyDescent="0.2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 x14ac:dyDescent="0.2">
      <c r="A2">
        <v>2</v>
      </c>
      <c r="B2">
        <v>1</v>
      </c>
      <c r="C2" t="s">
        <v>68</v>
      </c>
      <c r="D2" t="s">
        <v>103</v>
      </c>
      <c r="F2">
        <v>32</v>
      </c>
      <c r="G2">
        <v>28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 x14ac:dyDescent="0.2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2025-02-18T18:17:14Z</dcterms:modified>
</cp:coreProperties>
</file>