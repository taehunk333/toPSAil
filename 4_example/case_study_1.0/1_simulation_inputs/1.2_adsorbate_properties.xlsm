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EDB2D21D-2D40-1F41-8EE4-8E7865DBFF53}" xr6:coauthVersionLast="47" xr6:coauthVersionMax="47" xr10:uidLastSave="{00000000-0000-0000-0000-000000000000}"/>
  <bookViews>
    <workbookView xWindow="7140" yWindow="3980" windowWidth="23860" windowHeight="11180" tabRatio="818" activeTab="4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8" r:id="rId4"/>
    <sheet name="Thermodynamic Properties" sheetId="44" r:id="rId5"/>
    <sheet name="Help" sheetId="41" state="hidden" r:id="rId6"/>
    <sheet name="maintenance check list" sheetId="28" state="hidden" r:id="rId7"/>
    <sheet name="Data(Transposed)" sheetId="3" state="hidden" r:id="rId8"/>
    <sheet name="Data(Test)" sheetId="9" state="hidden" r:id="rId9"/>
  </sheets>
  <externalReferences>
    <externalReference r:id="rId10"/>
    <externalReference r:id="rId11"/>
  </externalReferences>
  <definedNames>
    <definedName name="_xlnm._FilterDatabase" localSheetId="2" hidden="1">Initialization!$A$9:$J$10</definedName>
    <definedName name="_xlnm._FilterDatabase" localSheetId="3" hidden="1">'Physical Properties'!$A$9:$J$10</definedName>
    <definedName name="_xlnm._FilterDatabase" localSheetId="4" hidden="1">'Thermodynamic Properties'!$A$9:$J$9</definedName>
    <definedName name="_xlnm.Print_Area" localSheetId="2">Initialization!$A$2:$J$14</definedName>
    <definedName name="_xlnm.Print_Area" localSheetId="3">'Physical Properties'!$A$2:$J$12</definedName>
    <definedName name="_xlnm.Print_Area" localSheetId="0">'Revision History'!$C$3:$K$51</definedName>
    <definedName name="_xlnm.Print_Area" localSheetId="4">'Thermodynamic Properties'!$A$2:$J$18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1" i="44" l="1"/>
  <c r="I10" i="44"/>
  <c r="H13" i="40"/>
  <c r="H11" i="48"/>
  <c r="H10" i="48"/>
  <c r="J4" i="48"/>
  <c r="J2" i="48"/>
  <c r="A2" i="48"/>
  <c r="H17" i="44" l="1"/>
  <c r="H16" i="44"/>
  <c r="H15" i="44"/>
  <c r="H14" i="44"/>
  <c r="H13" i="44"/>
  <c r="H12" i="44"/>
  <c r="H11" i="44"/>
  <c r="H10" i="44"/>
  <c r="J4" i="44"/>
  <c r="J2" i="44"/>
  <c r="A2" i="44"/>
  <c r="H12" i="40" l="1"/>
  <c r="J4" i="40"/>
  <c r="J2" i="40"/>
  <c r="A2" i="40"/>
</calcChain>
</file>

<file path=xl/sharedStrings.xml><?xml version="1.0" encoding="utf-8"?>
<sst xmlns="http://schemas.openxmlformats.org/spreadsheetml/2006/main" count="288" uniqueCount="142">
  <si>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</si>
  <si>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</si>
  <si>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</si>
  <si>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</si>
  <si>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</si>
  <si>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</si>
  <si>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</si>
  <si>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</si>
  <si>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</si>
  <si>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</si>
  <si>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</si>
  <si>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</si>
  <si>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</si>
  <si>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</si>
  <si>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</si>
  <si>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</si>
  <si>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</si>
  <si>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</si>
  <si>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</si>
  <si>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</si>
  <si>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</si>
  <si>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</si>
  <si>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</si>
  <si>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</si>
  <si>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</si>
  <si>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</si>
  <si>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</si>
  <si>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</si>
  <si>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</si>
  <si>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</si>
  <si>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</si>
  <si>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</si>
  <si>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</si>
  <si>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</si>
  <si>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</si>
  <si>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</si>
  <si>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</si>
  <si>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</si>
  <si>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</si>
  <si>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</si>
  <si>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</si>
  <si>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</si>
  <si>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</si>
  <si>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</si>
  <si>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</si>
  <si>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</si>
  <si>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</si>
  <si>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</si>
  <si>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</si>
  <si>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</si>
  <si>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</si>
  <si>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</si>
  <si>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</si>
  <si>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</si>
  <si>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</si>
  <si>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</si>
  <si>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</si>
  <si>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</si>
  <si>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</si>
  <si>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</si>
  <si>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</si>
  <si>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</si>
  <si>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</si>
  <si>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</si>
  <si>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</si>
  <si>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</si>
  <si>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</si>
  <si>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Step</t>
  </si>
  <si>
    <t>O2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</si>
  <si>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</si>
  <si>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</si>
  <si>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</si>
  <si>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</si>
  <si>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</si>
  <si>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</si>
  <si>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</si>
  <si>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</si>
  <si>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</si>
  <si>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</si>
  <si>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</si>
  <si>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</si>
  <si>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</si>
  <si>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</si>
  <si>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</si>
  <si>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</si>
  <si>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</si>
  <si>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</si>
  <si>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</si>
  <si>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</si>
  <si>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</si>
  <si>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</si>
  <si>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</si>
  <si>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</si>
  <si>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</si>
  <si>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</si>
  <si>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</si>
  <si>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</si>
  <si>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</si>
  <si>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</si>
  <si>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</si>
  <si>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</si>
  <si>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</si>
  <si>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</si>
  <si>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N2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</si>
  <si>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</si>
  <si>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</si>
  <si>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</si>
  <si>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</si>
  <si>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</si>
  <si>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</si>
  <si>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</si>
  <si>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</si>
  <si>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</si>
  <si>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</si>
  <si>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</si>
  <si>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</si>
  <si>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</si>
  <si>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</si>
  <si>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</si>
  <si>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</si>
  <si>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</si>
  <si>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</si>
  <si>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</si>
  <si>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</si>
  <si>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</si>
  <si>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</si>
  <si>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</si>
  <si>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</si>
  <si>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</si>
  <si>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</si>
  <si>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</si>
  <si>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</si>
  <si>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</si>
  <si>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</si>
  <si>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</si>
  <si>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</si>
  <si>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</si>
  <si>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</si>
  <si>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</si>
  <si>
    <t>the isosteric heat of component i on the specified adsorbent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</si>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</sst>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A75C1B0-EEBF-D644-9F4B-C1FA4E825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359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69" name="Button 1" hidden="1">
                <a:extLst>
                  <a:ext uri="{63B3BB69-23CF-44E3-9099-C40C66FF867C}">
                    <a14:compatExt spid="_x0000_s109569"/>
                  </a:ext>
                  <a:ext uri="{FF2B5EF4-FFF2-40B4-BE49-F238E27FC236}">
                    <a16:creationId xmlns:a16="http://schemas.microsoft.com/office/drawing/2014/main" id="{00000000-0008-0000-0300-000001A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0" name="Button 2" hidden="1">
                <a:extLst>
                  <a:ext uri="{63B3BB69-23CF-44E3-9099-C40C66FF867C}">
                    <a14:compatExt spid="_x0000_s109570"/>
                  </a:ext>
                  <a:ext uri="{FF2B5EF4-FFF2-40B4-BE49-F238E27FC236}">
                    <a16:creationId xmlns:a16="http://schemas.microsoft.com/office/drawing/2014/main" id="{00000000-0008-0000-0300-000002A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1" name="Button 3" hidden="1">
                <a:extLst>
                  <a:ext uri="{63B3BB69-23CF-44E3-9099-C40C66FF867C}">
                    <a14:compatExt spid="_x0000_s109571"/>
                  </a:ext>
                  <a:ext uri="{FF2B5EF4-FFF2-40B4-BE49-F238E27FC236}">
                    <a16:creationId xmlns:a16="http://schemas.microsoft.com/office/drawing/2014/main" id="{00000000-0008-0000-0300-000003A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4_example/case_study_1.0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3">
          <cell r="B13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4" totalsRowShown="0" headerRowDxfId="69" dataDxfId="67" headerRowBorderDxfId="68" tableBorderDxfId="66" totalsRowBorderDxfId="65">
  <autoFilter ref="A9:J14" xr:uid="{B089C5C3-2CCE-4800-96CA-2131BB6E3E4F}"/>
  <tableColumns count="10">
    <tableColumn id="1" xr3:uid="{F0083DBC-BA3F-499A-AB41-58DC14E7EC9B}" name="Variable" dataDxfId="64"/>
    <tableColumn id="4" xr3:uid="{2D9C78CB-0A98-4E06-A17A-328F6643A2AB}" name="Value" dataDxfId="63"/>
    <tableColumn id="5" xr3:uid="{2D40A785-0BF0-4D20-A6A3-606AF3EAEA1D}" name="Unit" dataDxfId="62"/>
    <tableColumn id="6" xr3:uid="{47E47CE1-84EE-4BBF-AF16-7CD09E32C8D5}" name="Comparisons" dataDxfId="61"/>
    <tableColumn id="7" xr3:uid="{1E01755C-F10B-47AF-87D2-261FE9E5C304}" name="Variable Type" dataDxfId="60"/>
    <tableColumn id="8" xr3:uid="{A1508BC9-F251-4C78-AFE1-9780568F4570}" name="Dependency" dataDxfId="59"/>
    <tableColumn id="12" xr3:uid="{483B9187-B663-438A-A6C2-F92DD2C5981E}" name="Test 1" dataDxfId="58"/>
    <tableColumn id="10" xr3:uid="{B0989B53-E4FA-42D2-AC40-B81EF1952308}" name="Test 2" dataDxfId="57"/>
    <tableColumn id="2" xr3:uid="{3B51E6F8-78E0-4FDA-AE7D-0D8F50BB7A78}" name="Test 3" dataDxfId="56"/>
    <tableColumn id="9" xr3:uid="{87AE414E-FFE1-4067-A57C-04659EEE8430}" name="Description" dataDxfId="5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2427BD6-1667-4251-8201-A895001FADCE}" name="Table1108238" displayName="Table1108238" ref="A9:J12" totalsRowShown="0" headerRowDxfId="49" dataDxfId="47" headerRowBorderDxfId="48" tableBorderDxfId="46" totalsRowBorderDxfId="45">
  <autoFilter ref="A9:J12" xr:uid="{B089C5C3-2CCE-4800-96CA-2131BB6E3E4F}"/>
  <tableColumns count="10">
    <tableColumn id="1" xr3:uid="{D4652DE0-AD05-4BC4-B7DC-B91D6E15B5B2}" name="Variable" dataDxfId="44"/>
    <tableColumn id="4" xr3:uid="{2F59C491-C7E1-4257-A250-2EA854EB6288}" name="Value" dataDxfId="43"/>
    <tableColumn id="5" xr3:uid="{34876DE5-AC85-42AE-9A77-1A7DBC37EA9C}" name="Unit" dataDxfId="42"/>
    <tableColumn id="6" xr3:uid="{16522C00-28AB-414D-9B4E-DF5790D96FB0}" name="Comparisons" dataDxfId="41"/>
    <tableColumn id="7" xr3:uid="{A1C9D628-05B1-4FEF-97C7-8DAC16591D17}" name="Variable Type" dataDxfId="40"/>
    <tableColumn id="8" xr3:uid="{21ED6E86-E0CA-4EA6-8452-7E8EC49D47E9}" name="Dependency" dataDxfId="39"/>
    <tableColumn id="12" xr3:uid="{833F4E3C-8288-4E33-9D60-BB141BA16440}" name="Test 1" dataDxfId="38"/>
    <tableColumn id="10" xr3:uid="{B5ACF3FF-F7B5-4328-AF7F-9A1641C64EBC}" name="Test 2" dataDxfId="37"/>
    <tableColumn id="2" xr3:uid="{69651FF2-E47D-4C8B-88C9-DEAB4746E36D}" name="Test 3" dataDxfId="36"/>
    <tableColumn id="9" xr3:uid="{7323C7D4-0CE9-41A5-811B-0D3D008EC15F}" name="Description" dataDxfId="3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18" totalsRowShown="0" headerRowDxfId="14" dataDxfId="12" headerRowBorderDxfId="13" tableBorderDxfId="11" totalsRowBorderDxfId="10">
  <autoFilter ref="A9:J18" xr:uid="{B089C5C3-2CCE-4800-96CA-2131BB6E3E4F}"/>
  <tableColumns count="10">
    <tableColumn id="1" xr3:uid="{6A35E06C-F897-408B-99FB-EF8D84B6AD07}" name="Variable" dataDxfId="9"/>
    <tableColumn id="4" xr3:uid="{67BF08AD-B2D0-428D-97B6-2FC73FC3CF9D}" name="Value" dataDxfId="8"/>
    <tableColumn id="5" xr3:uid="{277E4E51-24B7-4152-BAF4-78D95A975063}" name="Unit" dataDxfId="7"/>
    <tableColumn id="6" xr3:uid="{039F4962-2365-467D-B17A-12CEEC8E0412}" name="Comparisons" dataDxfId="6"/>
    <tableColumn id="7" xr3:uid="{E0E79FD6-8B46-463D-9B88-4324FFF4BBD5}" name="Variable Type" dataDxfId="5"/>
    <tableColumn id="8" xr3:uid="{BEECCACE-8125-445B-95C5-5AB708475223}" name="Dependency" dataDxfId="4"/>
    <tableColumn id="12" xr3:uid="{5D9BF479-6158-45CA-BAFF-FA972241D2E7}" name="Test 1" dataDxfId="3"/>
    <tableColumn id="10" xr3:uid="{A9492B6E-945E-41F5-97D5-9C45A61125D1}" name="Test 2" dataDxfId="2"/>
    <tableColumn id="2" xr3:uid="{E9964D8A-68A9-4FB5-9793-107C574C148B}" name="Test 3" dataDxfId="1"/>
    <tableColumn id="9" xr3:uid="{FF965B85-0F32-4D45-BAAB-63478E6B877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F18" sqref="F18"/>
    </sheetView>
  </sheetViews>
  <sheetFormatPr baseColWidth="10" defaultColWidth="0" defaultRowHeight="15" zeroHeight="1" x14ac:dyDescent="0.2"/>
  <cols>
    <col min="1" max="2" width="3.33203125" style="33" hidden="1" customWidth="1"/>
    <col min="3" max="3" width="2.5" style="33" customWidth="1"/>
    <col min="4" max="4" width="13.83203125" style="33" customWidth="1"/>
    <col min="5" max="5" width="51.33203125" style="34" bestFit="1" customWidth="1"/>
    <col min="6" max="6" width="15.83203125" style="35" bestFit="1" customWidth="1"/>
    <col min="7" max="9" width="13.33203125" style="33" customWidth="1"/>
    <col min="10" max="10" width="48.83203125" style="33" customWidth="1"/>
    <col min="11" max="11" width="2.5" style="33" customWidth="1"/>
    <col min="12" max="12" width="0" style="33" hidden="1" customWidth="1"/>
    <col min="13" max="16384" width="9" style="33" hidden="1"/>
  </cols>
  <sheetData>
    <row r="3" spans="4:10" x14ac:dyDescent="0.2"/>
    <row r="4" spans="4:10" ht="19" x14ac:dyDescent="0.25">
      <c r="D4" s="49" t="s">
        <v>134</v>
      </c>
      <c r="E4" s="50"/>
      <c r="F4" s="51"/>
      <c r="G4" s="52"/>
      <c r="H4" s="52"/>
      <c r="I4" s="52"/>
      <c r="J4" s="36" t="s">
        <v>85</v>
      </c>
    </row>
    <row r="5" spans="4:10" ht="40" x14ac:dyDescent="0.2">
      <c r="D5" s="60" t="s">
        <v>36</v>
      </c>
      <c r="E5" s="60"/>
      <c r="F5" s="60"/>
      <c r="G5" s="60"/>
      <c r="H5" s="60"/>
      <c r="I5" s="60"/>
      <c r="J5" s="60"/>
    </row>
    <row r="6" spans="4:10" ht="20" x14ac:dyDescent="0.2">
      <c r="D6" s="46" t="s">
        <v>30</v>
      </c>
      <c r="E6" s="46" t="s">
        <v>128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60" x14ac:dyDescent="0.2">
      <c r="D7" s="37">
        <v>1</v>
      </c>
      <c r="E7" s="38" t="s">
        <v>133</v>
      </c>
      <c r="F7" s="39">
        <v>44720</v>
      </c>
      <c r="G7" s="37" t="s">
        <v>37</v>
      </c>
      <c r="H7" s="37"/>
      <c r="I7" s="37"/>
      <c r="J7" s="38"/>
    </row>
    <row r="8" spans="4:10" ht="40" x14ac:dyDescent="0.2">
      <c r="D8" s="37">
        <v>2</v>
      </c>
      <c r="E8" s="38" t="s">
        <v>131</v>
      </c>
      <c r="F8" s="39">
        <v>44818</v>
      </c>
      <c r="G8" s="37" t="s">
        <v>37</v>
      </c>
      <c r="H8" s="37"/>
      <c r="I8" s="37"/>
      <c r="J8" s="38"/>
    </row>
    <row r="9" spans="4:10" ht="80" x14ac:dyDescent="0.2">
      <c r="D9" s="37">
        <v>3</v>
      </c>
      <c r="E9" s="38" t="s">
        <v>140</v>
      </c>
      <c r="F9" s="39">
        <v>45649</v>
      </c>
      <c r="G9" s="37" t="s">
        <v>37</v>
      </c>
      <c r="H9" s="37"/>
      <c r="I9" s="37"/>
      <c r="J9" s="38" t="s">
        <v>141</v>
      </c>
    </row>
    <row r="10" spans="4:10" ht="19" x14ac:dyDescent="0.2">
      <c r="D10" s="37">
        <v>4</v>
      </c>
      <c r="E10" s="38"/>
      <c r="F10" s="39"/>
      <c r="G10" s="37"/>
      <c r="H10" s="37"/>
      <c r="I10" s="37"/>
      <c r="J10" s="38"/>
    </row>
    <row r="11" spans="4:10" ht="19" x14ac:dyDescent="0.2">
      <c r="D11" s="37">
        <v>5</v>
      </c>
      <c r="E11" s="38"/>
      <c r="F11" s="39"/>
      <c r="G11" s="37"/>
      <c r="H11" s="37"/>
      <c r="I11" s="37"/>
      <c r="J11" s="38"/>
    </row>
    <row r="12" spans="4:10" ht="19" x14ac:dyDescent="0.2">
      <c r="D12" s="37">
        <v>6</v>
      </c>
      <c r="E12" s="38"/>
      <c r="F12" s="39"/>
      <c r="G12" s="37"/>
      <c r="H12" s="37"/>
      <c r="I12" s="37"/>
      <c r="J12" s="38"/>
    </row>
    <row r="13" spans="4:10" ht="19" x14ac:dyDescent="0.2">
      <c r="D13" s="37">
        <v>7</v>
      </c>
      <c r="E13" s="38"/>
      <c r="F13" s="39"/>
      <c r="G13" s="37"/>
      <c r="H13" s="37"/>
      <c r="I13" s="37"/>
      <c r="J13" s="38"/>
    </row>
    <row r="14" spans="4:10" ht="19" x14ac:dyDescent="0.2">
      <c r="D14" s="37">
        <v>8</v>
      </c>
      <c r="E14" s="38"/>
      <c r="F14" s="39"/>
      <c r="G14" s="37"/>
      <c r="H14" s="37"/>
      <c r="I14" s="37"/>
      <c r="J14" s="38"/>
    </row>
    <row r="15" spans="4:10" ht="19" x14ac:dyDescent="0.2">
      <c r="D15" s="37">
        <v>9</v>
      </c>
      <c r="E15" s="38"/>
      <c r="F15" s="39"/>
      <c r="G15" s="37"/>
      <c r="H15" s="37"/>
      <c r="I15" s="37"/>
      <c r="J15" s="38"/>
    </row>
    <row r="16" spans="4:10" ht="19" x14ac:dyDescent="0.2">
      <c r="D16" s="37">
        <v>10</v>
      </c>
      <c r="E16" s="38"/>
      <c r="F16" s="39"/>
      <c r="G16" s="37"/>
      <c r="H16" s="37"/>
      <c r="I16" s="37"/>
      <c r="J16" s="40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67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101</v>
      </c>
      <c r="S1" t="s">
        <v>102</v>
      </c>
      <c r="T1" t="s">
        <v>115</v>
      </c>
      <c r="U1" t="s">
        <v>116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117</v>
      </c>
    </row>
    <row r="4" spans="1:21" x14ac:dyDescent="0.2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118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119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120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121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122</v>
      </c>
    </row>
    <row r="9" spans="1:21" x14ac:dyDescent="0.2">
      <c r="B9" t="s">
        <v>90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123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113</v>
      </c>
    </row>
    <row r="12" spans="1:21" x14ac:dyDescent="0.2">
      <c r="B12" t="s">
        <v>91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114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 x14ac:dyDescent="0.2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9" x14ac:dyDescent="0.2">
      <c r="A3" s="61" t="s">
        <v>29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IF(COUNTIF(Table110823[Test 3],1)=COUNTA(Table110823[Value]),"Ready","Not Ready")</f>
        <v>Ready</v>
      </c>
    </row>
    <row r="5" spans="1:10" ht="14.5" customHeight="1" x14ac:dyDescent="0.2">
      <c r="A5" s="17"/>
      <c r="B5" s="18"/>
      <c r="C5" s="48"/>
      <c r="D5" s="48"/>
      <c r="E5" s="48"/>
      <c r="F5" s="48"/>
      <c r="G5" s="19"/>
      <c r="H5" s="48"/>
      <c r="I5" s="48"/>
      <c r="J5" s="63"/>
    </row>
    <row r="6" spans="1:10" ht="14.5" customHeight="1" x14ac:dyDescent="0.2">
      <c r="A6" s="17"/>
      <c r="B6" s="18"/>
      <c r="C6" s="48"/>
      <c r="D6" s="48"/>
      <c r="E6" s="48"/>
      <c r="F6" s="48"/>
      <c r="G6" s="19"/>
      <c r="H6" s="48"/>
      <c r="I6" s="48"/>
      <c r="J6" s="63"/>
    </row>
    <row r="7" spans="1:10" ht="14.5" customHeight="1" x14ac:dyDescent="0.2">
      <c r="A7" s="17"/>
      <c r="B7" s="18"/>
      <c r="C7" s="48"/>
      <c r="D7" s="48"/>
      <c r="E7" s="48"/>
      <c r="F7" s="48"/>
      <c r="G7" s="19"/>
      <c r="H7" s="48"/>
      <c r="I7" s="48"/>
      <c r="J7" s="63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6" x14ac:dyDescent="0.2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32" x14ac:dyDescent="0.2">
      <c r="A10" s="4" t="s">
        <v>5</v>
      </c>
      <c r="B10" s="30">
        <v>2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137</v>
      </c>
    </row>
    <row r="11" spans="1:10" ht="64" x14ac:dyDescent="0.2">
      <c r="A11" s="47" t="s">
        <v>136</v>
      </c>
      <c r="B11" s="30">
        <v>1</v>
      </c>
      <c r="C11" s="32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" t="s">
        <v>138</v>
      </c>
    </row>
    <row r="12" spans="1:10" ht="32" x14ac:dyDescent="0.2">
      <c r="A12" s="4" t="s">
        <v>62</v>
      </c>
      <c r="B12" s="30" t="s">
        <v>68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132</v>
      </c>
    </row>
    <row r="13" spans="1:10" ht="32" x14ac:dyDescent="0.2">
      <c r="A13" s="4" t="s">
        <v>63</v>
      </c>
      <c r="B13" s="30" t="s">
        <v>103</v>
      </c>
      <c r="C13" s="2" t="s">
        <v>3</v>
      </c>
      <c r="D13" s="1" t="s">
        <v>22</v>
      </c>
      <c r="E13" s="1" t="s">
        <v>9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132</v>
      </c>
    </row>
    <row r="14" spans="1:10" ht="16" x14ac:dyDescent="0.2">
      <c r="A14" s="8" t="s">
        <v>78</v>
      </c>
      <c r="B14" s="31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79</v>
      </c>
    </row>
  </sheetData>
  <sheetProtection sheet="1" objects="1" scenarios="1" selectLockedCells="1"/>
  <mergeCells count="2">
    <mergeCell ref="A3:J3"/>
    <mergeCell ref="J4:J8"/>
  </mergeCells>
  <conditionalFormatting sqref="B10:B14">
    <cfRule type="expression" dxfId="74" priority="1">
      <formula>IF(AND($B10&lt;&gt;"",$I10=0),1,0)</formula>
    </cfRule>
    <cfRule type="expression" dxfId="73" priority="2">
      <formula>IF($B10&lt;&gt;"",1,0)</formula>
    </cfRule>
    <cfRule type="expression" dxfId="72" priority="3">
      <formula>$I10=0</formula>
    </cfRule>
  </conditionalFormatting>
  <conditionalFormatting sqref="J4">
    <cfRule type="expression" dxfId="71" priority="575">
      <formula>IF(COUNTA($B$10:$B$14)&lt;&gt;COUNTIF($I$10:$I$14,1),1,0)</formula>
    </cfRule>
    <cfRule type="expression" dxfId="70" priority="576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F10:F14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D10:D14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4BF5F-3A90-430E-83EF-B48ED7054B9D}">
  <sheetPr codeName="Sheet25">
    <tabColor rgb="FF00B050"/>
  </sheetPr>
  <dimension ref="A1:J12"/>
  <sheetViews>
    <sheetView showGridLines="0" zoomScaleNormal="100" zoomScaleSheetLayoutView="85" workbookViewId="0">
      <pane ySplit="9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1" spans="1:10" ht="15" hidden="1" x14ac:dyDescent="0.2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 x14ac:dyDescent="0.2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9" x14ac:dyDescent="0.2">
      <c r="A3" s="61" t="s">
        <v>29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IF(COUNTIF(Table1108238[Test 3],1)=COUNTA(Table1108238[Value]),"Ready","Not Ready")</f>
        <v>Ready</v>
      </c>
    </row>
    <row r="5" spans="1:10" ht="14.5" customHeight="1" x14ac:dyDescent="0.2">
      <c r="A5" s="17"/>
      <c r="B5" s="18"/>
      <c r="C5" s="48"/>
      <c r="D5" s="48"/>
      <c r="E5" s="48"/>
      <c r="F5" s="48"/>
      <c r="G5" s="19"/>
      <c r="H5" s="48"/>
      <c r="I5" s="48"/>
      <c r="J5" s="63"/>
    </row>
    <row r="6" spans="1:10" ht="14.5" customHeight="1" x14ac:dyDescent="0.2">
      <c r="A6" s="17"/>
      <c r="B6" s="18"/>
      <c r="C6" s="48"/>
      <c r="D6" s="48"/>
      <c r="E6" s="48"/>
      <c r="F6" s="48"/>
      <c r="G6" s="19"/>
      <c r="H6" s="48"/>
      <c r="I6" s="48"/>
      <c r="J6" s="63"/>
    </row>
    <row r="7" spans="1:10" ht="14.5" customHeight="1" x14ac:dyDescent="0.2">
      <c r="A7" s="17"/>
      <c r="B7" s="18"/>
      <c r="C7" s="48"/>
      <c r="D7" s="48"/>
      <c r="E7" s="48"/>
      <c r="F7" s="48"/>
      <c r="G7" s="19"/>
      <c r="H7" s="48"/>
      <c r="I7" s="48"/>
      <c r="J7" s="63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6" x14ac:dyDescent="0.2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16" x14ac:dyDescent="0.2">
      <c r="A10" s="4" t="s">
        <v>124</v>
      </c>
      <c r="B10" s="30">
        <v>32</v>
      </c>
      <c r="C10" s="2" t="s">
        <v>125</v>
      </c>
      <c r="D10" s="1" t="s">
        <v>22</v>
      </c>
      <c r="E10" s="1" t="s">
        <v>7</v>
      </c>
      <c r="F10" s="2" t="s">
        <v>5</v>
      </c>
      <c r="G10" s="1">
        <v>1</v>
      </c>
      <c r="H10" s="59">
        <f>Initialization!B$10</f>
        <v>2</v>
      </c>
      <c r="I10" s="6">
        <v>1</v>
      </c>
      <c r="J10" s="5" t="s">
        <v>126</v>
      </c>
    </row>
    <row r="11" spans="1:10" ht="16" x14ac:dyDescent="0.2">
      <c r="A11" s="4" t="s">
        <v>127</v>
      </c>
      <c r="B11" s="30">
        <v>28</v>
      </c>
      <c r="C11" s="2" t="s">
        <v>125</v>
      </c>
      <c r="D11" s="1" t="s">
        <v>22</v>
      </c>
      <c r="E11" s="1" t="s">
        <v>7</v>
      </c>
      <c r="F11" s="2" t="s">
        <v>5</v>
      </c>
      <c r="G11" s="1"/>
      <c r="H11" s="59">
        <f>Initialization!B$10</f>
        <v>2</v>
      </c>
      <c r="I11" s="6">
        <v>1</v>
      </c>
      <c r="J11" s="5" t="s">
        <v>126</v>
      </c>
    </row>
    <row r="12" spans="1:10" ht="16" x14ac:dyDescent="0.2">
      <c r="A12" s="8" t="s">
        <v>78</v>
      </c>
      <c r="B12" s="31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79</v>
      </c>
    </row>
  </sheetData>
  <sheetProtection sheet="1" objects="1" scenarios="1" selectLockedCells="1"/>
  <mergeCells count="2">
    <mergeCell ref="A3:J3"/>
    <mergeCell ref="J4:J8"/>
  </mergeCells>
  <conditionalFormatting sqref="B10:B12">
    <cfRule type="expression" dxfId="54" priority="16">
      <formula>IF(AND($B10&lt;&gt;"",$I10=0),1,0)</formula>
    </cfRule>
    <cfRule type="expression" dxfId="53" priority="17">
      <formula>IF($B10&lt;&gt;"",1,0)</formula>
    </cfRule>
    <cfRule type="expression" dxfId="52" priority="18">
      <formula>$I10=0</formula>
    </cfRule>
  </conditionalFormatting>
  <conditionalFormatting sqref="J4">
    <cfRule type="expression" dxfId="51" priority="567">
      <formula>IF(COUNTA($B$10:$B$12)&lt;&gt;COUNTIF($I$10:$I$12,1),1,0)</formula>
    </cfRule>
    <cfRule type="expression" dxfId="50" priority="568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F5E7116-92D0-4050-B835-996603E1F5A3}">
          <x14:formula1>
            <xm:f>Reference!$A$2:$A$8</xm:f>
          </x14:formula1>
          <xm:sqref>E10:E12</xm:sqref>
        </x14:dataValidation>
        <x14:dataValidation type="list" allowBlank="1" showInputMessage="1" showErrorMessage="1" xr:uid="{ED3F0938-2ABD-4996-A9EE-43141CA41EEC}">
          <x14:formula1>
            <xm:f>Reference!$B$2:$B$18</xm:f>
          </x14:formula1>
          <xm:sqref>D10:D12</xm:sqref>
        </x14:dataValidation>
        <x14:dataValidation type="list" allowBlank="1" showInputMessage="1" showErrorMessage="1" xr:uid="{AEEDAA8C-5308-4454-8653-27838F16CC0B}">
          <x14:formula1>
            <xm:f>Reference!$C$2:$C$23</xm:f>
          </x14:formula1>
          <xm:sqref>F10:F12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18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I2" sqref="F1:I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 x14ac:dyDescent="0.2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9" x14ac:dyDescent="0.2">
      <c r="A3" s="61" t="s">
        <v>29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IF(COUNTIF(Table110824[Test 3],1)=COUNTA(Table110824[Value]),"Ready","Not Ready")</f>
        <v>Ready</v>
      </c>
    </row>
    <row r="5" spans="1:10" ht="14.5" customHeight="1" x14ac:dyDescent="0.2">
      <c r="A5" s="17"/>
      <c r="B5" s="18"/>
      <c r="C5" s="48"/>
      <c r="D5" s="48"/>
      <c r="E5" s="48"/>
      <c r="F5" s="48"/>
      <c r="G5" s="19"/>
      <c r="H5" s="48"/>
      <c r="I5" s="48"/>
      <c r="J5" s="63"/>
    </row>
    <row r="6" spans="1:10" ht="14.5" customHeight="1" x14ac:dyDescent="0.2">
      <c r="A6" s="17"/>
      <c r="B6" s="18"/>
      <c r="C6" s="48"/>
      <c r="D6" s="48"/>
      <c r="E6" s="48"/>
      <c r="F6" s="48"/>
      <c r="G6" s="19"/>
      <c r="H6" s="48"/>
      <c r="I6" s="48"/>
      <c r="J6" s="63"/>
    </row>
    <row r="7" spans="1:10" ht="14.5" customHeight="1" x14ac:dyDescent="0.2">
      <c r="A7" s="17"/>
      <c r="B7" s="18"/>
      <c r="C7" s="48"/>
      <c r="D7" s="48"/>
      <c r="E7" s="48"/>
      <c r="F7" s="48"/>
      <c r="G7" s="19"/>
      <c r="H7" s="48"/>
      <c r="I7" s="48"/>
      <c r="J7" s="63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6" x14ac:dyDescent="0.2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32" x14ac:dyDescent="0.2">
      <c r="A10" s="4" t="s">
        <v>93</v>
      </c>
      <c r="B10" s="30"/>
      <c r="C10" s="2" t="s">
        <v>95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2</v>
      </c>
      <c r="I10" s="58">
        <f>[2]Initialization!$B$13</f>
        <v>0</v>
      </c>
      <c r="J10" s="5" t="s">
        <v>139</v>
      </c>
    </row>
    <row r="11" spans="1:10" ht="32" x14ac:dyDescent="0.2">
      <c r="A11" s="4" t="s">
        <v>94</v>
      </c>
      <c r="B11" s="30"/>
      <c r="C11" s="2" t="s">
        <v>95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2</v>
      </c>
      <c r="I11" s="58">
        <f>[2]Initialization!$B$13</f>
        <v>0</v>
      </c>
      <c r="J11" s="5" t="s">
        <v>139</v>
      </c>
    </row>
    <row r="12" spans="1:10" ht="32" x14ac:dyDescent="0.2">
      <c r="A12" s="4" t="s">
        <v>106</v>
      </c>
      <c r="B12" s="30">
        <v>29.370999999999999</v>
      </c>
      <c r="C12" s="2" t="s">
        <v>96</v>
      </c>
      <c r="D12" s="1" t="s">
        <v>22</v>
      </c>
      <c r="E12" s="1" t="s">
        <v>7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104</v>
      </c>
    </row>
    <row r="13" spans="1:10" ht="32" x14ac:dyDescent="0.2">
      <c r="A13" s="4" t="s">
        <v>107</v>
      </c>
      <c r="B13" s="30">
        <v>29.129000000000001</v>
      </c>
      <c r="C13" s="2" t="s">
        <v>96</v>
      </c>
      <c r="D13" s="1" t="s">
        <v>22</v>
      </c>
      <c r="E13" s="1" t="s">
        <v>7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104</v>
      </c>
    </row>
    <row r="14" spans="1:10" ht="32" x14ac:dyDescent="0.2">
      <c r="A14" s="47" t="s">
        <v>108</v>
      </c>
      <c r="B14" s="30">
        <v>21.056999999999999</v>
      </c>
      <c r="C14" s="2" t="s">
        <v>96</v>
      </c>
      <c r="D14" s="1" t="s">
        <v>22</v>
      </c>
      <c r="E14" s="1" t="s">
        <v>7</v>
      </c>
      <c r="F14" s="2" t="s">
        <v>5</v>
      </c>
      <c r="G14" s="1">
        <v>1</v>
      </c>
      <c r="H14" s="1">
        <f>Initialization!$B$10</f>
        <v>2</v>
      </c>
      <c r="I14" s="6">
        <v>1</v>
      </c>
      <c r="J14" s="5" t="s">
        <v>105</v>
      </c>
    </row>
    <row r="15" spans="1:10" ht="32" x14ac:dyDescent="0.2">
      <c r="A15" s="47" t="s">
        <v>109</v>
      </c>
      <c r="B15" s="30">
        <v>20.815000000000001</v>
      </c>
      <c r="C15" s="2" t="s">
        <v>96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2</v>
      </c>
      <c r="I15" s="6">
        <v>1</v>
      </c>
      <c r="J15" s="5" t="s">
        <v>105</v>
      </c>
    </row>
    <row r="16" spans="1:10" ht="32" x14ac:dyDescent="0.2">
      <c r="A16" s="47" t="s">
        <v>111</v>
      </c>
      <c r="B16" s="30">
        <v>1</v>
      </c>
      <c r="C16" s="32" t="s">
        <v>3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2</v>
      </c>
      <c r="I16" s="6">
        <v>1</v>
      </c>
      <c r="J16" s="5" t="s">
        <v>110</v>
      </c>
    </row>
    <row r="17" spans="1:10" ht="32" x14ac:dyDescent="0.2">
      <c r="A17" s="47" t="s">
        <v>112</v>
      </c>
      <c r="B17" s="30">
        <v>1</v>
      </c>
      <c r="C17" s="32" t="s">
        <v>3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2</v>
      </c>
      <c r="I17" s="6">
        <v>1</v>
      </c>
      <c r="J17" s="5" t="s">
        <v>110</v>
      </c>
    </row>
    <row r="18" spans="1:10" ht="16" x14ac:dyDescent="0.2">
      <c r="A18" s="8" t="s">
        <v>78</v>
      </c>
      <c r="B18" s="31"/>
      <c r="C18" s="9"/>
      <c r="D18" s="10"/>
      <c r="E18" s="10"/>
      <c r="F18" s="9"/>
      <c r="G18" s="10">
        <v>1</v>
      </c>
      <c r="H18" s="10">
        <v>1</v>
      </c>
      <c r="I18" s="11">
        <v>0</v>
      </c>
      <c r="J18" s="12" t="s">
        <v>79</v>
      </c>
    </row>
  </sheetData>
  <sheetProtection sheet="1" objects="1" scenarios="1" selectLockedCells="1"/>
  <mergeCells count="2">
    <mergeCell ref="A3:J3"/>
    <mergeCell ref="J4:J8"/>
  </mergeCells>
  <conditionalFormatting sqref="B10">
    <cfRule type="expression" dxfId="34" priority="31">
      <formula>IF(AND($B10&lt;&gt;"",$I10=0),1,0)</formula>
    </cfRule>
    <cfRule type="expression" dxfId="33" priority="32">
      <formula>IF($B10&lt;&gt;"",1,0)</formula>
    </cfRule>
    <cfRule type="expression" dxfId="32" priority="33">
      <formula>$I10=0</formula>
    </cfRule>
  </conditionalFormatting>
  <conditionalFormatting sqref="B10:B18">
    <cfRule type="expression" dxfId="31" priority="13">
      <formula>IF(AND($B10&lt;&gt;"",$I10=0),1,0)</formula>
    </cfRule>
    <cfRule type="expression" dxfId="30" priority="14">
      <formula>IF($B10&lt;&gt;"",1,0)</formula>
    </cfRule>
    <cfRule type="expression" dxfId="29" priority="15">
      <formula>$I10=0</formula>
    </cfRule>
  </conditionalFormatting>
  <conditionalFormatting sqref="B11">
    <cfRule type="expression" dxfId="28" priority="1">
      <formula>IF(AND($B11&lt;&gt;"",$I11=0),1,0)</formula>
    </cfRule>
    <cfRule type="expression" dxfId="27" priority="2">
      <formula>IF($B11&lt;&gt;"",1,0)</formula>
    </cfRule>
    <cfRule type="expression" dxfId="26" priority="3">
      <formula>$I11=0</formula>
    </cfRule>
  </conditionalFormatting>
  <conditionalFormatting sqref="B13">
    <cfRule type="expression" dxfId="25" priority="4">
      <formula>IF(AND($B13&lt;&gt;"",$I13=0),1,0)</formula>
    </cfRule>
    <cfRule type="expression" dxfId="24" priority="5">
      <formula>IF($B13&lt;&gt;"",1,0)</formula>
    </cfRule>
    <cfRule type="expression" dxfId="23" priority="6">
      <formula>$I13=0</formula>
    </cfRule>
  </conditionalFormatting>
  <conditionalFormatting sqref="B15">
    <cfRule type="expression" dxfId="22" priority="7">
      <formula>IF(AND($B15&lt;&gt;"",$I15=0),1,0)</formula>
    </cfRule>
    <cfRule type="expression" dxfId="21" priority="8">
      <formula>IF($B15&lt;&gt;"",1,0)</formula>
    </cfRule>
    <cfRule type="expression" dxfId="20" priority="9">
      <formula>$I15=0</formula>
    </cfRule>
  </conditionalFormatting>
  <conditionalFormatting sqref="B17">
    <cfRule type="expression" dxfId="19" priority="10">
      <formula>IF(AND($B17&lt;&gt;"",$I17=0),1,0)</formula>
    </cfRule>
    <cfRule type="expression" dxfId="18" priority="11">
      <formula>IF($B17&lt;&gt;"",1,0)</formula>
    </cfRule>
    <cfRule type="expression" dxfId="17" priority="12">
      <formula>$I17=0</formula>
    </cfRule>
  </conditionalFormatting>
  <conditionalFormatting sqref="J4">
    <cfRule type="expression" dxfId="16" priority="485">
      <formula>IF(COUNTA($B$10:$B$18)&lt;&gt;COUNTIF($I$10:$I$18,1),1,0)</formula>
    </cfRule>
    <cfRule type="expression" dxfId="15" priority="486">
      <formula>IF(COUNTA($B$10:$B$18)=COUNTIF($I$10:$I$18,1),1,0)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F10:F18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D10:D18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B9" sqref="B9"/>
    </sheetView>
  </sheetViews>
  <sheetFormatPr baseColWidth="10" defaultColWidth="0" defaultRowHeight="0" customHeight="1" zeroHeight="1" x14ac:dyDescent="0.2"/>
  <cols>
    <col min="1" max="2" width="8.83203125" style="56" customWidth="1"/>
    <col min="3" max="3" width="13.1640625" style="56" customWidth="1"/>
    <col min="4" max="4" width="13.5" style="56" customWidth="1"/>
    <col min="5" max="6" width="8.83203125" style="56" customWidth="1"/>
    <col min="7" max="7" width="14.8320312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5" style="56" customWidth="1"/>
    <col min="12" max="17" width="8.83203125" style="56" customWidth="1"/>
    <col min="18" max="16384" width="8.83203125" style="56" hidden="1"/>
  </cols>
  <sheetData>
    <row r="1" spans="1:17" ht="15" x14ac:dyDescent="0.2">
      <c r="A1" s="53" t="s">
        <v>135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85</v>
      </c>
    </row>
    <row r="2" spans="1:17" ht="15" x14ac:dyDescent="0.2">
      <c r="A2" s="65" t="s">
        <v>129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</row>
    <row r="3" spans="1:17" ht="15" x14ac:dyDescent="0.2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5" x14ac:dyDescent="0.2">
      <c r="A4" s="24"/>
      <c r="B4" s="57" t="s">
        <v>130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5" x14ac:dyDescent="0.2">
      <c r="A5" s="24"/>
      <c r="B5" s="57"/>
      <c r="C5" s="57" t="s">
        <v>97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5" x14ac:dyDescent="0.2">
      <c r="A6" s="24"/>
      <c r="B6" s="57"/>
      <c r="C6" s="57"/>
      <c r="D6" s="45" t="s">
        <v>98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5" x14ac:dyDescent="0.2">
      <c r="A7" s="24"/>
      <c r="B7" s="57"/>
      <c r="C7" s="57" t="s">
        <v>99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5" x14ac:dyDescent="0.2">
      <c r="A8" s="24"/>
      <c r="B8" s="57"/>
      <c r="C8" s="57"/>
      <c r="D8" s="44" t="s">
        <v>100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5" x14ac:dyDescent="0.2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88</v>
      </c>
    </row>
    <row r="2" spans="1:1" x14ac:dyDescent="0.2">
      <c r="A2" t="s">
        <v>86</v>
      </c>
    </row>
    <row r="3" spans="1:1" x14ac:dyDescent="0.2">
      <c r="A3" t="s">
        <v>87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17" x14ac:dyDescent="0.2">
      <c r="A1" t="s">
        <v>5</v>
      </c>
      <c r="B1" t="s">
        <v>136</v>
      </c>
      <c r="C1" t="s">
        <v>62</v>
      </c>
      <c r="D1" t="s">
        <v>63</v>
      </c>
      <c r="E1" t="s">
        <v>78</v>
      </c>
      <c r="F1" t="s">
        <v>124</v>
      </c>
      <c r="G1" t="s">
        <v>127</v>
      </c>
      <c r="H1" t="s">
        <v>78</v>
      </c>
      <c r="I1" t="s">
        <v>93</v>
      </c>
      <c r="J1" t="s">
        <v>94</v>
      </c>
      <c r="K1" t="s">
        <v>106</v>
      </c>
      <c r="L1" t="s">
        <v>107</v>
      </c>
      <c r="M1" t="s">
        <v>108</v>
      </c>
      <c r="N1" t="s">
        <v>109</v>
      </c>
      <c r="O1" t="s">
        <v>111</v>
      </c>
      <c r="P1" t="s">
        <v>112</v>
      </c>
      <c r="Q1" t="s">
        <v>78</v>
      </c>
    </row>
    <row r="2" spans="1:17" x14ac:dyDescent="0.2">
      <c r="A2">
        <v>2</v>
      </c>
      <c r="B2">
        <v>1</v>
      </c>
      <c r="C2" t="s">
        <v>68</v>
      </c>
      <c r="D2" t="s">
        <v>103</v>
      </c>
      <c r="F2">
        <v>32</v>
      </c>
      <c r="G2">
        <v>28</v>
      </c>
      <c r="K2">
        <v>29.370999999999999</v>
      </c>
      <c r="L2">
        <v>29.129000000000001</v>
      </c>
      <c r="M2">
        <v>21.056999999999999</v>
      </c>
      <c r="N2">
        <v>20.815000000000001</v>
      </c>
      <c r="O2">
        <v>1</v>
      </c>
      <c r="P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17" x14ac:dyDescent="0.2">
      <c r="A1" t="s">
        <v>5</v>
      </c>
      <c r="B1" t="s">
        <v>136</v>
      </c>
      <c r="C1" t="s">
        <v>62</v>
      </c>
      <c r="D1" t="s">
        <v>63</v>
      </c>
      <c r="E1" t="s">
        <v>78</v>
      </c>
      <c r="F1" t="s">
        <v>124</v>
      </c>
      <c r="G1" t="s">
        <v>127</v>
      </c>
      <c r="H1" t="s">
        <v>78</v>
      </c>
      <c r="I1" t="s">
        <v>93</v>
      </c>
      <c r="J1" t="s">
        <v>94</v>
      </c>
      <c r="K1" t="s">
        <v>106</v>
      </c>
      <c r="L1" t="s">
        <v>107</v>
      </c>
      <c r="M1" t="s">
        <v>108</v>
      </c>
      <c r="N1" t="s">
        <v>109</v>
      </c>
      <c r="O1" t="s">
        <v>111</v>
      </c>
      <c r="P1" t="s">
        <v>112</v>
      </c>
      <c r="Q1" t="s">
        <v>78</v>
      </c>
    </row>
    <row r="2" spans="1:17" x14ac:dyDescent="0.2">
      <c r="A2">
        <v>1</v>
      </c>
      <c r="B2">
        <v>1</v>
      </c>
      <c r="C2">
        <v>1</v>
      </c>
      <c r="D2">
        <v>1</v>
      </c>
      <c r="E2">
        <v>0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2025-02-19T05:15:57Z</dcterms:modified>
</cp:coreProperties>
</file>