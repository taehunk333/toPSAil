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 codeName="{857A39E2-67AF-9BA6-E15C-A4B3A0C75593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k/Documents/GitHub/toPSAil/4_example/case_study_1.0/1_simulation_inputs/"/>
    </mc:Choice>
  </mc:AlternateContent>
  <xr:revisionPtr revIDLastSave="0" documentId="13_ncr:1_{9FCA2E52-6A34-6D4B-8B5B-6D45B84CC77E}" xr6:coauthVersionLast="47" xr6:coauthVersionMax="47" xr10:uidLastSave="{00000000-0000-0000-0000-000000000000}"/>
  <bookViews>
    <workbookView xWindow="7140" yWindow="3980" windowWidth="23860" windowHeight="11180" tabRatio="818" activeTab="2" xr2:uid="{CB583278-6AF7-49E7-A969-6064EAB4A9B4}"/>
  </bookViews>
  <sheets>
    <sheet name="Revision History" sheetId="4" r:id="rId1"/>
    <sheet name="Reference" sheetId="2" state="hidden" r:id="rId2"/>
    <sheet name="Initialization" sheetId="40" r:id="rId3"/>
    <sheet name="Physical Properties" sheetId="48" r:id="rId4"/>
    <sheet name="Thermodynamic Properties" sheetId="44" r:id="rId5"/>
    <sheet name="Help" sheetId="41" state="hidden" r:id="rId6"/>
    <sheet name="maintenance check list" sheetId="28" state="hidden" r:id="rId7"/>
    <sheet name="Data(Transposed)" sheetId="3" state="hidden" r:id="rId8"/>
    <sheet name="Data(Test)" sheetId="9" state="hidden" r:id="rId9"/>
  </sheets>
  <externalReferences>
    <externalReference r:id="rId10"/>
    <externalReference r:id="rId11"/>
  </externalReferences>
  <definedNames>
    <definedName name="_xlnm._FilterDatabase" localSheetId="2" hidden="1">Initialization!$A$9:$J$10</definedName>
    <definedName name="_xlnm._FilterDatabase" localSheetId="3" hidden="1">'Physical Properties'!$A$9:$J$10</definedName>
    <definedName name="_xlnm._FilterDatabase" localSheetId="4" hidden="1">'Thermodynamic Properties'!$A$9:$J$9</definedName>
    <definedName name="_xlnm.Print_Area" localSheetId="2">Initialization!$A$2:$J$14</definedName>
    <definedName name="_xlnm.Print_Area" localSheetId="3">'Physical Properties'!$A$2:$J$12</definedName>
    <definedName name="_xlnm.Print_Area" localSheetId="0">'Revision History'!$C$3:$K$51</definedName>
    <definedName name="_xlnm.Print_Area" localSheetId="4">'Thermodynamic Properties'!$A$2:$J$18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1" i="44" l="1"/>
  <c r="I10" i="44"/>
  <c r="H13" i="40"/>
  <c r="H11" i="48"/>
  <c r="H10" i="48"/>
  <c r="J4" i="48"/>
  <c r="J2" i="48"/>
  <c r="A2" i="48"/>
  <c r="H17" i="44" l="1"/>
  <c r="H16" i="44"/>
  <c r="H15" i="44"/>
  <c r="H14" i="44"/>
  <c r="H13" i="44"/>
  <c r="H12" i="44"/>
  <c r="H11" i="44"/>
  <c r="H10" i="44"/>
  <c r="J4" i="44"/>
  <c r="J2" i="44"/>
  <c r="A2" i="44"/>
  <c r="H12" i="40" l="1"/>
  <c r="J4" i="40"/>
  <c r="J2" i="40"/>
  <c r="A2" i="40"/>
</calcChain>
</file>

<file path=xl/sharedStrings.xml><?xml version="1.0" encoding="utf-8"?>
<sst xmlns="http://schemas.openxmlformats.org/spreadsheetml/2006/main" count="288" uniqueCount="142">
  <si>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</si>
  <si>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</si>
  <si>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</si>
  <si>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</si>
  <si>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</si>
  <si>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</si>
  <si>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</si>
  <si>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</si>
  <si>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</si>
  <si>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</si>
  <si>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</si>
  <si>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</si>
  <si>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</si>
  <si>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</si>
  <si>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</si>
  <si>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</si>
  <si>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</si>
  <si>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</si>
  <si>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</si>
  <si>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</si>
  <si>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</si>
  <si>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</si>
  <si>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</si>
  <si>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</si>
  <si>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</si>
  <si>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</si>
  <si>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</si>
  <si>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</si>
  <si>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</si>
  <si>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</si>
  <si>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</si>
  <si>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</si>
  <si>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</si>
  <si>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</si>
  <si>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</si>
  <si>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</si>
  <si>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</si>
  <si>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</si>
  <si>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</si>
  <si>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</si>
  <si>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</si>
  <si>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</si>
  <si>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</si>
  <si>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</si>
  <si>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</si>
  <si>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</si>
  <si>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</si>
  <si>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</si>
  <si>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</si>
  <si>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</si>
  <si>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</si>
  <si>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</si>
  <si>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</si>
  <si>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</si>
  <si>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</si>
  <si>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</si>
  <si>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</si>
  <si>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</si>
  <si>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</si>
  <si>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</si>
  <si>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</si>
  <si>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</si>
  <si>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sCom1</t>
  </si>
  <si>
    <t>sCom2</t>
  </si>
  <si>
    <t>Variable Type</t>
  </si>
  <si>
    <t>Test 1</t>
  </si>
  <si>
    <t>Test 2</t>
  </si>
  <si>
    <t>Step</t>
  </si>
  <si>
    <t>O2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</si>
  <si>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</si>
  <si>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</si>
  <si>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</si>
  <si>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</si>
  <si>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</si>
  <si>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</si>
  <si>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</si>
  <si>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</si>
  <si>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</si>
  <si>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</si>
  <si>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</si>
  <si>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</si>
  <si>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</si>
  <si>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</si>
  <si>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</si>
  <si>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</si>
  <si>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</si>
  <si>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</si>
  <si>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</si>
  <si>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</si>
  <si>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</si>
  <si>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</si>
  <si>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</si>
  <si>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</si>
  <si>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isoStHtC1</t>
  </si>
  <si>
    <t>isoStHtC2</t>
  </si>
  <si>
    <t>J/mol</t>
  </si>
  <si>
    <t>J/mol-K</t>
  </si>
  <si>
    <t>1. AIChE's DIPPR</t>
  </si>
  <si>
    <t>Home Page - DIPPR801 (aiche.org)</t>
  </si>
  <si>
    <t>2. NIST adsorption database</t>
  </si>
  <si>
    <t>NIST Data Resources for Adsorption Science and Technology</t>
  </si>
  <si>
    <t>Boolean</t>
  </si>
  <si>
    <t>numTanks</t>
  </si>
  <si>
    <t>N2</t>
  </si>
  <si>
    <t>the gas phase constant pressure molar heat capacity for component i (J/mol-K)</t>
  </si>
  <si>
    <t>the gas phase constant volume molar heat capacity for component i (J/mol-K)</t>
  </si>
  <si>
    <t>htCapCpC1</t>
  </si>
  <si>
    <t>htCapCpC2</t>
  </si>
  <si>
    <t>htCapCvC1</t>
  </si>
  <si>
    <t>htCapCvC2</t>
  </si>
  <si>
    <t>The compressibility factor of component i at the feed composition and temperature.</t>
  </si>
  <si>
    <t>compFacC1</t>
  </si>
  <si>
    <t>compFacC2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</si>
  <si>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</si>
  <si>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</si>
  <si>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</si>
  <si>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</si>
  <si>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</si>
  <si>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</si>
  <si>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</si>
  <si>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</si>
  <si>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</si>
  <si>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</si>
  <si>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</si>
  <si>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molecWtC1</t>
  </si>
  <si>
    <t>g/mol</t>
  </si>
  <si>
    <t>The molecular weight of the species i</t>
  </si>
  <si>
    <t>molecWtC2</t>
  </si>
  <si>
    <t>Purpose/Summary</t>
  </si>
  <si>
    <t>Adsorbate Information</t>
  </si>
  <si>
    <t>Physical Property Reference Sources</t>
  </si>
  <si>
    <t>Finalized the spreadsheet for the v1.0 release</t>
  </si>
  <si>
    <t>The chemical formula of the 1st component in a given system: ***define the 1st component to be the light***</t>
  </si>
  <si>
    <t>Initial development of the "1.2_adsorbate_properties.xlsm" sheet.</t>
  </si>
  <si>
    <t>REV. NO.2 (9/14/2022)</t>
  </si>
  <si>
    <t>REV. NO.1 (6/8/2022)</t>
  </si>
  <si>
    <t>nLKs</t>
  </si>
  <si>
    <t>The total number of components to be modeled in the system</t>
  </si>
  <si>
    <t>The number of light key components to be modeled in the system; the number of heavy key components are the total number of components minus the number of light key components.</t>
  </si>
  <si>
    <t>the isosteric heat of component i on the specified adsorbent</t>
  </si>
  <si>
    <t>Major updates on the macros.</t>
  </si>
  <si>
    <t>Macros were moved to a centeralized location: ./toPSAil/3_resources/10_macros/InputParsingMacros.xlam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</si>
</sst>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u/>
      <sz val="11"/>
      <color theme="10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7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10" fillId="3" borderId="0" xfId="2" applyFill="1"/>
    <xf numFmtId="0" fontId="18" fillId="3" borderId="0" xfId="2" applyFont="1" applyFill="1"/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7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17</xdr:row>
      <xdr:rowOff>0</xdr:rowOff>
    </xdr:from>
    <xdr:to>
      <xdr:col>7</xdr:col>
      <xdr:colOff>216904</xdr:colOff>
      <xdr:row>1048576</xdr:row>
      <xdr:rowOff>139700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A75C1B0-EEBF-D644-9F4B-C1FA4E8256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5156200" y="5359400"/>
          <a:ext cx="2439404" cy="2425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89" name="Button 1" hidden="1">
                <a:extLst>
                  <a:ext uri="{63B3BB69-23CF-44E3-9099-C40C66FF867C}">
                    <a14:compatExt spid="_x0000_s89089"/>
                  </a:ext>
                  <a:ext uri="{FF2B5EF4-FFF2-40B4-BE49-F238E27FC236}">
                    <a16:creationId xmlns:a16="http://schemas.microsoft.com/office/drawing/2014/main" id="{00000000-0008-0000-0200-0000015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0" name="Button 2" hidden="1">
                <a:extLst>
                  <a:ext uri="{63B3BB69-23CF-44E3-9099-C40C66FF867C}">
                    <a14:compatExt spid="_x0000_s89090"/>
                  </a:ext>
                  <a:ext uri="{FF2B5EF4-FFF2-40B4-BE49-F238E27FC236}">
                    <a16:creationId xmlns:a16="http://schemas.microsoft.com/office/drawing/2014/main" id="{00000000-0008-0000-0200-0000025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1" name="Button 3" hidden="1">
                <a:extLst>
                  <a:ext uri="{63B3BB69-23CF-44E3-9099-C40C66FF867C}">
                    <a14:compatExt spid="_x0000_s89091"/>
                  </a:ext>
                  <a:ext uri="{FF2B5EF4-FFF2-40B4-BE49-F238E27FC236}">
                    <a16:creationId xmlns:a16="http://schemas.microsoft.com/office/drawing/2014/main" id="{00000000-0008-0000-0200-0000035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569" name="Button 1" hidden="1">
                <a:extLst>
                  <a:ext uri="{63B3BB69-23CF-44E3-9099-C40C66FF867C}">
                    <a14:compatExt spid="_x0000_s109569"/>
                  </a:ext>
                  <a:ext uri="{FF2B5EF4-FFF2-40B4-BE49-F238E27FC236}">
                    <a16:creationId xmlns:a16="http://schemas.microsoft.com/office/drawing/2014/main" id="{00000000-0008-0000-0300-000001A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570" name="Button 2" hidden="1">
                <a:extLst>
                  <a:ext uri="{63B3BB69-23CF-44E3-9099-C40C66FF867C}">
                    <a14:compatExt spid="_x0000_s109570"/>
                  </a:ext>
                  <a:ext uri="{FF2B5EF4-FFF2-40B4-BE49-F238E27FC236}">
                    <a16:creationId xmlns:a16="http://schemas.microsoft.com/office/drawing/2014/main" id="{00000000-0008-0000-0300-000002A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571" name="Button 3" hidden="1">
                <a:extLst>
                  <a:ext uri="{63B3BB69-23CF-44E3-9099-C40C66FF867C}">
                    <a14:compatExt spid="_x0000_s109571"/>
                  </a:ext>
                  <a:ext uri="{FF2B5EF4-FFF2-40B4-BE49-F238E27FC236}">
                    <a16:creationId xmlns:a16="http://schemas.microsoft.com/office/drawing/2014/main" id="{00000000-0008-0000-0300-000003A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4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4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4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k/Documents/GitHub/toPSAil/3_source/10_macros/InputParsingMacros.xlam" TargetMode="External"/><Relationship Id="rId1" Type="http://schemas.openxmlformats.org/officeDocument/2006/relationships/externalLinkPath" Target="/Users/tk/Documents/GitHub/toPSAil/3_source/10_macros/InputParsingMacros.xla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k/Documents/GitHub/toPSAil/4_example/case_study_1.0/1_simulation_inputs/0.1_simulation_configurations.xlsm" TargetMode="External"/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Macros.clearData"/>
      <definedName name="Macros.initComs"/>
      <definedName name="Macros.pushData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3">
          <cell r="B13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3218B71-9068-4A78-AF7D-3B58ECE84D95}" name="Table110823" displayName="Table110823" ref="A9:J14" totalsRowShown="0" headerRowDxfId="69" dataDxfId="67" headerRowBorderDxfId="68" tableBorderDxfId="66" totalsRowBorderDxfId="65">
  <autoFilter ref="A9:J14" xr:uid="{B089C5C3-2CCE-4800-96CA-2131BB6E3E4F}"/>
  <tableColumns count="10">
    <tableColumn id="1" xr3:uid="{F0083DBC-BA3F-499A-AB41-58DC14E7EC9B}" name="Variable" dataDxfId="64"/>
    <tableColumn id="4" xr3:uid="{2D9C78CB-0A98-4E06-A17A-328F6643A2AB}" name="Value" dataDxfId="63"/>
    <tableColumn id="5" xr3:uid="{2D40A785-0BF0-4D20-A6A3-606AF3EAEA1D}" name="Unit" dataDxfId="62"/>
    <tableColumn id="6" xr3:uid="{47E47CE1-84EE-4BBF-AF16-7CD09E32C8D5}" name="Comparisons" dataDxfId="61"/>
    <tableColumn id="7" xr3:uid="{1E01755C-F10B-47AF-87D2-261FE9E5C304}" name="Variable Type" dataDxfId="60"/>
    <tableColumn id="8" xr3:uid="{A1508BC9-F251-4C78-AFE1-9780568F4570}" name="Dependency" dataDxfId="59"/>
    <tableColumn id="12" xr3:uid="{483B9187-B663-438A-A6C2-F92DD2C5981E}" name="Test 1" dataDxfId="58"/>
    <tableColumn id="10" xr3:uid="{B0989B53-E4FA-42D2-AC40-B81EF1952308}" name="Test 2" dataDxfId="57"/>
    <tableColumn id="2" xr3:uid="{3B51E6F8-78E0-4FDA-AE7D-0D8F50BB7A78}" name="Test 3" dataDxfId="56"/>
    <tableColumn id="9" xr3:uid="{87AE414E-FFE1-4067-A57C-04659EEE8430}" name="Description" dataDxfId="5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2427BD6-1667-4251-8201-A895001FADCE}" name="Table1108238" displayName="Table1108238" ref="A9:J12" totalsRowShown="0" headerRowDxfId="49" dataDxfId="47" headerRowBorderDxfId="48" tableBorderDxfId="46" totalsRowBorderDxfId="45">
  <autoFilter ref="A9:J12" xr:uid="{B089C5C3-2CCE-4800-96CA-2131BB6E3E4F}"/>
  <tableColumns count="10">
    <tableColumn id="1" xr3:uid="{D4652DE0-AD05-4BC4-B7DC-B91D6E15B5B2}" name="Variable" dataDxfId="44"/>
    <tableColumn id="4" xr3:uid="{2F59C491-C7E1-4257-A250-2EA854EB6288}" name="Value" dataDxfId="43"/>
    <tableColumn id="5" xr3:uid="{34876DE5-AC85-42AE-9A77-1A7DBC37EA9C}" name="Unit" dataDxfId="42"/>
    <tableColumn id="6" xr3:uid="{16522C00-28AB-414D-9B4E-DF5790D96FB0}" name="Comparisons" dataDxfId="41"/>
    <tableColumn id="7" xr3:uid="{A1C9D628-05B1-4FEF-97C7-8DAC16591D17}" name="Variable Type" dataDxfId="40"/>
    <tableColumn id="8" xr3:uid="{21ED6E86-E0CA-4EA6-8452-7E8EC49D47E9}" name="Dependency" dataDxfId="39"/>
    <tableColumn id="12" xr3:uid="{833F4E3C-8288-4E33-9D60-BB141BA16440}" name="Test 1" dataDxfId="38"/>
    <tableColumn id="10" xr3:uid="{B5ACF3FF-F7B5-4328-AF7F-9A1641C64EBC}" name="Test 2" dataDxfId="37"/>
    <tableColumn id="2" xr3:uid="{69651FF2-E47D-4C8B-88C9-DEAB4746E36D}" name="Test 3" dataDxfId="36"/>
    <tableColumn id="9" xr3:uid="{7323C7D4-0CE9-41A5-811B-0D3D008EC15F}" name="Description" dataDxfId="3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185B9DB-3AA0-4EAB-A15C-82883DA66ED8}" name="Table110824" displayName="Table110824" ref="A9:J18" totalsRowShown="0" headerRowDxfId="14" dataDxfId="12" headerRowBorderDxfId="13" tableBorderDxfId="11" totalsRowBorderDxfId="10">
  <autoFilter ref="A9:J18" xr:uid="{B089C5C3-2CCE-4800-96CA-2131BB6E3E4F}"/>
  <tableColumns count="10">
    <tableColumn id="1" xr3:uid="{6A35E06C-F897-408B-99FB-EF8D84B6AD07}" name="Variable" dataDxfId="9"/>
    <tableColumn id="4" xr3:uid="{67BF08AD-B2D0-428D-97B6-2FC73FC3CF9D}" name="Value" dataDxfId="8"/>
    <tableColumn id="5" xr3:uid="{277E4E51-24B7-4152-BAF4-78D95A975063}" name="Unit" dataDxfId="7"/>
    <tableColumn id="6" xr3:uid="{039F4962-2365-467D-B17A-12CEEC8E0412}" name="Comparisons" dataDxfId="6"/>
    <tableColumn id="7" xr3:uid="{E0E79FD6-8B46-463D-9B88-4324FFF4BBD5}" name="Variable Type" dataDxfId="5"/>
    <tableColumn id="8" xr3:uid="{BEECCACE-8125-445B-95C5-5AB708475223}" name="Dependency" dataDxfId="4"/>
    <tableColumn id="12" xr3:uid="{5D9BF479-6158-45CA-BAFF-FA972241D2E7}" name="Test 1" dataDxfId="3"/>
    <tableColumn id="10" xr3:uid="{A9492B6E-945E-41F5-97D5-9C45A61125D1}" name="Test 2" dataDxfId="2"/>
    <tableColumn id="2" xr3:uid="{E9964D8A-68A9-4FB5-9793-107C574C148B}" name="Test 3" dataDxfId="1"/>
    <tableColumn id="9" xr3:uid="{FF965B85-0F32-4D45-BAAB-63478E6B877E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https://adsorption.nist.gov/index.php" TargetMode="External"/><Relationship Id="rId1" Type="http://schemas.openxmlformats.org/officeDocument/2006/relationships/hyperlink" Target="https://dippr.aiche.org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F18" sqref="F18"/>
    </sheetView>
  </sheetViews>
  <sheetFormatPr baseColWidth="10" defaultColWidth="0" defaultRowHeight="15" zeroHeight="1" x14ac:dyDescent="0.2"/>
  <cols>
    <col min="1" max="2" width="3.33203125" style="33" hidden="1" customWidth="1"/>
    <col min="3" max="3" width="2.5" style="33" customWidth="1"/>
    <col min="4" max="4" width="13.83203125" style="33" customWidth="1"/>
    <col min="5" max="5" width="51.33203125" style="34" bestFit="1" customWidth="1"/>
    <col min="6" max="6" width="15.83203125" style="35" bestFit="1" customWidth="1"/>
    <col min="7" max="9" width="13.33203125" style="33" customWidth="1"/>
    <col min="10" max="10" width="48.83203125" style="33" customWidth="1"/>
    <col min="11" max="11" width="2.5" style="33" customWidth="1"/>
    <col min="12" max="12" width="0" style="33" hidden="1" customWidth="1"/>
    <col min="13" max="16384" width="9" style="33" hidden="1"/>
  </cols>
  <sheetData>
    <row r="3" spans="4:10" x14ac:dyDescent="0.2"/>
    <row r="4" spans="4:10" ht="19" x14ac:dyDescent="0.25">
      <c r="D4" s="49" t="s">
        <v>134</v>
      </c>
      <c r="E4" s="50"/>
      <c r="F4" s="51"/>
      <c r="G4" s="52"/>
      <c r="H4" s="52"/>
      <c r="I4" s="52"/>
      <c r="J4" s="36" t="s">
        <v>85</v>
      </c>
    </row>
    <row r="5" spans="4:10" ht="40" x14ac:dyDescent="0.2">
      <c r="D5" s="60" t="s">
        <v>36</v>
      </c>
      <c r="E5" s="60"/>
      <c r="F5" s="60"/>
      <c r="G5" s="60"/>
      <c r="H5" s="60"/>
      <c r="I5" s="60"/>
      <c r="J5" s="60"/>
    </row>
    <row r="6" spans="4:10" ht="20" x14ac:dyDescent="0.2">
      <c r="D6" s="46" t="s">
        <v>30</v>
      </c>
      <c r="E6" s="46" t="s">
        <v>128</v>
      </c>
      <c r="F6" s="46" t="s">
        <v>31</v>
      </c>
      <c r="G6" s="46" t="s">
        <v>32</v>
      </c>
      <c r="H6" s="46" t="s">
        <v>33</v>
      </c>
      <c r="I6" s="46" t="s">
        <v>34</v>
      </c>
      <c r="J6" s="46" t="s">
        <v>35</v>
      </c>
    </row>
    <row r="7" spans="4:10" ht="60" x14ac:dyDescent="0.2">
      <c r="D7" s="37">
        <v>1</v>
      </c>
      <c r="E7" s="38" t="s">
        <v>133</v>
      </c>
      <c r="F7" s="39">
        <v>44720</v>
      </c>
      <c r="G7" s="37" t="s">
        <v>37</v>
      </c>
      <c r="H7" s="37"/>
      <c r="I7" s="37"/>
      <c r="J7" s="38"/>
    </row>
    <row r="8" spans="4:10" ht="40" x14ac:dyDescent="0.2">
      <c r="D8" s="37">
        <v>2</v>
      </c>
      <c r="E8" s="38" t="s">
        <v>131</v>
      </c>
      <c r="F8" s="39">
        <v>44818</v>
      </c>
      <c r="G8" s="37" t="s">
        <v>37</v>
      </c>
      <c r="H8" s="37"/>
      <c r="I8" s="37"/>
      <c r="J8" s="38"/>
    </row>
    <row r="9" spans="4:10" ht="80" x14ac:dyDescent="0.2">
      <c r="D9" s="37">
        <v>3</v>
      </c>
      <c r="E9" s="38" t="s">
        <v>140</v>
      </c>
      <c r="F9" s="39">
        <v>45649</v>
      </c>
      <c r="G9" s="37" t="s">
        <v>37</v>
      </c>
      <c r="H9" s="37"/>
      <c r="I9" s="37"/>
      <c r="J9" s="38" t="s">
        <v>141</v>
      </c>
    </row>
    <row r="10" spans="4:10" ht="19" x14ac:dyDescent="0.2">
      <c r="D10" s="37">
        <v>4</v>
      </c>
      <c r="E10" s="38"/>
      <c r="F10" s="39"/>
      <c r="G10" s="37"/>
      <c r="H10" s="37"/>
      <c r="I10" s="37"/>
      <c r="J10" s="38"/>
    </row>
    <row r="11" spans="4:10" ht="19" x14ac:dyDescent="0.2">
      <c r="D11" s="37">
        <v>5</v>
      </c>
      <c r="E11" s="38"/>
      <c r="F11" s="39"/>
      <c r="G11" s="37"/>
      <c r="H11" s="37"/>
      <c r="I11" s="37"/>
      <c r="J11" s="38"/>
    </row>
    <row r="12" spans="4:10" ht="19" x14ac:dyDescent="0.2">
      <c r="D12" s="37">
        <v>6</v>
      </c>
      <c r="E12" s="38"/>
      <c r="F12" s="39"/>
      <c r="G12" s="37"/>
      <c r="H12" s="37"/>
      <c r="I12" s="37"/>
      <c r="J12" s="38"/>
    </row>
    <row r="13" spans="4:10" ht="19" x14ac:dyDescent="0.2">
      <c r="D13" s="37">
        <v>7</v>
      </c>
      <c r="E13" s="38"/>
      <c r="F13" s="39"/>
      <c r="G13" s="37"/>
      <c r="H13" s="37"/>
      <c r="I13" s="37"/>
      <c r="J13" s="38"/>
    </row>
    <row r="14" spans="4:10" ht="19" x14ac:dyDescent="0.2">
      <c r="D14" s="37">
        <v>8</v>
      </c>
      <c r="E14" s="38"/>
      <c r="F14" s="39"/>
      <c r="G14" s="37"/>
      <c r="H14" s="37"/>
      <c r="I14" s="37"/>
      <c r="J14" s="38"/>
    </row>
    <row r="15" spans="4:10" ht="19" x14ac:dyDescent="0.2">
      <c r="D15" s="37">
        <v>9</v>
      </c>
      <c r="E15" s="38"/>
      <c r="F15" s="39"/>
      <c r="G15" s="37"/>
      <c r="H15" s="37"/>
      <c r="I15" s="37"/>
      <c r="J15" s="38"/>
    </row>
    <row r="16" spans="4:10" ht="19" x14ac:dyDescent="0.2">
      <c r="D16" s="37">
        <v>10</v>
      </c>
      <c r="E16" s="38"/>
      <c r="F16" s="39"/>
      <c r="G16" s="37"/>
      <c r="H16" s="37"/>
      <c r="I16" s="37"/>
      <c r="J16" s="40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38</v>
      </c>
      <c r="D1" t="s">
        <v>67</v>
      </c>
      <c r="E1" t="s">
        <v>69</v>
      </c>
      <c r="F1" t="s">
        <v>70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89</v>
      </c>
      <c r="Q1" t="s">
        <v>92</v>
      </c>
      <c r="R1" t="s">
        <v>101</v>
      </c>
      <c r="S1" t="s">
        <v>102</v>
      </c>
      <c r="T1" t="s">
        <v>115</v>
      </c>
      <c r="U1" t="s">
        <v>116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117</v>
      </c>
    </row>
    <row r="4" spans="1:21" x14ac:dyDescent="0.2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118</v>
      </c>
    </row>
    <row r="5" spans="1:21" x14ac:dyDescent="0.2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119</v>
      </c>
    </row>
    <row r="6" spans="1:21" x14ac:dyDescent="0.2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120</v>
      </c>
    </row>
    <row r="7" spans="1:21" x14ac:dyDescent="0.2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121</v>
      </c>
    </row>
    <row r="8" spans="1:21" x14ac:dyDescent="0.2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122</v>
      </c>
    </row>
    <row r="9" spans="1:21" x14ac:dyDescent="0.2">
      <c r="B9" t="s">
        <v>90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123</v>
      </c>
    </row>
    <row r="10" spans="1:21" x14ac:dyDescent="0.2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113</v>
      </c>
    </row>
    <row r="12" spans="1:21" x14ac:dyDescent="0.2">
      <c r="B12" t="s">
        <v>91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51</v>
      </c>
      <c r="J13">
        <v>1</v>
      </c>
    </row>
    <row r="14" spans="1:21" x14ac:dyDescent="0.2">
      <c r="B14" t="s">
        <v>20</v>
      </c>
      <c r="C14" t="s">
        <v>52</v>
      </c>
      <c r="J14">
        <v>2</v>
      </c>
    </row>
    <row r="15" spans="1:21" x14ac:dyDescent="0.2">
      <c r="B15" t="s">
        <v>15</v>
      </c>
      <c r="C15" t="s">
        <v>53</v>
      </c>
    </row>
    <row r="16" spans="1:21" x14ac:dyDescent="0.2">
      <c r="B16" t="s">
        <v>57</v>
      </c>
      <c r="C16" t="s">
        <v>54</v>
      </c>
      <c r="J16" t="s">
        <v>114</v>
      </c>
    </row>
    <row r="17" spans="2:10" x14ac:dyDescent="0.2">
      <c r="B17" t="s">
        <v>18</v>
      </c>
      <c r="C17" t="s">
        <v>55</v>
      </c>
      <c r="J17" t="s">
        <v>8</v>
      </c>
    </row>
    <row r="18" spans="2:10" x14ac:dyDescent="0.2">
      <c r="B18" t="s">
        <v>19</v>
      </c>
      <c r="C18" t="s">
        <v>56</v>
      </c>
      <c r="J18">
        <v>1</v>
      </c>
    </row>
    <row r="19" spans="2:10" x14ac:dyDescent="0.2">
      <c r="C19" t="s">
        <v>28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41</v>
      </c>
      <c r="J21">
        <v>4</v>
      </c>
    </row>
    <row r="22" spans="2:10" x14ac:dyDescent="0.2">
      <c r="C22" t="s">
        <v>40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764C2-6778-4D03-9018-7EF3707AFEB7}">
  <sheetPr codeName="Sheet23">
    <tabColor rgb="FF00B050"/>
  </sheetPr>
  <dimension ref="A1:K14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B11" sqref="B11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5" x14ac:dyDescent="0.2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9" x14ac:dyDescent="0.2">
      <c r="A3" s="61" t="s">
        <v>29</v>
      </c>
      <c r="B3" s="61"/>
      <c r="C3" s="61"/>
      <c r="D3" s="61"/>
      <c r="E3" s="61"/>
      <c r="F3" s="61"/>
      <c r="G3" s="61"/>
      <c r="H3" s="61"/>
      <c r="I3" s="61"/>
      <c r="J3" s="61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2" t="str">
        <f>IF(COUNTIF(Table110823[Test 3],1)=COUNTA(Table110823[Value]),"Ready","Not Ready")</f>
        <v>Ready</v>
      </c>
    </row>
    <row r="5" spans="1:10" ht="14.5" customHeight="1" x14ac:dyDescent="0.2">
      <c r="A5" s="17"/>
      <c r="B5" s="18"/>
      <c r="C5" s="48"/>
      <c r="D5" s="48"/>
      <c r="E5" s="48"/>
      <c r="F5" s="48"/>
      <c r="G5" s="19"/>
      <c r="H5" s="48"/>
      <c r="I5" s="48"/>
      <c r="J5" s="63"/>
    </row>
    <row r="6" spans="1:10" ht="14.5" customHeight="1" x14ac:dyDescent="0.2">
      <c r="A6" s="17"/>
      <c r="B6" s="18"/>
      <c r="C6" s="48"/>
      <c r="D6" s="48"/>
      <c r="E6" s="48"/>
      <c r="F6" s="48"/>
      <c r="G6" s="19"/>
      <c r="H6" s="48"/>
      <c r="I6" s="48"/>
      <c r="J6" s="63"/>
    </row>
    <row r="7" spans="1:10" ht="14.5" customHeight="1" x14ac:dyDescent="0.2">
      <c r="A7" s="17"/>
      <c r="B7" s="18"/>
      <c r="C7" s="48"/>
      <c r="D7" s="48"/>
      <c r="E7" s="48"/>
      <c r="F7" s="48"/>
      <c r="G7" s="19"/>
      <c r="H7" s="48"/>
      <c r="I7" s="48"/>
      <c r="J7" s="63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4"/>
    </row>
    <row r="9" spans="1:10" ht="16" x14ac:dyDescent="0.2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74</v>
      </c>
      <c r="J9" s="29" t="s">
        <v>12</v>
      </c>
    </row>
    <row r="10" spans="1:10" ht="32" x14ac:dyDescent="0.2">
      <c r="A10" s="4" t="s">
        <v>5</v>
      </c>
      <c r="B10" s="30">
        <v>2</v>
      </c>
      <c r="C10" s="2" t="s">
        <v>3</v>
      </c>
      <c r="D10" s="1" t="s">
        <v>17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137</v>
      </c>
    </row>
    <row r="11" spans="1:10" ht="64" x14ac:dyDescent="0.2">
      <c r="A11" s="47" t="s">
        <v>136</v>
      </c>
      <c r="B11" s="30">
        <v>1</v>
      </c>
      <c r="C11" s="32"/>
      <c r="D11" s="1" t="s">
        <v>17</v>
      </c>
      <c r="E11" s="1" t="s">
        <v>7</v>
      </c>
      <c r="F11" s="2" t="s">
        <v>39</v>
      </c>
      <c r="G11" s="1">
        <v>1</v>
      </c>
      <c r="H11" s="1">
        <v>1</v>
      </c>
      <c r="I11" s="6">
        <v>1</v>
      </c>
      <c r="J11" s="5" t="s">
        <v>138</v>
      </c>
    </row>
    <row r="12" spans="1:10" ht="32" x14ac:dyDescent="0.2">
      <c r="A12" s="4" t="s">
        <v>62</v>
      </c>
      <c r="B12" s="30" t="s">
        <v>68</v>
      </c>
      <c r="C12" s="2" t="s">
        <v>3</v>
      </c>
      <c r="D12" s="1" t="s">
        <v>22</v>
      </c>
      <c r="E12" s="1" t="s">
        <v>9</v>
      </c>
      <c r="F12" s="2" t="s">
        <v>5</v>
      </c>
      <c r="G12" s="1">
        <v>1</v>
      </c>
      <c r="H12" s="1">
        <f>Initialization!$B$10</f>
        <v>2</v>
      </c>
      <c r="I12" s="6">
        <v>1</v>
      </c>
      <c r="J12" s="5" t="s">
        <v>132</v>
      </c>
    </row>
    <row r="13" spans="1:10" ht="32" x14ac:dyDescent="0.2">
      <c r="A13" s="4" t="s">
        <v>63</v>
      </c>
      <c r="B13" s="30" t="s">
        <v>103</v>
      </c>
      <c r="C13" s="2" t="s">
        <v>3</v>
      </c>
      <c r="D13" s="1" t="s">
        <v>22</v>
      </c>
      <c r="E13" s="1" t="s">
        <v>9</v>
      </c>
      <c r="F13" s="2" t="s">
        <v>5</v>
      </c>
      <c r="G13" s="1"/>
      <c r="H13" s="1">
        <f>Initialization!$B$10</f>
        <v>2</v>
      </c>
      <c r="I13" s="6">
        <v>1</v>
      </c>
      <c r="J13" s="5" t="s">
        <v>132</v>
      </c>
    </row>
    <row r="14" spans="1:10" ht="16" x14ac:dyDescent="0.2">
      <c r="A14" s="8" t="s">
        <v>78</v>
      </c>
      <c r="B14" s="31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79</v>
      </c>
    </row>
  </sheetData>
  <sheetProtection algorithmName="SHA-512" hashValue="yN6AoUg2WWfWhzqUiyGdoosAiDDSxE/LVNNM2nONH7qo6rtG3p1NKEQr7N+BbW+92hgVTCh6X34rJn/TBpZRNg==" saltValue="DcQ0xANNfehTCXgNlcr+yw==" spinCount="100000" sheet="1" objects="1" scenarios="1" selectLockedCells="1"/>
  <mergeCells count="2">
    <mergeCell ref="A3:J3"/>
    <mergeCell ref="J4:J8"/>
  </mergeCells>
  <conditionalFormatting sqref="B10:B14">
    <cfRule type="expression" dxfId="74" priority="1">
      <formula>IF(AND($B10&lt;&gt;"",$I10=0),1,0)</formula>
    </cfRule>
    <cfRule type="expression" dxfId="73" priority="2">
      <formula>IF($B10&lt;&gt;"",1,0)</formula>
    </cfRule>
    <cfRule type="expression" dxfId="72" priority="3">
      <formula>$I10=0</formula>
    </cfRule>
  </conditionalFormatting>
  <conditionalFormatting sqref="J4">
    <cfRule type="expression" dxfId="71" priority="575">
      <formula>IF(COUNTA($B$10:$B$14)&lt;&gt;COUNTIF($I$10:$I$14,1),1,0)</formula>
    </cfRule>
    <cfRule type="expression" dxfId="70" priority="576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1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3D4161E-6238-4786-AD6F-CE960CEBB832}">
          <x14:formula1>
            <xm:f>Reference!$C$2:$C$23</xm:f>
          </x14:formula1>
          <xm:sqref>F10:F14</xm:sqref>
        </x14:dataValidation>
        <x14:dataValidation type="list" allowBlank="1" showInputMessage="1" showErrorMessage="1" xr:uid="{7DEF5382-F47E-4A4F-B38A-FEA148B2391D}">
          <x14:formula1>
            <xm:f>Reference!$B$2:$B$18</xm:f>
          </x14:formula1>
          <xm:sqref>D10:D14</xm:sqref>
        </x14:dataValidation>
        <x14:dataValidation type="list" allowBlank="1" showInputMessage="1" showErrorMessage="1" xr:uid="{2BD4F069-2506-4DE3-B8C7-1705087014E3}">
          <x14:formula1>
            <xm:f>Reference!$A$2:$A$8</xm:f>
          </x14:formula1>
          <xm:sqref>E10:E14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24BF5F-3A90-430E-83EF-B48ED7054B9D}">
  <sheetPr codeName="Sheet25">
    <tabColor rgb="FF00B050"/>
  </sheetPr>
  <dimension ref="A1:J12"/>
  <sheetViews>
    <sheetView showGridLines="0" zoomScaleNormal="100" zoomScaleSheetLayoutView="85" workbookViewId="0">
      <pane ySplit="9" topLeftCell="A10" activePane="bottomLeft" state="frozen"/>
      <selection activeCell="B2" sqref="B2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84" width="8.83203125" style="3" hidden="1"/>
  </cols>
  <sheetData>
    <row r="1" spans="1:10" ht="15" hidden="1" x14ac:dyDescent="0.2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5" x14ac:dyDescent="0.2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9" x14ac:dyDescent="0.2">
      <c r="A3" s="61" t="s">
        <v>29</v>
      </c>
      <c r="B3" s="61"/>
      <c r="C3" s="61"/>
      <c r="D3" s="61"/>
      <c r="E3" s="61"/>
      <c r="F3" s="61"/>
      <c r="G3" s="61"/>
      <c r="H3" s="61"/>
      <c r="I3" s="61"/>
      <c r="J3" s="61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2" t="str">
        <f>IF(COUNTIF(Table1108238[Test 3],1)=COUNTA(Table1108238[Value]),"Ready","Not Ready")</f>
        <v>Ready</v>
      </c>
    </row>
    <row r="5" spans="1:10" ht="14.5" customHeight="1" x14ac:dyDescent="0.2">
      <c r="A5" s="17"/>
      <c r="B5" s="18"/>
      <c r="C5" s="48"/>
      <c r="D5" s="48"/>
      <c r="E5" s="48"/>
      <c r="F5" s="48"/>
      <c r="G5" s="19"/>
      <c r="H5" s="48"/>
      <c r="I5" s="48"/>
      <c r="J5" s="63"/>
    </row>
    <row r="6" spans="1:10" ht="14.5" customHeight="1" x14ac:dyDescent="0.2">
      <c r="A6" s="17"/>
      <c r="B6" s="18"/>
      <c r="C6" s="48"/>
      <c r="D6" s="48"/>
      <c r="E6" s="48"/>
      <c r="F6" s="48"/>
      <c r="G6" s="19"/>
      <c r="H6" s="48"/>
      <c r="I6" s="48"/>
      <c r="J6" s="63"/>
    </row>
    <row r="7" spans="1:10" ht="14.5" customHeight="1" x14ac:dyDescent="0.2">
      <c r="A7" s="17"/>
      <c r="B7" s="18"/>
      <c r="C7" s="48"/>
      <c r="D7" s="48"/>
      <c r="E7" s="48"/>
      <c r="F7" s="48"/>
      <c r="G7" s="19"/>
      <c r="H7" s="48"/>
      <c r="I7" s="48"/>
      <c r="J7" s="63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4"/>
    </row>
    <row r="9" spans="1:10" ht="16" x14ac:dyDescent="0.2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74</v>
      </c>
      <c r="J9" s="29" t="s">
        <v>12</v>
      </c>
    </row>
    <row r="10" spans="1:10" ht="16" x14ac:dyDescent="0.2">
      <c r="A10" s="4" t="s">
        <v>124</v>
      </c>
      <c r="B10" s="30">
        <v>32</v>
      </c>
      <c r="C10" s="2" t="s">
        <v>125</v>
      </c>
      <c r="D10" s="1" t="s">
        <v>22</v>
      </c>
      <c r="E10" s="1" t="s">
        <v>7</v>
      </c>
      <c r="F10" s="2" t="s">
        <v>5</v>
      </c>
      <c r="G10" s="1">
        <v>1</v>
      </c>
      <c r="H10" s="59">
        <f>Initialization!B$10</f>
        <v>2</v>
      </c>
      <c r="I10" s="6">
        <v>1</v>
      </c>
      <c r="J10" s="5" t="s">
        <v>126</v>
      </c>
    </row>
    <row r="11" spans="1:10" ht="16" x14ac:dyDescent="0.2">
      <c r="A11" s="4" t="s">
        <v>127</v>
      </c>
      <c r="B11" s="30">
        <v>28</v>
      </c>
      <c r="C11" s="2" t="s">
        <v>125</v>
      </c>
      <c r="D11" s="1" t="s">
        <v>22</v>
      </c>
      <c r="E11" s="1" t="s">
        <v>7</v>
      </c>
      <c r="F11" s="2" t="s">
        <v>5</v>
      </c>
      <c r="G11" s="1"/>
      <c r="H11" s="59">
        <f>Initialization!B$10</f>
        <v>2</v>
      </c>
      <c r="I11" s="6">
        <v>1</v>
      </c>
      <c r="J11" s="5" t="s">
        <v>126</v>
      </c>
    </row>
    <row r="12" spans="1:10" ht="16" x14ac:dyDescent="0.2">
      <c r="A12" s="8" t="s">
        <v>78</v>
      </c>
      <c r="B12" s="31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79</v>
      </c>
    </row>
  </sheetData>
  <sheetProtection algorithmName="SHA-512" hashValue="fooUQBr343DOoyEqwuExQI1Objd8I9fd627l7s9MOtMaTWE8jeUMRhOxzsuAYO3Uvx4hcFdCmCFEtKD0/G/X1Q==" saltValue="TpsneRLW6LRchOg+mZH46A==" spinCount="100000" sheet="1" objects="1" scenarios="1" selectLockedCells="1"/>
  <mergeCells count="2">
    <mergeCell ref="A3:J3"/>
    <mergeCell ref="J4:J8"/>
  </mergeCells>
  <conditionalFormatting sqref="B10:B12">
    <cfRule type="expression" dxfId="54" priority="16">
      <formula>IF(AND($B10&lt;&gt;"",$I10=0),1,0)</formula>
    </cfRule>
    <cfRule type="expression" dxfId="53" priority="17">
      <formula>IF($B10&lt;&gt;"",1,0)</formula>
    </cfRule>
    <cfRule type="expression" dxfId="52" priority="18">
      <formula>$I10=0</formula>
    </cfRule>
  </conditionalFormatting>
  <conditionalFormatting sqref="J4">
    <cfRule type="expression" dxfId="51" priority="567">
      <formula>IF(COUNTA($B$10:$B$12)&lt;&gt;COUNTIF($I$10:$I$12,1),1,0)</formula>
    </cfRule>
    <cfRule type="expression" dxfId="50" priority="568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69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927100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0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1016000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1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393700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F5E7116-92D0-4050-B835-996603E1F5A3}">
          <x14:formula1>
            <xm:f>Reference!$A$2:$A$8</xm:f>
          </x14:formula1>
          <xm:sqref>E10:E12</xm:sqref>
        </x14:dataValidation>
        <x14:dataValidation type="list" allowBlank="1" showInputMessage="1" showErrorMessage="1" xr:uid="{ED3F0938-2ABD-4996-A9EE-43141CA41EEC}">
          <x14:formula1>
            <xm:f>Reference!$B$2:$B$18</xm:f>
          </x14:formula1>
          <xm:sqref>D10:D12</xm:sqref>
        </x14:dataValidation>
        <x14:dataValidation type="list" allowBlank="1" showInputMessage="1" showErrorMessage="1" xr:uid="{AEEDAA8C-5308-4454-8653-27838F16CC0B}">
          <x14:formula1>
            <xm:f>Reference!$C$2:$C$23</xm:f>
          </x14:formula1>
          <xm:sqref>F10:F12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A24F14-8AAF-4F91-86FB-7B0B05142258}">
  <sheetPr codeName="Sheet24">
    <tabColor rgb="FF00B050"/>
  </sheetPr>
  <dimension ref="A1:K18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I2" sqref="F1:I1048576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5" x14ac:dyDescent="0.2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9" x14ac:dyDescent="0.2">
      <c r="A3" s="61" t="s">
        <v>29</v>
      </c>
      <c r="B3" s="61"/>
      <c r="C3" s="61"/>
      <c r="D3" s="61"/>
      <c r="E3" s="61"/>
      <c r="F3" s="61"/>
      <c r="G3" s="61"/>
      <c r="H3" s="61"/>
      <c r="I3" s="61"/>
      <c r="J3" s="61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2" t="str">
        <f>IF(COUNTIF(Table110824[Test 3],1)=COUNTA(Table110824[Value]),"Ready","Not Ready")</f>
        <v>Ready</v>
      </c>
    </row>
    <row r="5" spans="1:10" ht="14.5" customHeight="1" x14ac:dyDescent="0.2">
      <c r="A5" s="17"/>
      <c r="B5" s="18"/>
      <c r="C5" s="48"/>
      <c r="D5" s="48"/>
      <c r="E5" s="48"/>
      <c r="F5" s="48"/>
      <c r="G5" s="19"/>
      <c r="H5" s="48"/>
      <c r="I5" s="48"/>
      <c r="J5" s="63"/>
    </row>
    <row r="6" spans="1:10" ht="14.5" customHeight="1" x14ac:dyDescent="0.2">
      <c r="A6" s="17"/>
      <c r="B6" s="18"/>
      <c r="C6" s="48"/>
      <c r="D6" s="48"/>
      <c r="E6" s="48"/>
      <c r="F6" s="48"/>
      <c r="G6" s="19"/>
      <c r="H6" s="48"/>
      <c r="I6" s="48"/>
      <c r="J6" s="63"/>
    </row>
    <row r="7" spans="1:10" ht="14.5" customHeight="1" x14ac:dyDescent="0.2">
      <c r="A7" s="17"/>
      <c r="B7" s="18"/>
      <c r="C7" s="48"/>
      <c r="D7" s="48"/>
      <c r="E7" s="48"/>
      <c r="F7" s="48"/>
      <c r="G7" s="19"/>
      <c r="H7" s="48"/>
      <c r="I7" s="48"/>
      <c r="J7" s="63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4"/>
    </row>
    <row r="9" spans="1:10" ht="16" x14ac:dyDescent="0.2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74</v>
      </c>
      <c r="J9" s="29" t="s">
        <v>12</v>
      </c>
    </row>
    <row r="10" spans="1:10" ht="32" x14ac:dyDescent="0.2">
      <c r="A10" s="4" t="s">
        <v>93</v>
      </c>
      <c r="B10" s="30"/>
      <c r="C10" s="2" t="s">
        <v>95</v>
      </c>
      <c r="D10" s="1" t="s">
        <v>22</v>
      </c>
      <c r="E10" s="1" t="s">
        <v>7</v>
      </c>
      <c r="F10" s="2" t="s">
        <v>5</v>
      </c>
      <c r="G10" s="1">
        <v>1</v>
      </c>
      <c r="H10" s="1">
        <f>Initialization!$B$10</f>
        <v>2</v>
      </c>
      <c r="I10" s="58">
        <f>[2]Initialization!$B$13</f>
        <v>0</v>
      </c>
      <c r="J10" s="5" t="s">
        <v>139</v>
      </c>
    </row>
    <row r="11" spans="1:10" ht="32" x14ac:dyDescent="0.2">
      <c r="A11" s="4" t="s">
        <v>94</v>
      </c>
      <c r="B11" s="30"/>
      <c r="C11" s="2" t="s">
        <v>95</v>
      </c>
      <c r="D11" s="1" t="s">
        <v>22</v>
      </c>
      <c r="E11" s="1" t="s">
        <v>7</v>
      </c>
      <c r="F11" s="2" t="s">
        <v>5</v>
      </c>
      <c r="G11" s="1"/>
      <c r="H11" s="1">
        <f>Initialization!$B$10</f>
        <v>2</v>
      </c>
      <c r="I11" s="58">
        <f>[2]Initialization!$B$13</f>
        <v>0</v>
      </c>
      <c r="J11" s="5" t="s">
        <v>139</v>
      </c>
    </row>
    <row r="12" spans="1:10" ht="32" x14ac:dyDescent="0.2">
      <c r="A12" s="4" t="s">
        <v>106</v>
      </c>
      <c r="B12" s="30">
        <v>29.370999999999999</v>
      </c>
      <c r="C12" s="2" t="s">
        <v>96</v>
      </c>
      <c r="D12" s="1" t="s">
        <v>22</v>
      </c>
      <c r="E12" s="1" t="s">
        <v>7</v>
      </c>
      <c r="F12" s="2" t="s">
        <v>5</v>
      </c>
      <c r="G12" s="1">
        <v>1</v>
      </c>
      <c r="H12" s="1">
        <f>Initialization!$B$10</f>
        <v>2</v>
      </c>
      <c r="I12" s="6">
        <v>1</v>
      </c>
      <c r="J12" s="5" t="s">
        <v>104</v>
      </c>
    </row>
    <row r="13" spans="1:10" ht="32" x14ac:dyDescent="0.2">
      <c r="A13" s="4" t="s">
        <v>107</v>
      </c>
      <c r="B13" s="30">
        <v>29.129000000000001</v>
      </c>
      <c r="C13" s="2" t="s">
        <v>96</v>
      </c>
      <c r="D13" s="1" t="s">
        <v>22</v>
      </c>
      <c r="E13" s="1" t="s">
        <v>7</v>
      </c>
      <c r="F13" s="2" t="s">
        <v>5</v>
      </c>
      <c r="G13" s="1"/>
      <c r="H13" s="1">
        <f>Initialization!$B$10</f>
        <v>2</v>
      </c>
      <c r="I13" s="6">
        <v>1</v>
      </c>
      <c r="J13" s="5" t="s">
        <v>104</v>
      </c>
    </row>
    <row r="14" spans="1:10" ht="32" x14ac:dyDescent="0.2">
      <c r="A14" s="47" t="s">
        <v>108</v>
      </c>
      <c r="B14" s="30">
        <v>21.056999999999999</v>
      </c>
      <c r="C14" s="2" t="s">
        <v>96</v>
      </c>
      <c r="D14" s="1" t="s">
        <v>22</v>
      </c>
      <c r="E14" s="1" t="s">
        <v>7</v>
      </c>
      <c r="F14" s="2" t="s">
        <v>5</v>
      </c>
      <c r="G14" s="1">
        <v>1</v>
      </c>
      <c r="H14" s="1">
        <f>Initialization!$B$10</f>
        <v>2</v>
      </c>
      <c r="I14" s="6">
        <v>1</v>
      </c>
      <c r="J14" s="5" t="s">
        <v>105</v>
      </c>
    </row>
    <row r="15" spans="1:10" ht="32" x14ac:dyDescent="0.2">
      <c r="A15" s="47" t="s">
        <v>109</v>
      </c>
      <c r="B15" s="30">
        <v>20.815000000000001</v>
      </c>
      <c r="C15" s="2" t="s">
        <v>96</v>
      </c>
      <c r="D15" s="1" t="s">
        <v>22</v>
      </c>
      <c r="E15" s="1" t="s">
        <v>7</v>
      </c>
      <c r="F15" s="2" t="s">
        <v>5</v>
      </c>
      <c r="G15" s="1"/>
      <c r="H15" s="1">
        <f>Initialization!$B$10</f>
        <v>2</v>
      </c>
      <c r="I15" s="6">
        <v>1</v>
      </c>
      <c r="J15" s="5" t="s">
        <v>105</v>
      </c>
    </row>
    <row r="16" spans="1:10" ht="32" x14ac:dyDescent="0.2">
      <c r="A16" s="47" t="s">
        <v>111</v>
      </c>
      <c r="B16" s="30">
        <v>1</v>
      </c>
      <c r="C16" s="32" t="s">
        <v>3</v>
      </c>
      <c r="D16" s="1" t="s">
        <v>22</v>
      </c>
      <c r="E16" s="1" t="s">
        <v>7</v>
      </c>
      <c r="F16" s="2" t="s">
        <v>5</v>
      </c>
      <c r="G16" s="1">
        <v>1</v>
      </c>
      <c r="H16" s="1">
        <f>Initialization!$B$10</f>
        <v>2</v>
      </c>
      <c r="I16" s="6">
        <v>1</v>
      </c>
      <c r="J16" s="5" t="s">
        <v>110</v>
      </c>
    </row>
    <row r="17" spans="1:10" ht="32" x14ac:dyDescent="0.2">
      <c r="A17" s="47" t="s">
        <v>112</v>
      </c>
      <c r="B17" s="30">
        <v>1</v>
      </c>
      <c r="C17" s="32" t="s">
        <v>3</v>
      </c>
      <c r="D17" s="1" t="s">
        <v>22</v>
      </c>
      <c r="E17" s="1" t="s">
        <v>7</v>
      </c>
      <c r="F17" s="2" t="s">
        <v>5</v>
      </c>
      <c r="G17" s="1"/>
      <c r="H17" s="1">
        <f>Initialization!$B$10</f>
        <v>2</v>
      </c>
      <c r="I17" s="6">
        <v>1</v>
      </c>
      <c r="J17" s="5" t="s">
        <v>110</v>
      </c>
    </row>
    <row r="18" spans="1:10" ht="16" x14ac:dyDescent="0.2">
      <c r="A18" s="8" t="s">
        <v>78</v>
      </c>
      <c r="B18" s="31"/>
      <c r="C18" s="9"/>
      <c r="D18" s="10"/>
      <c r="E18" s="10"/>
      <c r="F18" s="9"/>
      <c r="G18" s="10">
        <v>1</v>
      </c>
      <c r="H18" s="10">
        <v>1</v>
      </c>
      <c r="I18" s="11">
        <v>0</v>
      </c>
      <c r="J18" s="12" t="s">
        <v>79</v>
      </c>
    </row>
  </sheetData>
  <sheetProtection algorithmName="SHA-512" hashValue="2B8DJkLuNb9zwJvvUhqt33kGfFkhFOa4YShwQ2yTkm0GX6O8S1QkPZlIBZ5GwH8ebMOThw2po5C4i9TgVOTrNg==" saltValue="JAbNh/kr37GqSeet5NXhxg==" spinCount="100000" sheet="1" objects="1" scenarios="1" selectLockedCells="1"/>
  <mergeCells count="2">
    <mergeCell ref="A3:J3"/>
    <mergeCell ref="J4:J8"/>
  </mergeCells>
  <conditionalFormatting sqref="B10">
    <cfRule type="expression" dxfId="34" priority="31">
      <formula>IF(AND($B10&lt;&gt;"",$I10=0),1,0)</formula>
    </cfRule>
    <cfRule type="expression" dxfId="33" priority="32">
      <formula>IF($B10&lt;&gt;"",1,0)</formula>
    </cfRule>
    <cfRule type="expression" dxfId="32" priority="33">
      <formula>$I10=0</formula>
    </cfRule>
  </conditionalFormatting>
  <conditionalFormatting sqref="B10:B18">
    <cfRule type="expression" dxfId="31" priority="13">
      <formula>IF(AND($B10&lt;&gt;"",$I10=0),1,0)</formula>
    </cfRule>
    <cfRule type="expression" dxfId="30" priority="14">
      <formula>IF($B10&lt;&gt;"",1,0)</formula>
    </cfRule>
    <cfRule type="expression" dxfId="29" priority="15">
      <formula>$I10=0</formula>
    </cfRule>
  </conditionalFormatting>
  <conditionalFormatting sqref="B11">
    <cfRule type="expression" dxfId="28" priority="1">
      <formula>IF(AND($B11&lt;&gt;"",$I11=0),1,0)</formula>
    </cfRule>
    <cfRule type="expression" dxfId="27" priority="2">
      <formula>IF($B11&lt;&gt;"",1,0)</formula>
    </cfRule>
    <cfRule type="expression" dxfId="26" priority="3">
      <formula>$I11=0</formula>
    </cfRule>
  </conditionalFormatting>
  <conditionalFormatting sqref="B13">
    <cfRule type="expression" dxfId="25" priority="4">
      <formula>IF(AND($B13&lt;&gt;"",$I13=0),1,0)</formula>
    </cfRule>
    <cfRule type="expression" dxfId="24" priority="5">
      <formula>IF($B13&lt;&gt;"",1,0)</formula>
    </cfRule>
    <cfRule type="expression" dxfId="23" priority="6">
      <formula>$I13=0</formula>
    </cfRule>
  </conditionalFormatting>
  <conditionalFormatting sqref="B15">
    <cfRule type="expression" dxfId="22" priority="7">
      <formula>IF(AND($B15&lt;&gt;"",$I15=0),1,0)</formula>
    </cfRule>
    <cfRule type="expression" dxfId="21" priority="8">
      <formula>IF($B15&lt;&gt;"",1,0)</formula>
    </cfRule>
    <cfRule type="expression" dxfId="20" priority="9">
      <formula>$I15=0</formula>
    </cfRule>
  </conditionalFormatting>
  <conditionalFormatting sqref="B17">
    <cfRule type="expression" dxfId="19" priority="10">
      <formula>IF(AND($B17&lt;&gt;"",$I17=0),1,0)</formula>
    </cfRule>
    <cfRule type="expression" dxfId="18" priority="11">
      <formula>IF($B17&lt;&gt;"",1,0)</formula>
    </cfRule>
    <cfRule type="expression" dxfId="17" priority="12">
      <formula>$I17=0</formula>
    </cfRule>
  </conditionalFormatting>
  <conditionalFormatting sqref="J4">
    <cfRule type="expression" dxfId="16" priority="485">
      <formula>IF(COUNTA($B$10:$B$18)&lt;&gt;COUNTIF($I$10:$I$18,1),1,0)</formula>
    </cfRule>
    <cfRule type="expression" dxfId="15" priority="486">
      <formula>IF(COUNTA($B$10:$B$18)=COUNTIF($I$10:$I$18,1),1,0)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6844B8B-F3CE-4C0E-B662-3BCABFEDD169}">
          <x14:formula1>
            <xm:f>Reference!$C$2:$C$23</xm:f>
          </x14:formula1>
          <xm:sqref>F10:F18</xm:sqref>
        </x14:dataValidation>
        <x14:dataValidation type="list" allowBlank="1" showInputMessage="1" showErrorMessage="1" xr:uid="{DCFCDFC4-1749-41DF-842A-61C5B31BA9F6}">
          <x14:formula1>
            <xm:f>Reference!$B$2:$B$18</xm:f>
          </x14:formula1>
          <xm:sqref>D10:D18</xm:sqref>
        </x14:dataValidation>
        <x14:dataValidation type="list" allowBlank="1" showInputMessage="1" showErrorMessage="1" xr:uid="{8F2B06CE-B93E-46F2-B98E-C86F46C6D75E}">
          <x14:formula1>
            <xm:f>Reference!$A$2:$A$8</xm:f>
          </x14:formula1>
          <xm:sqref>E10:E18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78E0A-D9CD-46D4-8DEA-5F8B0BEA714C}">
  <sheetPr codeName="Sheet18">
    <tabColor rgb="FF00B050"/>
  </sheetPr>
  <dimension ref="A1:Q9"/>
  <sheetViews>
    <sheetView showGridLines="0" zoomScaleNormal="100" zoomScaleSheetLayoutView="55" workbookViewId="0">
      <pane ySplit="1" topLeftCell="A2" activePane="bottomLeft" state="frozen"/>
      <selection activeCell="D4" sqref="D4:J4"/>
      <selection pane="bottomLeft" activeCell="B9" sqref="B9"/>
    </sheetView>
  </sheetViews>
  <sheetFormatPr baseColWidth="10" defaultColWidth="0" defaultRowHeight="0" customHeight="1" zeroHeight="1" x14ac:dyDescent="0.2"/>
  <cols>
    <col min="1" max="2" width="8.83203125" style="56" customWidth="1"/>
    <col min="3" max="3" width="13.1640625" style="56" customWidth="1"/>
    <col min="4" max="4" width="13.5" style="56" customWidth="1"/>
    <col min="5" max="6" width="8.83203125" style="56" customWidth="1"/>
    <col min="7" max="7" width="14.83203125" style="56" customWidth="1"/>
    <col min="8" max="8" width="11.6640625" style="56" customWidth="1"/>
    <col min="9" max="9" width="10.33203125" style="56" customWidth="1"/>
    <col min="10" max="10" width="5.6640625" style="56" customWidth="1"/>
    <col min="11" max="11" width="10.5" style="56" customWidth="1"/>
    <col min="12" max="17" width="8.83203125" style="56" customWidth="1"/>
    <col min="18" max="16384" width="8.83203125" style="56" hidden="1"/>
  </cols>
  <sheetData>
    <row r="1" spans="1:17" ht="15" x14ac:dyDescent="0.2">
      <c r="A1" s="53" t="s">
        <v>135</v>
      </c>
      <c r="B1" s="54"/>
      <c r="C1" s="54"/>
      <c r="D1" s="54"/>
      <c r="E1" s="54"/>
      <c r="F1" s="54"/>
      <c r="G1" s="54"/>
      <c r="H1" s="54"/>
      <c r="I1" s="55"/>
      <c r="J1" s="55"/>
      <c r="K1" s="55"/>
      <c r="L1" s="55"/>
      <c r="M1" s="55"/>
      <c r="N1" s="55"/>
      <c r="O1" s="55"/>
      <c r="P1" s="55"/>
      <c r="Q1" s="55" t="s">
        <v>85</v>
      </c>
    </row>
    <row r="2" spans="1:17" ht="15" x14ac:dyDescent="0.2">
      <c r="A2" s="65" t="s">
        <v>129</v>
      </c>
      <c r="B2" s="66"/>
      <c r="C2" s="66"/>
      <c r="D2" s="66"/>
      <c r="E2" s="66"/>
      <c r="F2" s="66"/>
      <c r="G2" s="66"/>
      <c r="H2" s="66"/>
      <c r="I2" s="66"/>
      <c r="J2" s="66"/>
      <c r="K2" s="66"/>
      <c r="L2" s="66"/>
      <c r="M2" s="66"/>
      <c r="N2" s="66"/>
      <c r="O2" s="66"/>
      <c r="P2" s="66"/>
      <c r="Q2" s="66"/>
    </row>
    <row r="3" spans="1:17" ht="15" x14ac:dyDescent="0.2">
      <c r="A3" s="24"/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</row>
    <row r="4" spans="1:17" ht="15" x14ac:dyDescent="0.2">
      <c r="A4" s="24"/>
      <c r="B4" s="57" t="s">
        <v>130</v>
      </c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7"/>
      <c r="P4" s="57"/>
      <c r="Q4" s="57"/>
    </row>
    <row r="5" spans="1:17" ht="15" x14ac:dyDescent="0.2">
      <c r="A5" s="24"/>
      <c r="B5" s="57"/>
      <c r="C5" s="57" t="s">
        <v>97</v>
      </c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</row>
    <row r="6" spans="1:17" ht="15" x14ac:dyDescent="0.2">
      <c r="A6" s="24"/>
      <c r="B6" s="57"/>
      <c r="C6" s="57"/>
      <c r="D6" s="45" t="s">
        <v>98</v>
      </c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  <c r="Q6" s="57"/>
    </row>
    <row r="7" spans="1:17" ht="15" x14ac:dyDescent="0.2">
      <c r="A7" s="24"/>
      <c r="B7" s="57"/>
      <c r="C7" s="57" t="s">
        <v>99</v>
      </c>
      <c r="D7" s="57"/>
      <c r="E7" s="57"/>
      <c r="F7" s="57"/>
      <c r="G7" s="57"/>
      <c r="H7" s="57"/>
      <c r="I7" s="57"/>
      <c r="J7" s="57"/>
      <c r="K7" s="57"/>
      <c r="L7" s="57"/>
      <c r="M7" s="57"/>
      <c r="N7" s="57"/>
      <c r="O7" s="57"/>
      <c r="P7" s="57"/>
      <c r="Q7" s="57"/>
    </row>
    <row r="8" spans="1:17" ht="15" x14ac:dyDescent="0.2">
      <c r="A8" s="24"/>
      <c r="B8" s="57"/>
      <c r="C8" s="57"/>
      <c r="D8" s="44" t="s">
        <v>100</v>
      </c>
      <c r="E8" s="57"/>
      <c r="F8" s="57"/>
      <c r="G8" s="57"/>
      <c r="H8" s="57"/>
      <c r="I8" s="57"/>
      <c r="J8" s="57"/>
      <c r="K8" s="57"/>
      <c r="L8" s="57"/>
      <c r="M8" s="57"/>
      <c r="N8" s="57"/>
      <c r="O8" s="57"/>
      <c r="P8" s="57"/>
      <c r="Q8" s="57"/>
    </row>
    <row r="9" spans="1:17" ht="15" x14ac:dyDescent="0.2">
      <c r="A9" s="24"/>
      <c r="B9" s="57"/>
      <c r="C9" s="57"/>
      <c r="D9" s="57"/>
      <c r="E9" s="57"/>
      <c r="F9" s="57"/>
      <c r="G9" s="57"/>
      <c r="H9" s="57"/>
      <c r="I9" s="57"/>
      <c r="J9" s="57"/>
      <c r="K9" s="57"/>
      <c r="L9" s="57"/>
      <c r="M9" s="57"/>
      <c r="N9" s="57"/>
      <c r="O9" s="57"/>
      <c r="P9" s="57"/>
      <c r="Q9" s="57"/>
    </row>
  </sheetData>
  <sheetProtection selectLockedCells="1" selectUnlockedCells="1"/>
  <mergeCells count="1">
    <mergeCell ref="A2:Q2"/>
  </mergeCells>
  <hyperlinks>
    <hyperlink ref="D6" r:id="rId1" display="https://dippr.aiche.org/" xr:uid="{D8F49348-B7BC-4F27-BA5D-67903C2F14FA}"/>
    <hyperlink ref="D8" r:id="rId2" location="home" display="https://adsorption.nist.gov/index.php - home" xr:uid="{E3E6414F-9138-43A7-BA4E-1F6E271472CF}"/>
  </hyperlinks>
  <pageMargins left="0.7" right="0.7" top="0.75" bottom="0.75" header="0.3" footer="0.3"/>
  <pageSetup scale="20" orientation="portrait"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88</v>
      </c>
    </row>
    <row r="2" spans="1:1" x14ac:dyDescent="0.2">
      <c r="A2" t="s">
        <v>86</v>
      </c>
    </row>
    <row r="3" spans="1:1" x14ac:dyDescent="0.2">
      <c r="A3" t="s">
        <v>87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R2" sqref="CR2"/>
    </sheetView>
  </sheetViews>
  <sheetFormatPr baseColWidth="10" defaultColWidth="8.83203125" defaultRowHeight="15" x14ac:dyDescent="0.2"/>
  <sheetData>
    <row r="1" spans="1:17" x14ac:dyDescent="0.2">
      <c r="A1" t="s">
        <v>5</v>
      </c>
      <c r="B1" t="s">
        <v>136</v>
      </c>
      <c r="C1" t="s">
        <v>62</v>
      </c>
      <c r="D1" t="s">
        <v>63</v>
      </c>
      <c r="E1" t="s">
        <v>78</v>
      </c>
      <c r="F1" t="s">
        <v>124</v>
      </c>
      <c r="G1" t="s">
        <v>127</v>
      </c>
      <c r="H1" t="s">
        <v>78</v>
      </c>
      <c r="I1" t="s">
        <v>93</v>
      </c>
      <c r="J1" t="s">
        <v>94</v>
      </c>
      <c r="K1" t="s">
        <v>106</v>
      </c>
      <c r="L1" t="s">
        <v>107</v>
      </c>
      <c r="M1" t="s">
        <v>108</v>
      </c>
      <c r="N1" t="s">
        <v>109</v>
      </c>
      <c r="O1" t="s">
        <v>111</v>
      </c>
      <c r="P1" t="s">
        <v>112</v>
      </c>
      <c r="Q1" t="s">
        <v>78</v>
      </c>
    </row>
    <row r="2" spans="1:17" x14ac:dyDescent="0.2">
      <c r="A2">
        <v>2</v>
      </c>
      <c r="B2">
        <v>1</v>
      </c>
      <c r="C2" t="s">
        <v>68</v>
      </c>
      <c r="D2" t="s">
        <v>103</v>
      </c>
      <c r="F2">
        <v>32</v>
      </c>
      <c r="G2">
        <v>28</v>
      </c>
      <c r="K2">
        <v>29.370999999999999</v>
      </c>
      <c r="L2">
        <v>29.129000000000001</v>
      </c>
      <c r="M2">
        <v>21.056999999999999</v>
      </c>
      <c r="N2">
        <v>20.815000000000001</v>
      </c>
      <c r="O2">
        <v>1</v>
      </c>
      <c r="P2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baseColWidth="10" defaultColWidth="8.83203125" defaultRowHeight="15" x14ac:dyDescent="0.2"/>
  <sheetData>
    <row r="1" spans="1:17" x14ac:dyDescent="0.2">
      <c r="A1" t="s">
        <v>5</v>
      </c>
      <c r="B1" t="s">
        <v>136</v>
      </c>
      <c r="C1" t="s">
        <v>62</v>
      </c>
      <c r="D1" t="s">
        <v>63</v>
      </c>
      <c r="E1" t="s">
        <v>78</v>
      </c>
      <c r="F1" t="s">
        <v>124</v>
      </c>
      <c r="G1" t="s">
        <v>127</v>
      </c>
      <c r="H1" t="s">
        <v>78</v>
      </c>
      <c r="I1" t="s">
        <v>93</v>
      </c>
      <c r="J1" t="s">
        <v>94</v>
      </c>
      <c r="K1" t="s">
        <v>106</v>
      </c>
      <c r="L1" t="s">
        <v>107</v>
      </c>
      <c r="M1" t="s">
        <v>108</v>
      </c>
      <c r="N1" t="s">
        <v>109</v>
      </c>
      <c r="O1" t="s">
        <v>111</v>
      </c>
      <c r="P1" t="s">
        <v>112</v>
      </c>
      <c r="Q1" t="s">
        <v>78</v>
      </c>
    </row>
    <row r="2" spans="1:17" x14ac:dyDescent="0.2">
      <c r="A2">
        <v>1</v>
      </c>
      <c r="B2">
        <v>1</v>
      </c>
      <c r="C2">
        <v>1</v>
      </c>
      <c r="D2">
        <v>1</v>
      </c>
      <c r="E2">
        <v>0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Reference</vt:lpstr>
      <vt:lpstr>Initialization</vt:lpstr>
      <vt:lpstr>Physical Properties</vt:lpstr>
      <vt:lpstr>Thermodynamic Properties</vt:lpstr>
      <vt:lpstr>Help</vt:lpstr>
      <vt:lpstr>maintenance check list</vt:lpstr>
      <vt:lpstr>Data(Transposed)</vt:lpstr>
      <vt:lpstr>Data(Test)</vt:lpstr>
      <vt:lpstr>Initialization!Print_Area</vt:lpstr>
      <vt:lpstr>'Physical Properties'!Print_Area</vt:lpstr>
      <vt:lpstr>'Revision History'!Print_Area</vt:lpstr>
      <vt:lpstr>'Thermodynamic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2025-02-18T19:36:02Z</dcterms:modified>
</cp:coreProperties>
</file>