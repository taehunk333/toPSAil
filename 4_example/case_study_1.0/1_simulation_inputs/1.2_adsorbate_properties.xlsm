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F49413E0-4494-3C4B-A468-2C2C74589B78}" xr6:coauthVersionLast="47" xr6:coauthVersionMax="47" xr10:uidLastSave="{00000000-0000-0000-0000-000000000000}"/>
  <bookViews>
    <workbookView xWindow="140" yWindow="800" windowWidth="34240" windowHeight="21380" tabRatio="818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state="hidden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  <externalReference r:id="rId11"/>
    <externalReference r:id="rId12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3" i="40" l="1"/>
  <c r="H11" i="48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2" i="40" l="1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<sst xmlns="http://schemas.openxmlformats.org/spreadsheetml/2006/main" count="288" uniqueCount="142">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</sst>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/Library/Containers/com.microsoft.Excel/Data/Documents/Macros.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ros"/>
    </sheetNames>
    <definedNames>
      <definedName name="initComs"/>
    </definedNames>
    <sheetDataSet>
      <sheetData sheetId="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74" dataDxfId="72" headerRowBorderDxfId="73" tableBorderDxfId="71" totalsRowBorderDxfId="70">
  <autoFilter ref="A9:J14" xr:uid="{B089C5C3-2CCE-4800-96CA-2131BB6E3E4F}"/>
  <tableColumns count="10">
    <tableColumn id="1" xr3:uid="{F0083DBC-BA3F-499A-AB41-58DC14E7EC9B}" name="Variable" dataDxfId="69"/>
    <tableColumn id="4" xr3:uid="{2D9C78CB-0A98-4E06-A17A-328F6643A2AB}" name="Value" dataDxfId="68"/>
    <tableColumn id="5" xr3:uid="{2D40A785-0BF0-4D20-A6A3-606AF3EAEA1D}" name="Unit" dataDxfId="67"/>
    <tableColumn id="6" xr3:uid="{47E47CE1-84EE-4BBF-AF16-7CD09E32C8D5}" name="Comparisons" dataDxfId="66"/>
    <tableColumn id="7" xr3:uid="{1E01755C-F10B-47AF-87D2-261FE9E5C304}" name="Variable Type" dataDxfId="65"/>
    <tableColumn id="8" xr3:uid="{A1508BC9-F251-4C78-AFE1-9780568F4570}" name="Dependency" dataDxfId="64"/>
    <tableColumn id="12" xr3:uid="{483B9187-B663-438A-A6C2-F92DD2C5981E}" name="Test 1" dataDxfId="63"/>
    <tableColumn id="10" xr3:uid="{B0989B53-E4FA-42D2-AC40-B81EF1952308}" name="Test 2" dataDxfId="62"/>
    <tableColumn id="2" xr3:uid="{3B51E6F8-78E0-4FDA-AE7D-0D8F50BB7A78}" name="Test 3" dataDxfId="61"/>
    <tableColumn id="9" xr3:uid="{87AE414E-FFE1-4067-A57C-04659EEE8430}" name="Description" data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59" dataDxfId="57" headerRowBorderDxfId="58" tableBorderDxfId="56" totalsRowBorderDxfId="55">
  <autoFilter ref="A9:J12" xr:uid="{B089C5C3-2CCE-4800-96CA-2131BB6E3E4F}"/>
  <tableColumns count="10">
    <tableColumn id="1" xr3:uid="{D4652DE0-AD05-4BC4-B7DC-B91D6E15B5B2}" name="Variable" dataDxfId="54"/>
    <tableColumn id="4" xr3:uid="{2F59C491-C7E1-4257-A250-2EA854EB6288}" name="Value" dataDxfId="53"/>
    <tableColumn id="5" xr3:uid="{34876DE5-AC85-42AE-9A77-1A7DBC37EA9C}" name="Unit" dataDxfId="52"/>
    <tableColumn id="6" xr3:uid="{16522C00-28AB-414D-9B4E-DF5790D96FB0}" name="Comparisons" dataDxfId="51"/>
    <tableColumn id="7" xr3:uid="{A1C9D628-05B1-4FEF-97C7-8DAC16591D17}" name="Variable Type" dataDxfId="50"/>
    <tableColumn id="8" xr3:uid="{21ED6E86-E0CA-4EA6-8452-7E8EC49D47E9}" name="Dependency" dataDxfId="49"/>
    <tableColumn id="12" xr3:uid="{833F4E3C-8288-4E33-9D60-BB141BA16440}" name="Test 1" dataDxfId="48"/>
    <tableColumn id="10" xr3:uid="{B5ACF3FF-F7B5-4328-AF7F-9A1641C64EBC}" name="Test 2" dataDxfId="47"/>
    <tableColumn id="2" xr3:uid="{69651FF2-E47D-4C8B-88C9-DEAB4746E36D}" name="Test 3" dataDxfId="46"/>
    <tableColumn id="9" xr3:uid="{7323C7D4-0CE9-41A5-811B-0D3D008EC15F}" name="Description" dataDxfId="4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44" dataDxfId="42" headerRowBorderDxfId="43" tableBorderDxfId="41" totalsRowBorderDxfId="40">
  <autoFilter ref="A9:J18" xr:uid="{B089C5C3-2CCE-4800-96CA-2131BB6E3E4F}"/>
  <tableColumns count="10">
    <tableColumn id="1" xr3:uid="{6A35E06C-F897-408B-99FB-EF8D84B6AD07}" name="Variable" dataDxfId="39"/>
    <tableColumn id="4" xr3:uid="{67BF08AD-B2D0-428D-97B6-2FC73FC3CF9D}" name="Value" dataDxfId="38"/>
    <tableColumn id="5" xr3:uid="{277E4E51-24B7-4152-BAF4-78D95A975063}" name="Unit" dataDxfId="37"/>
    <tableColumn id="6" xr3:uid="{039F4962-2365-467D-B17A-12CEEC8E0412}" name="Comparisons" dataDxfId="36"/>
    <tableColumn id="7" xr3:uid="{E0E79FD6-8B46-463D-9B88-4324FFF4BBD5}" name="Variable Type" dataDxfId="35"/>
    <tableColumn id="8" xr3:uid="{BEECCACE-8125-445B-95C5-5AB708475223}" name="Dependency" dataDxfId="34"/>
    <tableColumn id="12" xr3:uid="{5D9BF479-6158-45CA-BAFF-FA972241D2E7}" name="Test 1" dataDxfId="33"/>
    <tableColumn id="10" xr3:uid="{A9492B6E-945E-41F5-97D5-9C45A61125D1}" name="Test 2" dataDxfId="32"/>
    <tableColumn id="2" xr3:uid="{E9964D8A-68A9-4FB5-9793-107C574C148B}" name="Test 3" dataDxfId="31"/>
    <tableColumn id="9" xr3:uid="{FF965B85-0F32-4D45-BAAB-63478E6B877E}" name="Description" dataDxfId="3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J12" sqref="J12"/>
    </sheetView>
  </sheetViews>
  <sheetFormatPr baseColWidth="10" defaultColWidth="0" defaultRowHeight="15" zeroHeight="1" x14ac:dyDescent="0.2"/>
  <cols>
    <col min="1" max="2" width="3.33203125" style="33" hidden="1" customWidth="1"/>
    <col min="3" max="3" width="2.5" style="33" customWidth="1"/>
    <col min="4" max="4" width="13.83203125" style="33" customWidth="1"/>
    <col min="5" max="5" width="51.33203125" style="34" bestFit="1" customWidth="1"/>
    <col min="6" max="6" width="15.83203125" style="35" bestFit="1" customWidth="1"/>
    <col min="7" max="9" width="13.33203125" style="33" customWidth="1"/>
    <col min="10" max="10" width="48.83203125" style="33" customWidth="1"/>
    <col min="11" max="11" width="2.5" style="33" customWidth="1"/>
    <col min="12" max="12" width="0" style="33" hidden="1" customWidth="1"/>
    <col min="13" max="16384" width="9" style="33" hidden="1"/>
  </cols>
  <sheetData>
    <row r="3" spans="4:10" x14ac:dyDescent="0.2"/>
    <row r="4" spans="4:10" ht="19" x14ac:dyDescent="0.25">
      <c r="D4" s="49" t="s">
        <v>134</v>
      </c>
      <c r="E4" s="50"/>
      <c r="F4" s="51"/>
      <c r="G4" s="52"/>
      <c r="H4" s="52"/>
      <c r="I4" s="52"/>
      <c r="J4" s="36" t="s">
        <v>85</v>
      </c>
    </row>
    <row r="5" spans="4:10" ht="40" x14ac:dyDescent="0.2">
      <c r="D5" s="60" t="s">
        <v>36</v>
      </c>
      <c r="E5" s="60"/>
      <c r="F5" s="60"/>
      <c r="G5" s="60"/>
      <c r="H5" s="60"/>
      <c r="I5" s="60"/>
      <c r="J5" s="60"/>
    </row>
    <row r="6" spans="4:10" ht="20" x14ac:dyDescent="0.2">
      <c r="D6" s="46" t="s">
        <v>30</v>
      </c>
      <c r="E6" s="46" t="s">
        <v>128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60" x14ac:dyDescent="0.2">
      <c r="D7" s="37">
        <v>1</v>
      </c>
      <c r="E7" s="38" t="s">
        <v>133</v>
      </c>
      <c r="F7" s="39">
        <v>44720</v>
      </c>
      <c r="G7" s="37" t="s">
        <v>37</v>
      </c>
      <c r="H7" s="37"/>
      <c r="I7" s="37"/>
      <c r="J7" s="38"/>
    </row>
    <row r="8" spans="4:10" ht="40" x14ac:dyDescent="0.2">
      <c r="D8" s="37">
        <v>2</v>
      </c>
      <c r="E8" s="38" t="s">
        <v>131</v>
      </c>
      <c r="F8" s="39">
        <v>44818</v>
      </c>
      <c r="G8" s="37" t="s">
        <v>37</v>
      </c>
      <c r="H8" s="37"/>
      <c r="I8" s="37"/>
      <c r="J8" s="38"/>
    </row>
    <row r="9" spans="4:10" ht="80" x14ac:dyDescent="0.2">
      <c r="D9" s="37">
        <v>3</v>
      </c>
      <c r="E9" s="38" t="s">
        <v>140</v>
      </c>
      <c r="F9" s="39">
        <v>45649</v>
      </c>
      <c r="G9" s="37" t="s">
        <v>37</v>
      </c>
      <c r="H9" s="37"/>
      <c r="I9" s="37"/>
      <c r="J9" s="38" t="s">
        <v>141</v>
      </c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101</v>
      </c>
      <c r="S1" t="s">
        <v>102</v>
      </c>
      <c r="T1" t="s">
        <v>115</v>
      </c>
      <c r="U1" t="s">
        <v>116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117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122</v>
      </c>
    </row>
    <row r="9" spans="1:21" x14ac:dyDescent="0.2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113</v>
      </c>
    </row>
    <row r="12" spans="1:21" x14ac:dyDescent="0.2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114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IF(COUNTIF(Table110823[Test 3],1)=COUNTA(Table110823[Value]),"Ready","Not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32" x14ac:dyDescent="0.2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137</v>
      </c>
    </row>
    <row r="11" spans="1:10" ht="64" x14ac:dyDescent="0.2">
      <c r="A11" s="47" t="s">
        <v>136</v>
      </c>
      <c r="B11" s="30">
        <v>1</v>
      </c>
      <c r="C11" s="32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138</v>
      </c>
    </row>
    <row r="12" spans="1:10" ht="32" x14ac:dyDescent="0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132</v>
      </c>
    </row>
    <row r="13" spans="1:10" ht="32" x14ac:dyDescent="0.2">
      <c r="A13" s="4" t="s">
        <v>63</v>
      </c>
      <c r="B13" s="30" t="s">
        <v>103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132</v>
      </c>
    </row>
    <row r="14" spans="1:10" ht="16" x14ac:dyDescent="0.2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DxfQkcLTFTbGg8RuaC9Bdg142OSnltsvKGGCX7I2JZOMOAXitDiYmYFCyc9c6bd8r6Sua93qNYTtfEZb9Brx5g==" saltValue="R0UdzaZmFJSrnsIOI9agkA==" spinCount="100000" sheet="1" objects="1" scenarios="1" selectLockedCells="1"/>
  <mergeCells count="2">
    <mergeCell ref="A3:J3"/>
    <mergeCell ref="J4:J8"/>
  </mergeCells>
  <conditionalFormatting sqref="B10:B14">
    <cfRule type="expression" dxfId="29" priority="1">
      <formula>IF(AND($B10&lt;&gt;"",$I10=0),1,0)</formula>
    </cfRule>
    <cfRule type="expression" dxfId="28" priority="2">
      <formula>IF($B10&lt;&gt;"",1,0)</formula>
    </cfRule>
    <cfRule type="expression" dxfId="27" priority="3">
      <formula>$I10=0</formula>
    </cfRule>
  </conditionalFormatting>
  <conditionalFormatting sqref="J4">
    <cfRule type="expression" dxfId="26" priority="575">
      <formula>IF(COUNTA($B$10:$B$14)&lt;&gt;COUNTIF($I$10:$I$14,1),1,0)</formula>
    </cfRule>
    <cfRule type="expression" dxfId="25" priority="576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IF(COUNTIF(Table1108238[Test 3],1)=COUNTA(Table1108238[Value]),"Ready","Not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6" x14ac:dyDescent="0.2">
      <c r="A10" s="4" t="s">
        <v>124</v>
      </c>
      <c r="B10" s="30">
        <v>32</v>
      </c>
      <c r="C10" s="2" t="s">
        <v>125</v>
      </c>
      <c r="D10" s="1" t="s">
        <v>22</v>
      </c>
      <c r="E10" s="1" t="s">
        <v>7</v>
      </c>
      <c r="F10" s="2" t="s">
        <v>5</v>
      </c>
      <c r="G10" s="1">
        <v>1</v>
      </c>
      <c r="H10" s="59">
        <f>Initialization!B$10</f>
        <v>2</v>
      </c>
      <c r="I10" s="6">
        <v>1</v>
      </c>
      <c r="J10" s="5" t="s">
        <v>126</v>
      </c>
    </row>
    <row r="11" spans="1:10" ht="16" x14ac:dyDescent="0.2">
      <c r="A11" s="4" t="s">
        <v>127</v>
      </c>
      <c r="B11" s="30">
        <v>28</v>
      </c>
      <c r="C11" s="2" t="s">
        <v>125</v>
      </c>
      <c r="D11" s="1" t="s">
        <v>22</v>
      </c>
      <c r="E11" s="1" t="s">
        <v>7</v>
      </c>
      <c r="F11" s="2" t="s">
        <v>5</v>
      </c>
      <c r="G11" s="1"/>
      <c r="H11" s="59">
        <f>Initialization!B$10</f>
        <v>2</v>
      </c>
      <c r="I11" s="6">
        <v>1</v>
      </c>
      <c r="J11" s="5" t="s">
        <v>126</v>
      </c>
    </row>
    <row r="12" spans="1:10" ht="16" x14ac:dyDescent="0.2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iuTEPBwVmq41PEQtDYHMLWQTzNeViLsJfDS/2Jx28Nfj/Yi+laJ6yUV+/oWQK1yHtw8z1ZaKwPjuGXKv+CfwLA==" saltValue="Y8cHnTD1iiLiwB0gfjm/Eg==" spinCount="100000" sheet="1" objects="1" scenarios="1" selectLockedCells="1"/>
  <mergeCells count="2">
    <mergeCell ref="A3:J3"/>
    <mergeCell ref="J4:J8"/>
  </mergeCells>
  <conditionalFormatting sqref="B10:B12">
    <cfRule type="expression" dxfId="24" priority="16">
      <formula>IF(AND($B10&lt;&gt;"",$I10=0),1,0)</formula>
    </cfRule>
    <cfRule type="expression" dxfId="23" priority="17">
      <formula>IF($B10&lt;&gt;"",1,0)</formula>
    </cfRule>
    <cfRule type="expression" dxfId="22" priority="18">
      <formula>$I10=0</formula>
    </cfRule>
  </conditionalFormatting>
  <conditionalFormatting sqref="J4">
    <cfRule type="expression" dxfId="21" priority="567">
      <formula>IF(COUNTA($B$10:$B$12)&lt;&gt;COUNTIF($I$10:$I$12,1),1,0)</formula>
    </cfRule>
    <cfRule type="expression" dxfId="20" priority="568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IF(COUNTIF(Table110824[Test 3],1)=COUNTA(Table110824[Value]),"Ready","Not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32" x14ac:dyDescent="0.2">
      <c r="A10" s="4" t="s">
        <v>93</v>
      </c>
      <c r="B10" s="30"/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58">
        <f>[2]Initialization!$B$14</f>
        <v>0</v>
      </c>
      <c r="J10" s="5" t="s">
        <v>139</v>
      </c>
    </row>
    <row r="11" spans="1:10" ht="32" x14ac:dyDescent="0.2">
      <c r="A11" s="4" t="s">
        <v>94</v>
      </c>
      <c r="B11" s="30"/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58">
        <f>[2]Initialization!$B$14</f>
        <v>0</v>
      </c>
      <c r="J11" s="5" t="s">
        <v>139</v>
      </c>
    </row>
    <row r="12" spans="1:10" ht="32" x14ac:dyDescent="0.2">
      <c r="A12" s="4" t="s">
        <v>106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104</v>
      </c>
    </row>
    <row r="13" spans="1:10" ht="32" x14ac:dyDescent="0.2">
      <c r="A13" s="4" t="s">
        <v>107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104</v>
      </c>
    </row>
    <row r="14" spans="1:10" ht="32" x14ac:dyDescent="0.2">
      <c r="A14" s="47" t="s">
        <v>108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105</v>
      </c>
    </row>
    <row r="15" spans="1:10" ht="32" x14ac:dyDescent="0.2">
      <c r="A15" s="47" t="s">
        <v>109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105</v>
      </c>
    </row>
    <row r="16" spans="1:10" ht="32" x14ac:dyDescent="0.2">
      <c r="A16" s="47" t="s">
        <v>111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110</v>
      </c>
    </row>
    <row r="17" spans="1:10" ht="32" x14ac:dyDescent="0.2">
      <c r="A17" s="47" t="s">
        <v>112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110</v>
      </c>
    </row>
    <row r="18" spans="1:10" ht="16" x14ac:dyDescent="0.2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e9QTipq462uz58jGhBQZEM5CQTiGOiTequt0a4qo5EWShHRkBFLLjaArxQAvkPoeKNRZGEHeCLTpKTUiZPENog==" saltValue="Gx5C7aSX8svTaGWqGx6Yfg==" spinCount="100000" sheet="1" objects="1" scenarios="1" selectLockedCells="1"/>
  <mergeCells count="2">
    <mergeCell ref="A3:J3"/>
    <mergeCell ref="J4:J8"/>
  </mergeCells>
  <conditionalFormatting sqref="B10">
    <cfRule type="expression" dxfId="19" priority="31">
      <formula>IF(AND($B10&lt;&gt;"",$I10=0),1,0)</formula>
    </cfRule>
    <cfRule type="expression" dxfId="18" priority="32">
      <formula>IF($B10&lt;&gt;"",1,0)</formula>
    </cfRule>
    <cfRule type="expression" dxfId="17" priority="33">
      <formula>$I10=0</formula>
    </cfRule>
  </conditionalFormatting>
  <conditionalFormatting sqref="B10:B18">
    <cfRule type="expression" dxfId="16" priority="13">
      <formula>IF(AND($B10&lt;&gt;"",$I10=0),1,0)</formula>
    </cfRule>
    <cfRule type="expression" dxfId="15" priority="14">
      <formula>IF($B10&lt;&gt;"",1,0)</formula>
    </cfRule>
    <cfRule type="expression" dxfId="14" priority="15">
      <formula>$I10=0</formula>
    </cfRule>
  </conditionalFormatting>
  <conditionalFormatting sqref="B11">
    <cfRule type="expression" dxfId="13" priority="1">
      <formula>IF(AND($B11&lt;&gt;"",$I11=0),1,0)</formula>
    </cfRule>
    <cfRule type="expression" dxfId="12" priority="2">
      <formula>IF($B11&lt;&gt;"",1,0)</formula>
    </cfRule>
    <cfRule type="expression" dxfId="11" priority="3">
      <formula>$I11=0</formula>
    </cfRule>
  </conditionalFormatting>
  <conditionalFormatting sqref="B13">
    <cfRule type="expression" dxfId="10" priority="4">
      <formula>IF(AND($B13&lt;&gt;"",$I13=0),1,0)</formula>
    </cfRule>
    <cfRule type="expression" dxfId="9" priority="5">
      <formula>IF($B13&lt;&gt;"",1,0)</formula>
    </cfRule>
    <cfRule type="expression" dxfId="8" priority="6">
      <formula>$I13=0</formula>
    </cfRule>
  </conditionalFormatting>
  <conditionalFormatting sqref="B15">
    <cfRule type="expression" dxfId="7" priority="7">
      <formula>IF(AND($B15&lt;&gt;"",$I15=0),1,0)</formula>
    </cfRule>
    <cfRule type="expression" dxfId="6" priority="8">
      <formula>IF($B15&lt;&gt;"",1,0)</formula>
    </cfRule>
    <cfRule type="expression" dxfId="5" priority="9">
      <formula>$I15=0</formula>
    </cfRule>
  </conditionalFormatting>
  <conditionalFormatting sqref="B17">
    <cfRule type="expression" dxfId="4" priority="10">
      <formula>IF(AND($B17&lt;&gt;"",$I17=0),1,0)</formula>
    </cfRule>
    <cfRule type="expression" dxfId="3" priority="11">
      <formula>IF($B17&lt;&gt;"",1,0)</formula>
    </cfRule>
    <cfRule type="expression" dxfId="2" priority="12">
      <formula>$I17=0</formula>
    </cfRule>
  </conditionalFormatting>
  <conditionalFormatting sqref="J4">
    <cfRule type="expression" dxfId="1" priority="485">
      <formula>IF(COUNTA($B$10:$B$18)&lt;&gt;COUNTIF($I$10:$I$18,1),1,0)</formula>
    </cfRule>
    <cfRule type="expression" dxfId="0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3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baseColWidth="10" defaultColWidth="0" defaultRowHeight="0" customHeight="1" zeroHeight="1" x14ac:dyDescent="0.2"/>
  <cols>
    <col min="1" max="2" width="8.83203125" style="56" customWidth="1"/>
    <col min="3" max="3" width="13.1640625" style="56" customWidth="1"/>
    <col min="4" max="4" width="13.5" style="56" customWidth="1"/>
    <col min="5" max="6" width="8.83203125" style="56" customWidth="1"/>
    <col min="7" max="7" width="14.8320312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" style="56" customWidth="1"/>
    <col min="12" max="17" width="8.83203125" style="56" customWidth="1"/>
    <col min="18" max="16384" width="8.83203125" style="56" hidden="1"/>
  </cols>
  <sheetData>
    <row r="1" spans="1:17" ht="15" x14ac:dyDescent="0.2">
      <c r="A1" s="53" t="s">
        <v>135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5" x14ac:dyDescent="0.2">
      <c r="A2" s="65" t="s">
        <v>129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</row>
    <row r="3" spans="1:17" ht="15" x14ac:dyDescent="0.2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5" x14ac:dyDescent="0.2">
      <c r="A4" s="24"/>
      <c r="B4" s="57" t="s">
        <v>130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5" x14ac:dyDescent="0.2">
      <c r="A5" s="24"/>
      <c r="B5" s="57"/>
      <c r="C5" s="57" t="s">
        <v>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5" x14ac:dyDescent="0.2">
      <c r="A6" s="24"/>
      <c r="B6" s="57"/>
      <c r="C6" s="57"/>
      <c r="D6" s="45" t="s">
        <v>98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5" x14ac:dyDescent="0.2">
      <c r="A7" s="24"/>
      <c r="B7" s="57"/>
      <c r="C7" s="57" t="s">
        <v>99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5" x14ac:dyDescent="0.2">
      <c r="A8" s="24"/>
      <c r="B8" s="57"/>
      <c r="C8" s="57"/>
      <c r="D8" s="44" t="s">
        <v>100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5" x14ac:dyDescent="0.2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88</v>
      </c>
    </row>
    <row r="2" spans="1:1" x14ac:dyDescent="0.2">
      <c r="A2" t="s">
        <v>86</v>
      </c>
    </row>
    <row r="3" spans="1:1" x14ac:dyDescent="0.2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 x14ac:dyDescent="0.2">
      <c r="A2">
        <v>2</v>
      </c>
      <c r="B2">
        <v>1</v>
      </c>
      <c r="C2" t="s">
        <v>68</v>
      </c>
      <c r="D2" t="s">
        <v>103</v>
      </c>
      <c r="F2">
        <v>32</v>
      </c>
      <c r="G2">
        <v>28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 x14ac:dyDescent="0.2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2024-12-23T19:22:15Z</dcterms:modified>
</cp:coreProperties>
</file>