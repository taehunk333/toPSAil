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3C02EA50-9D7C-49A9-8FC3-294596F78BDE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44" l="1"/>
  <c r="B14" i="44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<sst xmlns="http://schemas.openxmlformats.org/spreadsheetml/2006/main" count="285" uniqueCount="140">
  <si>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</si>
  <si>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</si>
  <si>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</si>
  <si>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</si>
  <si>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</si>
  <si>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</si>
  <si>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</si>
  <si>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</si>
  <si>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</si>
  <si>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</si>
  <si>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</si>
  <si>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</si>
  <si>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</si>
  <si>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</si>
  <si>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</si>
  <si>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</si>
  <si>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</si>
  <si>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</si>
  <si>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</si>
  <si>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</si>
  <si>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</si>
  <si>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</si>
  <si>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</si>
  <si>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</si>
  <si>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</si>
  <si>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</si>
  <si>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</si>
  <si>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</si>
  <si>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</si>
  <si>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</si>
  <si>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</si>
  <si>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</si>
  <si>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</si>
  <si>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</si>
  <si>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</si>
  <si>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</si>
  <si>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</si>
  <si>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</si>
  <si>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</si>
  <si>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</si>
  <si>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</si>
  <si>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</si>
  <si>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</si>
  <si>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</si>
  <si>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</si>
  <si>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</si>
  <si>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</si>
  <si>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</si>
  <si>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</si>
  <si>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</si>
  <si>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</si>
  <si>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</si>
  <si>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</si>
  <si>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</si>
  <si>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</si>
  <si>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</si>
  <si>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</si>
  <si>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</si>
  <si>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</si>
  <si>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</si>
  <si>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</si>
  <si>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</si>
  <si>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</si>
  <si>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</si>
  <si>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</si>
  <si>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</si>
  <si>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</si>
  <si>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</si>
  <si>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</si>
  <si>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</si>
  <si>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</si>
  <si>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</si>
  <si>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</si>
  <si>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</si>
  <si>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</si>
  <si>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</si>
  <si>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</si>
  <si>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</si>
  <si>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</si>
  <si>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</si>
  <si>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</si>
  <si>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</si>
  <si>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</si>
  <si>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</si>
  <si>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</si>
  <si>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</si>
  <si>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</si>
  <si>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</si>
  <si>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</si>
  <si>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</si>
  <si>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</si>
  <si>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</si>
  <si>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</si>
  <si>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</si>
  <si>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</si>
  <si>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</si>
  <si>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</si>
  <si>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</si>
  <si>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</si>
  <si>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</si>
  <si>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</si>
  <si>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</si>
  <si>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</si>
  <si>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</si>
  <si>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</si>
  <si>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</si>
  <si>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</si>
  <si>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</si>
  <si>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</si>
  <si>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</si>
  <si>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</si>
  <si>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</si>
  <si>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</si>
  <si>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</si>
  <si>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</si>
  <si>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</si>
  <si>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</si>
  <si>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</si>
  <si>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</si>
  <si>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</si>
  <si>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</si>
  <si>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</si>
  <si>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</si>
  <si>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</si>
  <si>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</si>
  <si>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</si>
  <si>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</si>
  <si>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</si>
  <si>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</si>
  <si>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</si>
  <si>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</si>
  <si>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</si>
  <si>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</si>
  <si>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</si>
  <si>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</si>
  <si>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</si>
  <si>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</si>
  <si>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</si>
  <si>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H2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</si>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</sst>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7" dataDxfId="85" headerRowBorderDxfId="86" tableBorderDxfId="84" totalsRowBorderDxfId="83">
  <autoFilter ref="A9:J14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4" dataDxfId="62" headerRowBorderDxfId="63" tableBorderDxfId="61" totalsRowBorderDxfId="60">
  <autoFilter ref="A9:J12" xr:uid="{B089C5C3-2CCE-4800-96CA-2131BB6E3E4F}"/>
  <tableColumns count="10">
    <tableColumn id="1" xr3:uid="{D4652DE0-AD05-4BC4-B7DC-B91D6E15B5B2}" name="Variable" dataDxfId="59"/>
    <tableColumn id="4" xr3:uid="{2F59C491-C7E1-4257-A250-2EA854EB6288}" name="Value" dataDxfId="58"/>
    <tableColumn id="5" xr3:uid="{34876DE5-AC85-42AE-9A77-1A7DBC37EA9C}" name="Unit" dataDxfId="57"/>
    <tableColumn id="6" xr3:uid="{16522C00-28AB-414D-9B4E-DF5790D96FB0}" name="Comparisons" dataDxfId="56"/>
    <tableColumn id="7" xr3:uid="{A1C9D628-05B1-4FEF-97C7-8DAC16591D17}" name="Variable Type" dataDxfId="55"/>
    <tableColumn id="8" xr3:uid="{21ED6E86-E0CA-4EA6-8452-7E8EC49D47E9}" name="Dependency" dataDxfId="54"/>
    <tableColumn id="12" xr3:uid="{833F4E3C-8288-4E33-9D60-BB141BA16440}" name="Test 1" dataDxfId="53"/>
    <tableColumn id="10" xr3:uid="{B5ACF3FF-F7B5-4328-AF7F-9A1641C64EBC}" name="Test 2" dataDxfId="52"/>
    <tableColumn id="2" xr3:uid="{69651FF2-E47D-4C8B-88C9-DEAB4746E36D}" name="Test 3" dataDxfId="51"/>
    <tableColumn id="9" xr3:uid="{7323C7D4-0CE9-41A5-811B-0D3D008EC15F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57.6">
      <c r="A11" s="58" t="s">
        <v>134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136</v>
      </c>
    </row>
    <row r="12" spans="1:10" ht="43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3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4.4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B12:B13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conditionalFormatting sqref="J4">
    <cfRule type="expression" dxfId="89" priority="490">
      <formula>IF(COUNTA($B$10:$B$14)&lt;&gt;COUNTIF($I$10:$I$14,1),1,0)</formula>
    </cfRule>
    <cfRule type="expression" dxfId="88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122</v>
      </c>
      <c r="B10" s="30">
        <v>2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124</v>
      </c>
    </row>
    <row r="11" spans="1:10" ht="14.4">
      <c r="A11" s="4" t="s">
        <v>125</v>
      </c>
      <c r="B11" s="30">
        <v>28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124</v>
      </c>
    </row>
    <row r="12" spans="1:10" ht="14.4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rEkewZtcYNkPWKNRpeo0klHVtF132ZQ7IK0Fdupa44lzonGVbchai+RJ5UX7ax7Ewmp9DV8TdSS37lmKlqpEgw==" saltValue="8Dd/HLk82npt0N/hGqcl0g==" spinCount="100000" sheet="1" objects="1" scenarios="1" selectLockedCells="1"/>
  <mergeCells count="2">
    <mergeCell ref="A3:J3"/>
    <mergeCell ref="J4:J8"/>
  </mergeCells>
  <conditionalFormatting sqref="B10 B12">
    <cfRule type="expression" dxfId="72" priority="16">
      <formula>IF(AND($B10&lt;&gt;"",$I10=0),1,0)</formula>
    </cfRule>
    <cfRule type="expression" dxfId="71" priority="17">
      <formula>IF($B10&lt;&gt;"",1,0)</formula>
    </cfRule>
    <cfRule type="expression" dxfId="70" priority="18">
      <formula>$I10=0</formula>
    </cfRule>
  </conditionalFormatting>
  <conditionalFormatting sqref="J4">
    <cfRule type="expression" dxfId="69" priority="549">
      <formula>IF(COUNTA($B$10:$B$12)&lt;&gt;COUNTIF($I$10:$I$12,1),1,0)</formula>
    </cfRule>
    <cfRule type="expression" dxfId="68" priority="550">
      <formula>IF(COUNTA($B$10:$B$12)=COUNTIF($I$10:$I$12,1),1,0)</formula>
    </cfRule>
  </conditionalFormatting>
  <conditionalFormatting sqref="B11">
    <cfRule type="expression" dxfId="67" priority="1">
      <formula>IF(AND($B11&lt;&gt;"",$I11=0),1,0)</formula>
    </cfRule>
    <cfRule type="expression" dxfId="66" priority="2">
      <formula>IF($B11&lt;&gt;"",1,0)</formula>
    </cfRule>
    <cfRule type="expression" dxfId="6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: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/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0</v>
      </c>
      <c r="J10" s="5" t="s">
        <v>137</v>
      </c>
    </row>
    <row r="11" spans="1:10" ht="28.8">
      <c r="A11" s="4" t="s">
        <v>93</v>
      </c>
      <c r="B11" s="30"/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0</v>
      </c>
      <c r="J11" s="5" t="s">
        <v>137</v>
      </c>
    </row>
    <row r="12" spans="1:10" ht="28.8">
      <c r="A12" s="4" t="s">
        <v>104</v>
      </c>
      <c r="B12" s="30">
        <v>28.425999999999998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28.8">
      <c r="A13" s="4" t="s">
        <v>105</v>
      </c>
      <c r="B13" s="30">
        <v>29.108000000000001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28.8">
      <c r="A14" s="47" t="s">
        <v>106</v>
      </c>
      <c r="B14" s="30">
        <f>B12-8.314</f>
        <v>20.111999999999998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28.8">
      <c r="A15" s="47" t="s">
        <v>107</v>
      </c>
      <c r="B15" s="30">
        <f>B13-8.314</f>
        <v>20.794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28.8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28.8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4.4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xbKHQ4JBv8yNEEN11Z0f7M39dadoA3n8ZTZx2tFePczjzyX+UMc89ydKQ3Syj8ntkGFlSmlzrfyF+gb228bONw==" saltValue="ioAvs94Ly8lntDEdtF7lBQ==" spinCount="100000" sheet="1" objects="1" scenarios="1" selectLockedCells="1"/>
  <mergeCells count="2">
    <mergeCell ref="A3:J3"/>
    <mergeCell ref="J4:J8"/>
  </mergeCells>
  <conditionalFormatting sqref="B18 B16 B14 B12">
    <cfRule type="expression" dxfId="49" priority="43">
      <formula>IF(AND($B12&lt;&gt;"",$I12=0),1,0)</formula>
    </cfRule>
    <cfRule type="expression" dxfId="48" priority="44">
      <formula>IF($B12&lt;&gt;"",1,0)</formula>
    </cfRule>
    <cfRule type="expression" dxfId="47" priority="45">
      <formula>$I12=0</formula>
    </cfRule>
  </conditionalFormatting>
  <conditionalFormatting sqref="B17">
    <cfRule type="expression" dxfId="46" priority="34">
      <formula>IF(AND($B17&lt;&gt;"",$I17=0),1,0)</formula>
    </cfRule>
    <cfRule type="expression" dxfId="45" priority="35">
      <formula>IF($B17&lt;&gt;"",1,0)</formula>
    </cfRule>
    <cfRule type="expression" dxfId="44" priority="36">
      <formula>$I17=0</formula>
    </cfRule>
  </conditionalFormatting>
  <conditionalFormatting sqref="B15">
    <cfRule type="expression" dxfId="43" priority="31">
      <formula>IF(AND($B15&lt;&gt;"",$I15=0),1,0)</formula>
    </cfRule>
    <cfRule type="expression" dxfId="42" priority="32">
      <formula>IF($B15&lt;&gt;"",1,0)</formula>
    </cfRule>
    <cfRule type="expression" dxfId="41" priority="33">
      <formula>$I15=0</formula>
    </cfRule>
  </conditionalFormatting>
  <conditionalFormatting sqref="B13">
    <cfRule type="expression" dxfId="40" priority="28">
      <formula>IF(AND($B13&lt;&gt;"",$I13=0),1,0)</formula>
    </cfRule>
    <cfRule type="expression" dxfId="39" priority="29">
      <formula>IF($B13&lt;&gt;"",1,0)</formula>
    </cfRule>
    <cfRule type="expression" dxfId="38" priority="30">
      <formula>$I13=0</formula>
    </cfRule>
  </conditionalFormatting>
  <conditionalFormatting sqref="B17">
    <cfRule type="expression" dxfId="37" priority="22">
      <formula>IF(AND($B17&lt;&gt;"",$I17=0),1,0)</formula>
    </cfRule>
    <cfRule type="expression" dxfId="36" priority="23">
      <formula>IF($B17&lt;&gt;"",1,0)</formula>
    </cfRule>
    <cfRule type="expression" dxfId="35" priority="24">
      <formula>$I17=0</formula>
    </cfRule>
  </conditionalFormatting>
  <conditionalFormatting sqref="B15">
    <cfRule type="expression" dxfId="34" priority="19">
      <formula>IF(AND($B15&lt;&gt;"",$I15=0),1,0)</formula>
    </cfRule>
    <cfRule type="expression" dxfId="33" priority="20">
      <formula>IF($B15&lt;&gt;"",1,0)</formula>
    </cfRule>
    <cfRule type="expression" dxfId="32" priority="21">
      <formula>$I15=0</formula>
    </cfRule>
  </conditionalFormatting>
  <conditionalFormatting sqref="B13">
    <cfRule type="expression" dxfId="31" priority="16">
      <formula>IF(AND($B13&lt;&gt;"",$I13=0),1,0)</formula>
    </cfRule>
    <cfRule type="expression" dxfId="30" priority="17">
      <formula>IF($B13&lt;&gt;"",1,0)</formula>
    </cfRule>
    <cfRule type="expression" dxfId="29" priority="18">
      <formula>$I13=0</formula>
    </cfRule>
  </conditionalFormatting>
  <conditionalFormatting sqref="J4">
    <cfRule type="expression" dxfId="28" priority="497">
      <formula>IF(COUNTA($B$10:$B$18)&lt;&gt;COUNTIF($I$10:$I$18,1),1,0)</formula>
    </cfRule>
    <cfRule type="expression" dxfId="27" priority="498">
      <formula>IF(COUNTA($B$10:$B$18)=COUNTIF($I$10:$I$18,1),1,0)</formula>
    </cfRule>
  </conditionalFormatting>
  <conditionalFormatting sqref="B10">
    <cfRule type="expression" dxfId="26" priority="10">
      <formula>IF(AND($B10&lt;&gt;"",$I10=0),1,0)</formula>
    </cfRule>
    <cfRule type="expression" dxfId="25" priority="11">
      <formula>IF($B10&lt;&gt;"",1,0)</formula>
    </cfRule>
    <cfRule type="expression" dxfId="24" priority="12">
      <formula>$I10=0</formula>
    </cfRule>
  </conditionalFormatting>
  <conditionalFormatting sqref="B10">
    <cfRule type="expression" dxfId="23" priority="7">
      <formula>IF(AND($B10&lt;&gt;"",$I10=0),1,0)</formula>
    </cfRule>
    <cfRule type="expression" dxfId="22" priority="8">
      <formula>IF($B10&lt;&gt;"",1,0)</formula>
    </cfRule>
    <cfRule type="expression" dxfId="21" priority="9">
      <formula>$I10=0</formula>
    </cfRule>
  </conditionalFormatting>
  <conditionalFormatting sqref="B11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2</v>
      </c>
      <c r="G2">
        <v>28</v>
      </c>
      <c r="K2">
        <v>28.425999999999998</v>
      </c>
      <c r="L2">
        <v>29.108000000000001</v>
      </c>
      <c r="M2">
        <v>20.111999999999998</v>
      </c>
      <c r="N2">
        <v>20.794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2023-04-13T23:10:22Z</dcterms:modified>
</cp:coreProperties>
</file>