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3\1_simulation_inputs\"/>
    </mc:Choice>
  </mc:AlternateContent>
  <xr:revisionPtr revIDLastSave="0" documentId="13_ncr:1_{8A9CB773-1FA7-4E2D-80FE-B469A6BD8321}" xr6:coauthVersionLast="47" xr6:coauthVersionMax="47" xr10:uidLastSave="{00000000-0000-0000-0000-000000000000}"/>
  <bookViews>
    <workbookView xWindow="4524" yWindow="2988" windowWidth="17280" windowHeight="9420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0" i="44" l="1"/>
  <c r="B11" i="44"/>
  <c r="B12" i="40"/>
  <c r="I10" i="44"/>
  <c r="I13" i="31" l="1"/>
  <c r="I11" i="31"/>
  <c r="I10" i="31"/>
  <c r="I12" i="44"/>
  <c r="I11" i="44"/>
  <c r="J2" i="44" l="1"/>
  <c r="A2" i="44"/>
  <c r="J2" i="31"/>
  <c r="A2" i="31"/>
  <c r="J2" i="43"/>
  <c r="A2" i="43"/>
  <c r="J2" i="40"/>
  <c r="A2" i="40"/>
  <c r="J4" i="43" l="1"/>
  <c r="J4" i="40" l="1"/>
  <c r="J4" i="31"/>
  <c r="J4" i="4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<sst xmlns="http://schemas.openxmlformats.org/spreadsheetml/2006/main" count="281" uniqueCount="140">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</sst>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4" fillId="6" borderId="1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/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5" t="s">
        <v>39</v>
      </c>
      <c r="E5" s="55"/>
      <c r="F5" s="55"/>
      <c r="G5" s="55"/>
      <c r="H5" s="55"/>
      <c r="I5" s="55"/>
      <c r="J5" s="55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3">
        <f>3.085605152*0.975</f>
        <v>3.0084650231999999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Jq/5eJGXKjfJ8NDCwAXbyHTPo8g6J5D7/ywQLgR19fbpm4fX4pLFk8DuT/nI8Cv6cI0kngSjDNs4hFTv08iWXA==" saltValue="sf+rZxgXEKZfL6QHi3oqEg==" spinCount="100000" sheet="1" objects="1" scenarios="1" selectLockedCells="1"/>
  <mergeCells count="2">
    <mergeCell ref="A3:J3"/>
    <mergeCell ref="J4:J8"/>
  </mergeCells>
  <conditionalFormatting sqref="B13">
    <cfRule type="expression" dxfId="98" priority="44">
      <formula>IF(AND($B13&lt;&gt;"",$I13=0),1,0)</formula>
    </cfRule>
    <cfRule type="expression" dxfId="97" priority="45">
      <formula>IF($B13&lt;&gt;"",1,0)</formula>
    </cfRule>
    <cfRule type="expression" dxfId="96" priority="46">
      <formula>$I13=0</formula>
    </cfRule>
  </conditionalFormatting>
  <conditionalFormatting sqref="B10">
    <cfRule type="expression" dxfId="95" priority="35">
      <formula>IF(AND($B10&lt;&gt;"",$I10=0),1,0)</formula>
    </cfRule>
    <cfRule type="expression" dxfId="94" priority="36">
      <formula>IF($B10&lt;&gt;"",1,0)</formula>
    </cfRule>
    <cfRule type="expression" dxfId="93" priority="37">
      <formula>$I10=0</formula>
    </cfRule>
  </conditionalFormatting>
  <conditionalFormatting sqref="B11">
    <cfRule type="expression" dxfId="92" priority="5">
      <formula>IF(AND($B11&lt;&gt;"",$I11=0),1,0)</formula>
    </cfRule>
    <cfRule type="expression" dxfId="91" priority="6">
      <formula>IF($B11&lt;&gt;"",1,0)</formula>
    </cfRule>
    <cfRule type="expression" dxfId="90" priority="7">
      <formula>$I11=0</formula>
    </cfRule>
  </conditionalFormatting>
  <conditionalFormatting sqref="J4">
    <cfRule type="expression" dxfId="89" priority="2250">
      <formula>IF(COUNTA($B$10:$B$13)&lt;&gt;COUNTIF($I$10:$I$13,1),1,0)</formula>
    </cfRule>
    <cfRule type="expression" dxfId="88" priority="2251">
      <formula>IF(COUNTA($B$10:$B$13)=COUNTIF($I$10:$I$13,1),1,0)</formula>
    </cfRule>
  </conditionalFormatting>
  <conditionalFormatting sqref="B12">
    <cfRule type="notContainsBlanks" dxfId="87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O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Pf8fsiUkfKCDuFYAl6e7ENWxDcbBNzRyggCX4UUfWNi/ghLrnwe23ExBMzkSWJq7fBMxNpW9KSztn+ZrWL3TJw==" saltValue="Ba+L6wvnNxG14nnpajKNSA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B10:B12">
    <cfRule type="expression" dxfId="68" priority="1">
      <formula>IF(AND($B10&lt;&gt;"",$I10=0),1,0)</formula>
    </cfRule>
    <cfRule type="expression" dxfId="67" priority="2">
      <formula>IF($B10&lt;&gt;"",1,0)</formula>
    </cfRule>
    <cfRule type="expression" dxfId="66" priority="3">
      <formula>$I10=0</formula>
    </cfRule>
  </conditionalFormatting>
  <conditionalFormatting sqref="J4">
    <cfRule type="expression" dxfId="65" priority="2251">
      <formula>IF(COUNTA($B$10:$B$13)&lt;&gt;COUNTIF($I$10:$I$13,1),1,0)</formula>
    </cfRule>
    <cfRule type="expression" dxfId="64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: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>
        <v>10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1</v>
      </c>
      <c r="J10" s="5" t="s">
        <v>136</v>
      </c>
    </row>
    <row r="11" spans="1:10" ht="28.8">
      <c r="A11" s="38" t="s">
        <v>120</v>
      </c>
      <c r="B11" s="32">
        <v>1E-4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1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>
        <v>502.32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1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5Pm6mH80PM7jXdpBmJfQJdkcda0Rz0Im2F0grzDW6r+W8gx1Vkaubkn1VzgM8KNzl/KljOhFUNMXwWDGm2vI3w==" saltValue="V3VJ1pScv5RBVZVhdda31A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B10:B11">
    <cfRule type="expression" dxfId="45" priority="1">
      <formula>IF(AND($B10&lt;&gt;"",$I10=0),1,0)</formula>
    </cfRule>
    <cfRule type="expression" dxfId="44" priority="2">
      <formula>IF($B10&lt;&gt;"",1,0)</formula>
    </cfRule>
    <cfRule type="expression" dxfId="43" priority="3">
      <formula>$I10=0</formula>
    </cfRule>
  </conditionalFormatting>
  <conditionalFormatting sqref="B12:B13">
    <cfRule type="expression" dxfId="42" priority="4">
      <formula>IF(AND($B12&lt;&gt;"",$I12=0),1,0)</formula>
    </cfRule>
    <cfRule type="expression" dxfId="41" priority="5">
      <formula>IF($B12&lt;&gt;"",1,0)</formula>
    </cfRule>
    <cfRule type="expression" dxfId="40" priority="6">
      <formula>$I12=0</formula>
    </cfRule>
  </conditionalFormatting>
  <conditionalFormatting sqref="J4">
    <cfRule type="expression" dxfId="39" priority="2253">
      <formula>IF(COUNTA($B$10:$B$14)&lt;&gt;COUNTIF($I$10:$I$14,1),1,0)</formula>
    </cfRule>
    <cfRule type="expression" dxfId="38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abSelected="1" zoomScaleNormal="100" zoomScaleSheetLayoutView="85" workbookViewId="0">
      <pane ySplit="9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77" width="0" style="3" hidden="1" customWidth="1"/>
    <col min="78" max="16384" width="0" style="3" hidden="1"/>
  </cols>
  <sheetData>
    <row r="1" spans="1:10" ht="14.4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32">
        <f>3.085605152*0.95</f>
        <v>2.9313248943999999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4">
        <f>[1]Initialization!$B$12</f>
        <v>1</v>
      </c>
      <c r="J10" s="5" t="s">
        <v>128</v>
      </c>
    </row>
    <row r="11" spans="1:10" ht="14.4">
      <c r="A11" s="38" t="s">
        <v>126</v>
      </c>
      <c r="B11" s="32">
        <f>3.085605152*1.05</f>
        <v>3.2398854095999998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1</v>
      </c>
      <c r="J11" s="5" t="s">
        <v>129</v>
      </c>
    </row>
    <row r="12" spans="1:10" ht="28.8">
      <c r="A12" s="38" t="s">
        <v>125</v>
      </c>
      <c r="B12" s="51">
        <v>6.5000000000000002E-7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1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ecbs52AgpY0cF5c+L1PEEdP8NyTMwCXu5SJ4YpjKMT9ASwoPZ14Mo5SYEALV+srsXJE7Mh4b16TnpVrgsHk8jw==" saltValue="rW97ORZmLF6GTSE8C5Rhow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8">
      <formula>IF(COUNTA($B$10:$B$13)&lt;&gt;COUNTIF($I$10:$I$13,1),1,0)</formula>
    </cfRule>
    <cfRule type="expression" dxfId="15" priority="22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4</v>
      </c>
      <c r="B2">
        <v>318.14999999999998</v>
      </c>
      <c r="C2">
        <v>3.0084650231999999</v>
      </c>
      <c r="E2">
        <v>20</v>
      </c>
      <c r="F2">
        <v>20.5</v>
      </c>
      <c r="G2">
        <v>33.800769771555913</v>
      </c>
      <c r="I2">
        <v>10</v>
      </c>
      <c r="J2">
        <v>1E-4</v>
      </c>
      <c r="K2">
        <v>7.8300000000000002E-3</v>
      </c>
      <c r="L2">
        <v>502.32</v>
      </c>
      <c r="N2">
        <v>2.9313248943999999</v>
      </c>
      <c r="O2">
        <v>3.2398854095999998</v>
      </c>
      <c r="P2">
        <v>6.5000000000000002E-7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2022-12-07T20:26:36Z</dcterms:modified>
</cp:coreProperties>
</file>