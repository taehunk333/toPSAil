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EE16B298-9B5F-4DF0-B30D-0E22C50471FB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 l="1"/>
  <c r="H43" i="53"/>
  <c r="H42" i="53"/>
  <c r="H41" i="53"/>
  <c r="H40" i="53"/>
  <c r="H39" i="53"/>
  <c r="H38" i="53"/>
  <c r="H37" i="53"/>
  <c r="H36" i="53"/>
  <c r="H35" i="53"/>
  <c r="H34" i="53"/>
  <c r="H33" i="53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<sst xmlns="http://schemas.openxmlformats.org/spreadsheetml/2006/main" count="583" uniqueCount="216">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</sst>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40" dataDxfId="138" headerRowBorderDxfId="139" tableBorderDxfId="137" totalsRowBorderDxfId="136">
  <autoFilter ref="A9:J11" xr:uid="{B089C5C3-2CCE-4800-96CA-2131BB6E3E4F}"/>
  <tableColumns count="10">
    <tableColumn id="1" xr3:uid="{A63D443C-23FA-C546-879B-699C109A0CA2}" name="Variable" dataDxfId="135"/>
    <tableColumn id="4" xr3:uid="{1A5FFB41-EB4E-E74A-8922-4B34B9316DE5}" name="Value" dataDxfId="134"/>
    <tableColumn id="5" xr3:uid="{BF7F7945-F7EF-9B43-BD77-AD1154395D6F}" name="Unit" dataDxfId="133"/>
    <tableColumn id="6" xr3:uid="{97B66A41-BCC9-AB4A-9001-73F9BCD59411}" name="Comparisons" dataDxfId="132"/>
    <tableColumn id="7" xr3:uid="{0CC57FA7-D6D5-D04B-8A50-C681928970E3}" name="Variable Type" dataDxfId="131"/>
    <tableColumn id="8" xr3:uid="{793541F2-DD76-C241-9A02-11BCAFDBFB73}" name="Dependency" dataDxfId="130"/>
    <tableColumn id="12" xr3:uid="{77D37813-222C-3645-B2B0-7C5CE186734F}" name="Test 1" dataDxfId="129"/>
    <tableColumn id="10" xr3:uid="{705C6C59-C9FA-CF40-8C63-CC7BAA8D5513}" name="Test 2" dataDxfId="128"/>
    <tableColumn id="2" xr3:uid="{3CCF3320-E3BD-5A4C-926A-DD0EC2697FB0}" name="Test 3" dataDxfId="127"/>
    <tableColumn id="9" xr3:uid="{DFCD7E77-6792-EC4A-8937-7BD5661A57E7}" name="Description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5" dataDxfId="123" headerRowBorderDxfId="124" tableBorderDxfId="122" totalsRowBorderDxfId="121">
  <autoFilter ref="A9:J13" xr:uid="{B089C5C3-2CCE-4800-96CA-2131BB6E3E4F}"/>
  <tableColumns count="10">
    <tableColumn id="1" xr3:uid="{20310A95-CEA4-0E46-A375-D38774A1331C}" name="Variable" dataDxfId="120"/>
    <tableColumn id="4" xr3:uid="{677D6E7A-ABBB-7F47-BEBA-202C00329494}" name="Value" dataDxfId="119"/>
    <tableColumn id="5" xr3:uid="{4C9D6E28-38C2-434B-8F96-F002277F8DF6}" name="Unit" dataDxfId="118"/>
    <tableColumn id="6" xr3:uid="{14421855-DDE0-1B4F-9E2F-0DCEAE184349}" name="Comparisons" dataDxfId="117"/>
    <tableColumn id="7" xr3:uid="{B52A6C11-F701-BB42-BCC5-C034770E9DBB}" name="Variable Type" dataDxfId="116"/>
    <tableColumn id="8" xr3:uid="{7995AC5C-141D-1241-85F4-ED670AA6D852}" name="Dependency" dataDxfId="115"/>
    <tableColumn id="12" xr3:uid="{36F66342-4897-3D48-B96B-71B0734889A5}" name="Test 1" dataDxfId="114"/>
    <tableColumn id="10" xr3:uid="{7FE5DC9B-6534-0E47-9DE7-3B926E4C9E93}" name="Test 2" dataDxfId="113"/>
    <tableColumn id="2" xr3:uid="{B9967632-3249-EA4A-A375-C9085B3EE56A}" name="Test 3" dataDxfId="112"/>
    <tableColumn id="9" xr3:uid="{A656D5B2-43BE-D144-B69B-B013AE6BC6D4}" name="Description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10" dataDxfId="108" headerRowBorderDxfId="109" tableBorderDxfId="107" totalsRowBorderDxfId="106">
  <autoFilter ref="A9:J12" xr:uid="{B089C5C3-2CCE-4800-96CA-2131BB6E3E4F}"/>
  <tableColumns count="10">
    <tableColumn id="1" xr3:uid="{29F8658A-9F09-7042-A7EC-353D08C08D34}" name="Variable" dataDxfId="105"/>
    <tableColumn id="4" xr3:uid="{0AC5C09B-7B5C-9640-A6C7-5BA8E05A9F0D}" name="Value" dataDxfId="104"/>
    <tableColumn id="5" xr3:uid="{4A165AEE-D3E0-DB4C-9890-DA2D18843B58}" name="Unit" dataDxfId="103"/>
    <tableColumn id="6" xr3:uid="{23F62B44-EB3B-FD48-85F1-55541D28F146}" name="Comparisons" dataDxfId="102"/>
    <tableColumn id="7" xr3:uid="{24641755-61AF-6C44-A79C-0EC6F77B3090}" name="Variable Type" dataDxfId="101"/>
    <tableColumn id="8" xr3:uid="{8EB70C81-0937-1548-8A36-195915CD1F99}" name="Dependency" dataDxfId="100"/>
    <tableColumn id="12" xr3:uid="{636C1BEE-1088-1842-B84F-652A0A7EFF6A}" name="Test 1" dataDxfId="99"/>
    <tableColumn id="10" xr3:uid="{611EFDE4-0DDB-044D-8690-A970063DA108}" name="Test 2" dataDxfId="98"/>
    <tableColumn id="2" xr3:uid="{2E2B9EE9-BE3C-354D-8E63-B39DE80C44A0}" name="Test 3" dataDxfId="97"/>
    <tableColumn id="9" xr3:uid="{F8DFB1CD-985B-4E45-BA3D-DD47F4100DAE}" name="Description" dataDxfId="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5" dataDxfId="93" headerRowBorderDxfId="94" tableBorderDxfId="92" totalsRowBorderDxfId="91">
  <autoFilter ref="A9:J45" xr:uid="{B089C5C3-2CCE-4800-96CA-2131BB6E3E4F}"/>
  <tableColumns count="10">
    <tableColumn id="1" xr3:uid="{281F5226-2025-4C6E-999C-A8F575CB206B}" name="Variable" dataDxfId="90"/>
    <tableColumn id="4" xr3:uid="{907AC290-8B5F-4AFA-8DCB-C690B3734F6B}" name="Value" dataDxfId="89"/>
    <tableColumn id="5" xr3:uid="{76BE4CFE-05C6-43DC-A13C-4BFE2A2E4F38}" name="Unit" dataDxfId="88"/>
    <tableColumn id="6" xr3:uid="{8061F981-FF76-4C8B-B572-12CB713F43CB}" name="Comparisons" dataDxfId="87"/>
    <tableColumn id="7" xr3:uid="{2BCD4B9F-F682-4298-A3AA-A5F92D2263C4}" name="Variable Type" dataDxfId="86"/>
    <tableColumn id="8" xr3:uid="{1CC9FBBF-69F8-429A-814B-71DBAFF37359}" name="Dependency" dataDxfId="85"/>
    <tableColumn id="12" xr3:uid="{D2543F4F-0C85-4145-B5BB-64C7DAAA0F12}" name="Test 1" dataDxfId="84"/>
    <tableColumn id="10" xr3:uid="{4C9832B7-0AD2-4777-AAFC-C60DE2F7DA3B}" name="Test 2" dataDxfId="83"/>
    <tableColumn id="2" xr3:uid="{E95041DF-C927-4C37-AF74-78F291F45F62}" name="Test 3" dataDxfId="82"/>
    <tableColumn id="9" xr3:uid="{F7EA5B65-C16E-4E6D-B23B-ACC0E861E56F}" name="Description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44E0B3A5-6A4B-4795-9F7F-DFBC306A75AE}" name="Variable" dataDxfId="75"/>
    <tableColumn id="4" xr3:uid="{34601FCC-65BC-4521-A6D7-320915B57F27}" name="Value" dataDxfId="74"/>
    <tableColumn id="5" xr3:uid="{36AA1FCE-8527-4F3E-BCD1-98FD13692D02}" name="Unit" dataDxfId="73"/>
    <tableColumn id="6" xr3:uid="{12237314-E311-4D61-9218-5391943A2DF3}" name="Comparisons" dataDxfId="72"/>
    <tableColumn id="7" xr3:uid="{602D3377-1190-430C-923B-FDC8A407022D}" name="Variable Type" dataDxfId="71"/>
    <tableColumn id="8" xr3:uid="{10F3779F-E5E0-418C-9D45-01C039CD3A06}" name="Dependency" dataDxfId="70"/>
    <tableColumn id="12" xr3:uid="{69811E65-CA30-400A-95DC-3E2E433E9B45}" name="Test 1" dataDxfId="69"/>
    <tableColumn id="10" xr3:uid="{653CF00F-2786-4470-A0B5-63F5C3F8853F}" name="Test 2" dataDxfId="68"/>
    <tableColumn id="2" xr3:uid="{FB2088F6-6335-4325-9E72-FE87533BD5DC}" name="Test 3" dataDxfId="67"/>
    <tableColumn id="9" xr3:uid="{5B622A13-3DAF-4FB5-869E-E869B7C199FB}" name="Description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5" dataDxfId="63" headerRowBorderDxfId="64" tableBorderDxfId="62" totalsRowBorderDxfId="61">
  <autoFilter ref="A9:J11" xr:uid="{B089C5C3-2CCE-4800-96CA-2131BB6E3E4F}"/>
  <tableColumns count="10">
    <tableColumn id="1" xr3:uid="{DBE15C7C-7AE8-4197-9E17-CD007CF8C5FE}" name="Variable" dataDxfId="60"/>
    <tableColumn id="4" xr3:uid="{40508BC8-45BC-49EB-A17C-121430373278}" name="Value" dataDxfId="59"/>
    <tableColumn id="5" xr3:uid="{1CD86463-E067-4143-95C2-583D377FAAE6}" name="Unit" dataDxfId="58"/>
    <tableColumn id="6" xr3:uid="{1D18AAC5-0CB5-4DEB-B9B3-68FDCBC289FF}" name="Comparisons" dataDxfId="57"/>
    <tableColumn id="7" xr3:uid="{350A3D9D-FF88-48A6-9C9C-360DB7A75B19}" name="Variable Type" dataDxfId="56"/>
    <tableColumn id="8" xr3:uid="{C65F767F-A83E-4992-8442-9E9D0E9EE5C7}" name="Dependency" dataDxfId="55"/>
    <tableColumn id="12" xr3:uid="{CC077F18-CA37-4F98-A76A-E0D3A7D055BB}" name="Test 1" dataDxfId="54"/>
    <tableColumn id="10" xr3:uid="{F91A5AB3-846A-45A0-84A7-E06C47BD0B5C}" name="Test 2" dataDxfId="53"/>
    <tableColumn id="2" xr3:uid="{28BC6DC0-30C7-420F-8628-33D17D150141}" name="Test 3" dataDxfId="52"/>
    <tableColumn id="9" xr3:uid="{85DFE1D5-A6BC-434B-AF31-6872BC06B6FB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4LXq2y8FzXsao9VjL2OzRkmu0dW/BpnIaJqTf1uBWysuPLMd9Ne0NTJTCA6b4Cj5rZsfe68JoPvnxHLajVCp2A==" saltValue="qxHafDhO+VanzEub7UGthg==" spinCount="100000" sheet="1" objects="1" scenarios="1" selectLockedCells="1"/>
  <mergeCells count="2">
    <mergeCell ref="A3:J3"/>
    <mergeCell ref="J4:J8"/>
  </mergeCells>
  <conditionalFormatting sqref="B11">
    <cfRule type="expression" dxfId="50" priority="7">
      <formula>IF(AND($B11&lt;&gt;"",$I11=0),1,0)</formula>
    </cfRule>
    <cfRule type="expression" dxfId="49" priority="8">
      <formula>IF($B11&lt;&gt;"",1,0)</formula>
    </cfRule>
    <cfRule type="expression" dxfId="48" priority="9">
      <formula>$I11=0</formula>
    </cfRule>
  </conditionalFormatting>
  <conditionalFormatting sqref="B10">
    <cfRule type="expression" dxfId="47" priority="1">
      <formula>IF(AND($B10&lt;&gt;"",$I10=0),1,0)</formula>
    </cfRule>
    <cfRule type="expression" dxfId="46" priority="2">
      <formula>IF($B10&lt;&gt;"",1,0)</formula>
    </cfRule>
    <cfRule type="expression" dxfId="45" priority="3">
      <formula>$I10=0</formula>
    </cfRule>
  </conditionalFormatting>
  <conditionalFormatting sqref="J4">
    <cfRule type="expression" dxfId="44" priority="2056">
      <formula>IF(COUNTA($B$10:$B$11)&lt;&gt;COUNTIF($I$10:$I$11,1),1,0)</formula>
    </cfRule>
    <cfRule type="expression" dxfId="4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42" priority="7">
      <formula>IF(AND($B11&lt;&gt;"",$I11=0),1,0)</formula>
    </cfRule>
    <cfRule type="expression" dxfId="41" priority="8">
      <formula>IF($B11&lt;&gt;"",1,0)</formula>
    </cfRule>
    <cfRule type="expression" dxfId="40" priority="9">
      <formula>$I11=0</formula>
    </cfRule>
  </conditionalFormatting>
  <conditionalFormatting sqref="B10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8">
      <formula>IF(COUNTA($B$10:$B$13)&lt;&gt;COUNTIF($I$10:$I$13,1),1,0)</formula>
    </cfRule>
    <cfRule type="expression" dxfId="35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4" priority="7">
      <formula>IF(AND($B10&lt;&gt;"",$I10=0),1,0)</formula>
    </cfRule>
    <cfRule type="expression" dxfId="33" priority="8">
      <formula>IF($B10&lt;&gt;"",1,0)</formula>
    </cfRule>
    <cfRule type="expression" dxfId="32" priority="9">
      <formula>$I10=0</formula>
    </cfRule>
  </conditionalFormatting>
  <conditionalFormatting sqref="J4">
    <cfRule type="expression" dxfId="31" priority="2062">
      <formula>IF(COUNTA($B$10:$B$12)&lt;&gt;COUNTIF($I$10:$I$12,1),1,0)</formula>
    </cfRule>
    <cfRule type="expression" dxfId="3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31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43.2">
      <c r="A33" s="69" t="s">
        <v>192</v>
      </c>
      <c r="B33" s="70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71" t="s">
        <v>193</v>
      </c>
    </row>
    <row r="34" spans="1:10" ht="43.2">
      <c r="A34" s="69" t="s">
        <v>194</v>
      </c>
      <c r="B34" s="70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71" t="s">
        <v>195</v>
      </c>
    </row>
    <row r="35" spans="1:10" ht="43.2">
      <c r="A35" s="69" t="s">
        <v>196</v>
      </c>
      <c r="B35" s="70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71" t="s">
        <v>197</v>
      </c>
    </row>
    <row r="36" spans="1:10" ht="43.2">
      <c r="A36" s="69" t="s">
        <v>198</v>
      </c>
      <c r="B36" s="70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71" t="s">
        <v>199</v>
      </c>
    </row>
    <row r="37" spans="1:10" ht="43.2">
      <c r="A37" s="69" t="s">
        <v>200</v>
      </c>
      <c r="B37" s="70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71" t="s">
        <v>201</v>
      </c>
    </row>
    <row r="38" spans="1:10" ht="43.2">
      <c r="A38" s="69" t="s">
        <v>202</v>
      </c>
      <c r="B38" s="70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71" t="s">
        <v>203</v>
      </c>
    </row>
    <row r="39" spans="1:10" ht="43.2">
      <c r="A39" s="69" t="s">
        <v>204</v>
      </c>
      <c r="B39" s="70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71" t="s">
        <v>205</v>
      </c>
    </row>
    <row r="40" spans="1:10" ht="43.2">
      <c r="A40" s="69" t="s">
        <v>206</v>
      </c>
      <c r="B40" s="70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71" t="s">
        <v>207</v>
      </c>
    </row>
    <row r="41" spans="1:10" ht="43.2">
      <c r="A41" s="69" t="s">
        <v>208</v>
      </c>
      <c r="B41" s="70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71" t="s">
        <v>209</v>
      </c>
    </row>
    <row r="42" spans="1:10" ht="43.2">
      <c r="A42" s="69" t="s">
        <v>210</v>
      </c>
      <c r="B42" s="70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71" t="s">
        <v>211</v>
      </c>
    </row>
    <row r="43" spans="1:10" ht="43.2">
      <c r="A43" s="69" t="s">
        <v>212</v>
      </c>
      <c r="B43" s="70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71" t="s">
        <v>213</v>
      </c>
    </row>
    <row r="44" spans="1:10" ht="43.2">
      <c r="A44" s="69" t="s">
        <v>214</v>
      </c>
      <c r="B44" s="70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71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KM2xPvPAIcww1yXRAQwKNBccw7ffyTby+Vrdr01LQsm7taUzpu4qz4s5b6suIsFsP5CxmS9CjJ/7QAXnLKQtWg==" saltValue="b1lntz596cp122+/hPK+KA==" spinCount="100000" sheet="1" objects="1" scenarios="1" selectLockedCells="1"/>
  <mergeCells count="2">
    <mergeCell ref="A3:J3"/>
    <mergeCell ref="J4:J8"/>
  </mergeCells>
  <conditionalFormatting sqref="B10:B32 B45:B1048576">
    <cfRule type="expression" dxfId="29" priority="22">
      <formula>IF(AND($B10&lt;&gt;"",$I10=0),1,0)</formula>
    </cfRule>
    <cfRule type="expression" dxfId="28" priority="23">
      <formula>IF($B10&lt;&gt;"",1,0)</formula>
    </cfRule>
    <cfRule type="expression" dxfId="27" priority="24">
      <formula>$I10=0</formula>
    </cfRule>
  </conditionalFormatting>
  <conditionalFormatting sqref="B13">
    <cfRule type="expression" dxfId="26" priority="13">
      <formula>IF(AND($B13&lt;&gt;"",$I13=0),1,0)</formula>
    </cfRule>
    <cfRule type="expression" dxfId="25" priority="14">
      <formula>IF($B13&lt;&gt;"",1,0)</formula>
    </cfRule>
    <cfRule type="expression" dxfId="24" priority="15">
      <formula>$I13=0</formula>
    </cfRule>
  </conditionalFormatting>
  <conditionalFormatting sqref="B10">
    <cfRule type="expression" dxfId="23" priority="10">
      <formula>IF(AND($B10&lt;&gt;"",$I10=0),1,0)</formula>
    </cfRule>
    <cfRule type="expression" dxfId="22" priority="11">
      <formula>IF($B10&lt;&gt;"",1,0)</formula>
    </cfRule>
    <cfRule type="expression" dxfId="21" priority="12">
      <formula>$I10=0</formula>
    </cfRule>
  </conditionalFormatting>
  <conditionalFormatting sqref="J4">
    <cfRule type="expression" dxfId="20" priority="2067">
      <formula>IF(COUNTA($B$10:$B$45)&lt;&gt;COUNTIF($I$10:$I$45,1),1,0)</formula>
    </cfRule>
    <cfRule type="expression" dxfId="19" priority="2068">
      <formula>IF(COUNTA($B$10:$B$45)=COUNTIF($I$10:$I$45,1),1,0)</formula>
    </cfRule>
  </conditionalFormatting>
  <conditionalFormatting sqref="B33:B44">
    <cfRule type="expression" dxfId="2" priority="1">
      <formula>IF(AND($B33&lt;&gt;"",$I33=0),1,0)</formula>
    </cfRule>
    <cfRule type="expression" dxfId="1" priority="2">
      <formula>IF($B33&lt;&gt;"",1,0)</formula>
    </cfRule>
    <cfRule type="expression" dxfId="0" priority="3">
      <formula>$I33=0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8" priority="10">
      <formula>IF(AND($B12&lt;&gt;"",$I12=0),1,0)</formula>
    </cfRule>
    <cfRule type="expression" dxfId="17" priority="11">
      <formula>IF($B12&lt;&gt;"",1,0)</formula>
    </cfRule>
    <cfRule type="expression" dxfId="16" priority="12">
      <formula>$I12=0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J4">
    <cfRule type="expression" dxfId="12" priority="2052">
      <formula>IF(COUNTA($B$10:$B$12)&lt;&gt;COUNTIF($I$10:$I$12,1),1,0)</formula>
    </cfRule>
    <cfRule type="expression" dxfId="11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4ZTr3txmDUd8Thb4HnEJv9X8/52zpgOLiViyGWsLpmEsASSOeb8rwvUXPJnMjeWUGX9cIv0sNDAfWBsMsGgbqw==" saltValue="4Affux2Aa78utvrNASiiVg==" spinCount="100000" sheet="1" objects="1" scenarios="1" selectLockedCells="1"/>
  <mergeCells count="2">
    <mergeCell ref="A3:J3"/>
    <mergeCell ref="J4:J8"/>
  </mergeCells>
  <conditionalFormatting sqref="B11">
    <cfRule type="expression" dxfId="10" priority="7">
      <formula>IF(AND($B11&lt;&gt;"",$I11=0),1,0)</formula>
    </cfRule>
    <cfRule type="expression" dxfId="9" priority="8">
      <formula>IF($B11&lt;&gt;"",1,0)</formula>
    </cfRule>
    <cfRule type="expression" dxfId="8" priority="9">
      <formula>$I11=0</formula>
    </cfRule>
  </conditionalFormatting>
  <conditionalFormatting sqref="B10">
    <cfRule type="expression" dxfId="7" priority="1">
      <formula>IF(AND($B10&lt;&gt;"",$I10=0),1,0)</formula>
    </cfRule>
    <cfRule type="expression" dxfId="6" priority="2">
      <formula>IF($B10&lt;&gt;"",1,0)</formula>
    </cfRule>
    <cfRule type="expression" dxfId="5" priority="3">
      <formula>$I10=0</formula>
    </cfRule>
  </conditionalFormatting>
  <conditionalFormatting sqref="J4">
    <cfRule type="expression" dxfId="4" priority="2054">
      <formula>IF(COUNTA($B$10:$B$11)&lt;&gt;COUNTIF($I$10:$I$11,1),1,0)</formula>
    </cfRule>
    <cfRule type="expression" dxfId="3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T2">
        <v>62</v>
      </c>
      <c r="AU2">
        <v>19.7</v>
      </c>
      <c r="AW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2023-04-12T02:21:17Z</dcterms:modified>
</cp:coreProperties>
</file>