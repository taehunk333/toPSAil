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\1_simulation_inputs\"/>
    </mc:Choice>
  </mc:AlternateContent>
  <xr:revisionPtr revIDLastSave="0" documentId="13_ncr:1_{EA75D778-0BBB-422C-96D3-62DEDBA123DB}" xr6:coauthVersionLast="47" xr6:coauthVersionMax="47" xr10:uidLastSave="{00000000-0000-0000-0000-000000000000}"/>
  <bookViews>
    <workbookView xWindow="-108" yWindow="-108" windowWidth="23256" windowHeight="13176" tabRatio="818" activeTab="4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6" r:id="rId4"/>
    <sheet name="Thermodynamic Properties" sheetId="44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2" hidden="1">Initialization!$A$9:$J$10</definedName>
    <definedName name="_xlnm._FilterDatabase" localSheetId="3" hidden="1">'Physical Properties'!$A$9:$J$10</definedName>
    <definedName name="_xlnm._FilterDatabase" localSheetId="4" hidden="1">'Thermodynamic Properties'!$A$9:$J$9</definedName>
    <definedName name="_xlnm.Print_Area" localSheetId="2">Initialization!$A$2:$J$15</definedName>
    <definedName name="_xlnm.Print_Area" localSheetId="3">'Physical Properties'!$A$2:$J$13</definedName>
    <definedName name="_xlnm.Print_Area" localSheetId="0">'Revision History'!$C$3:$K$51</definedName>
    <definedName name="_xlnm.Print_Area" localSheetId="4">'Thermodynamic Properties'!$A$2:$J$22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8" i="44" l="1"/>
  <c r="B17" i="44"/>
  <c r="B16" i="44"/>
  <c r="H12" i="46"/>
  <c r="H11" i="46"/>
  <c r="H10" i="46"/>
  <c r="J4" i="46"/>
  <c r="J2" i="46"/>
  <c r="A2" i="46"/>
  <c r="I12" i="44"/>
  <c r="H12" i="44"/>
  <c r="I11" i="44"/>
  <c r="H11" i="44"/>
  <c r="H15" i="44"/>
  <c r="H14" i="44"/>
  <c r="H18" i="44"/>
  <c r="H17" i="44"/>
  <c r="H21" i="44"/>
  <c r="H20" i="44"/>
  <c r="H14" i="40"/>
  <c r="H13" i="40"/>
  <c r="I10" i="44"/>
  <c r="H19" i="44" l="1"/>
  <c r="H16" i="44"/>
  <c r="H13" i="44"/>
  <c r="H10" i="44"/>
  <c r="J4" i="44"/>
  <c r="J2" i="44"/>
  <c r="A2" i="44"/>
  <c r="H12" i="40" l="1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G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tc={24B6345E-F611-43B9-9631-A9AC0DF2233B}</author>
    <author>tc={60405546-B9CA-4AC8-9BFF-C94249C6E625}</author>
    <author>tc={4AAA20E1-0409-4F74-B82B-1B55B6A90BAE}</author>
  </authors>
  <commentList>
    <comment ref="G9" authorId="0" shapeId="0" xr:uid="{24B6345E-F611-43B9-9631-A9AC0DF2233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0405546-B9CA-4AC8-9BFF-C94249C6E62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AAA20E1-0409-4F74-B82B-1B55B6A90BA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<sst xmlns="http://schemas.openxmlformats.org/spreadsheetml/2006/main" count="335" uniqueCount="147">
  <si>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</si>
  <si>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</si>
  <si>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</si>
  <si>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</si>
  <si>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</si>
  <si>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</si>
  <si>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</si>
  <si>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</si>
  <si>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</si>
  <si>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</si>
  <si>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</si>
  <si>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</si>
  <si>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</si>
  <si>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</si>
  <si>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</si>
  <si>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</si>
  <si>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</si>
  <si>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</si>
  <si>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</si>
  <si>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</si>
  <si>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</si>
  <si>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</si>
  <si>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</si>
  <si>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</si>
  <si>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</si>
  <si>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</si>
  <si>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</si>
  <si>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</si>
  <si>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</si>
  <si>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</si>
  <si>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</si>
  <si>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</si>
  <si>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</si>
  <si>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</si>
  <si>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</si>
  <si>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</si>
  <si>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</si>
  <si>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</si>
  <si>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</si>
  <si>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</si>
  <si>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</si>
  <si>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</si>
  <si>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</si>
  <si>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</si>
  <si>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</si>
  <si>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</si>
  <si>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</si>
  <si>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</si>
  <si>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</si>
  <si>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</si>
  <si>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</si>
  <si>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</si>
  <si>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</si>
  <si>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</si>
  <si>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</si>
  <si>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</si>
  <si>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</si>
  <si>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</si>
  <si>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</si>
  <si>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</si>
  <si>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</si>
  <si>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</si>
  <si>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</si>
  <si>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</si>
  <si>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</si>
  <si>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</si>
  <si>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</si>
  <si>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</si>
  <si>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</si>
  <si>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</si>
  <si>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</si>
  <si>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</si>
  <si>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</si>
  <si>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</si>
  <si>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</si>
  <si>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</si>
  <si>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</si>
  <si>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</si>
  <si>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</si>
  <si>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</si>
  <si>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</si>
  <si>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</si>
  <si>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</si>
  <si>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</si>
  <si>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</si>
  <si>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</si>
  <si>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</si>
  <si>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</si>
  <si>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</si>
  <si>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</si>
  <si>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</si>
  <si>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</si>
  <si>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</si>
  <si>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</si>
  <si>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</si>
  <si>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</si>
  <si>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</si>
  <si>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</si>
  <si>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</si>
  <si>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</si>
  <si>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</si>
  <si>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</si>
  <si>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N2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</si>
  <si>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</si>
  <si>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</si>
  <si>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</si>
  <si>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</si>
  <si>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</si>
  <si>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</si>
  <si>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</si>
  <si>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</si>
  <si>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</si>
  <si>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</si>
  <si>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</si>
  <si>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</si>
  <si>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</si>
  <si>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</si>
  <si>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</si>
  <si>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</si>
  <si>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</si>
  <si>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</si>
  <si>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</si>
  <si>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</si>
  <si>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</si>
  <si>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</si>
  <si>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</si>
  <si>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</si>
  <si>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</si>
  <si>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</si>
  <si>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</si>
  <si>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</si>
  <si>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</si>
  <si>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</si>
  <si>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</si>
  <si>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</si>
  <si>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</si>
  <si>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</si>
  <si>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</si>
  <si>
    <t>the isosteric heat of component i on the specified adsorbent</t>
  </si>
  <si>
    <t>sCom3</t>
  </si>
  <si>
    <t>CH4</t>
  </si>
  <si>
    <t>CO2</t>
  </si>
  <si>
    <t>molecWtC3</t>
  </si>
  <si>
    <t>compFacC3</t>
  </si>
  <si>
    <t>htCapCvC3</t>
  </si>
  <si>
    <t>htCapCpC3</t>
  </si>
  <si>
    <t>isoStHtC3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</si>
</sst>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8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7521" name="Button 1" hidden="1">
                <a:extLst>
                  <a:ext uri="{63B3BB69-23CF-44E3-9099-C40C66FF867C}">
                    <a14:compatExt spid="_x0000_s107521"/>
                  </a:ext>
                  <a:ext uri="{FF2B5EF4-FFF2-40B4-BE49-F238E27FC236}">
                    <a16:creationId xmlns:a16="http://schemas.microsoft.com/office/drawing/2014/main" id="{00000000-0008-0000-0300-000001A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7522" name="Button 2" hidden="1">
                <a:extLst>
                  <a:ext uri="{63B3BB69-23CF-44E3-9099-C40C66FF867C}">
                    <a14:compatExt spid="_x0000_s107522"/>
                  </a:ext>
                  <a:ext uri="{FF2B5EF4-FFF2-40B4-BE49-F238E27FC236}">
                    <a16:creationId xmlns:a16="http://schemas.microsoft.com/office/drawing/2014/main" id="{00000000-0008-0000-0300-000002A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7523" name="Button 3" hidden="1">
                <a:extLst>
                  <a:ext uri="{63B3BB69-23CF-44E3-9099-C40C66FF867C}">
                    <a14:compatExt spid="_x0000_s107523"/>
                  </a:ext>
                  <a:ext uri="{FF2B5EF4-FFF2-40B4-BE49-F238E27FC236}">
                    <a16:creationId xmlns:a16="http://schemas.microsoft.com/office/drawing/2014/main" id="{00000000-0008-0000-0300-000003A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5" totalsRowShown="0" headerRowDxfId="75" dataDxfId="73" headerRowBorderDxfId="74" tableBorderDxfId="72" totalsRowBorderDxfId="71">
  <autoFilter ref="A9:J15" xr:uid="{B089C5C3-2CCE-4800-96CA-2131BB6E3E4F}"/>
  <tableColumns count="10">
    <tableColumn id="1" xr3:uid="{F0083DBC-BA3F-499A-AB41-58DC14E7EC9B}" name="Variable" dataDxfId="70"/>
    <tableColumn id="4" xr3:uid="{2D9C78CB-0A98-4E06-A17A-328F6643A2AB}" name="Value" dataDxfId="69"/>
    <tableColumn id="5" xr3:uid="{2D40A785-0BF0-4D20-A6A3-606AF3EAEA1D}" name="Unit" dataDxfId="68"/>
    <tableColumn id="6" xr3:uid="{47E47CE1-84EE-4BBF-AF16-7CD09E32C8D5}" name="Comparisons" dataDxfId="67"/>
    <tableColumn id="7" xr3:uid="{1E01755C-F10B-47AF-87D2-261FE9E5C304}" name="Variable Type" dataDxfId="66"/>
    <tableColumn id="8" xr3:uid="{A1508BC9-F251-4C78-AFE1-9780568F4570}" name="Dependency" dataDxfId="65"/>
    <tableColumn id="12" xr3:uid="{483B9187-B663-438A-A6C2-F92DD2C5981E}" name="Test 1" dataDxfId="64"/>
    <tableColumn id="10" xr3:uid="{B0989B53-E4FA-42D2-AC40-B81EF1952308}" name="Test 2" dataDxfId="63"/>
    <tableColumn id="2" xr3:uid="{3B51E6F8-78E0-4FDA-AE7D-0D8F50BB7A78}" name="Test 3" dataDxfId="62"/>
    <tableColumn id="9" xr3:uid="{87AE414E-FFE1-4067-A57C-04659EEE8430}" name="Description" dataDxfId="6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806BE4C-60AD-418D-A5BF-468C4CD6C10D}" name="Table1108236" displayName="Table1108236" ref="A9:J13" totalsRowShown="0" headerRowDxfId="52" dataDxfId="50" headerRowBorderDxfId="51" tableBorderDxfId="49" totalsRowBorderDxfId="48">
  <autoFilter ref="A9:J13" xr:uid="{B089C5C3-2CCE-4800-96CA-2131BB6E3E4F}"/>
  <tableColumns count="10">
    <tableColumn id="1" xr3:uid="{D6FEFFD2-5A73-4293-8FA0-1683D7E6AC4B}" name="Variable" dataDxfId="47"/>
    <tableColumn id="4" xr3:uid="{AEBE33B1-35A8-45C6-B53B-C412E0999A9E}" name="Value" dataDxfId="46"/>
    <tableColumn id="5" xr3:uid="{8C8EDE04-3042-46CD-A5AE-B3317DB89936}" name="Unit" dataDxfId="45"/>
    <tableColumn id="6" xr3:uid="{B9297AB7-BC70-450F-8DFF-9BF976E9CB16}" name="Comparisons" dataDxfId="44"/>
    <tableColumn id="7" xr3:uid="{EFD880B2-E707-4298-A685-522EAA3C97C6}" name="Variable Type" dataDxfId="43"/>
    <tableColumn id="8" xr3:uid="{8C48117B-D9B5-4855-9DBB-D73E4D8D3E42}" name="Dependency" dataDxfId="42"/>
    <tableColumn id="12" xr3:uid="{A62A2C2F-0CDD-4D72-9621-43CDD6F1B28D}" name="Test 1" dataDxfId="41"/>
    <tableColumn id="10" xr3:uid="{980C7551-D568-4282-91CD-AD86B36C752F}" name="Test 2" dataDxfId="40"/>
    <tableColumn id="2" xr3:uid="{50382994-B768-4CBB-8539-CC2D191AEDC9}" name="Test 3" dataDxfId="39"/>
    <tableColumn id="9" xr3:uid="{6223BB7B-D575-432F-9EB4-76F4D98689BA}" name="Description" dataDxfId="3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22" totalsRowShown="0" headerRowDxfId="14" dataDxfId="12" headerRowBorderDxfId="13" tableBorderDxfId="11" totalsRowBorderDxfId="10">
  <autoFilter ref="A9:J22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1843E07-2516-483D-A63D-A86B5B904914}">
    <text>place 1 if we want to keep the row when re-initializing. Otherwise, leave it as a blank.</text>
  </threadedComment>
  <threadedComment ref="H9" dT="2020-11-26T18:35:03.27" personId="{7F98AE94-13FB-49E1-9262-339C11E0EDB4}" id="{6888000F-CF93-4D02-AF13-97DC6B0D5C73}">
    <text>supply a value greater than 1 if you want to duplicate the row</text>
  </threadedComment>
  <threadedComment ref="I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I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4B6345E-F611-43B9-9631-A9AC0DF2233B}">
    <text>place 1 if we want to keep the row when re-initializing. Otherwise, leave it as a blank.</text>
  </threadedComment>
  <threadedComment ref="H9" dT="2020-11-26T18:35:03.27" personId="{7F98AE94-13FB-49E1-9262-339C11E0EDB4}" id="{60405546-B9CA-4AC8-9BFF-C94249C6E625}">
    <text>supply a value greater than 1 if you want to duplicate the row</text>
  </threadedComment>
  <threadedComment ref="I9" dT="2020-11-28T01:53:47.29" personId="{7F98AE94-13FB-49E1-9262-339C11E0EDB4}" id="{4AAA20E1-0409-4F74-B82B-1B55B6A90BAE}">
    <text>1 means we need to have the variable specified; 0 means we need not have the variable specified</text>
  </threadedComment>
  <threadedComment ref="I9" dT="2020-11-28T01:56:42.32" personId="{7F98AE94-13FB-49E1-9262-339C11E0EDB4}" id="{BF812BFD-3612-4888-846F-57719A122AD4}" parentId="{4AAA20E1-0409-4F74-B82B-1B55B6A90BA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3" hidden="1" customWidth="1"/>
    <col min="3" max="3" width="2.44140625" style="33" customWidth="1"/>
    <col min="4" max="4" width="13.77734375" style="33" customWidth="1"/>
    <col min="5" max="5" width="51.33203125" style="34" bestFit="1" customWidth="1"/>
    <col min="6" max="6" width="15.77734375" style="35" bestFit="1" customWidth="1"/>
    <col min="7" max="9" width="13.33203125" style="33" customWidth="1"/>
    <col min="10" max="10" width="48.77734375" style="33" customWidth="1"/>
    <col min="11" max="11" width="2.44140625" style="33" customWidth="1"/>
    <col min="12" max="12" width="0" style="33" hidden="1" customWidth="1"/>
    <col min="13" max="16384" width="9" style="33" hidden="1"/>
  </cols>
  <sheetData>
    <row r="3" spans="4:10"/>
    <row r="4" spans="4:10" ht="18">
      <c r="D4" s="49" t="s">
        <v>133</v>
      </c>
      <c r="E4" s="50"/>
      <c r="F4" s="51"/>
      <c r="G4" s="52"/>
      <c r="H4" s="52"/>
      <c r="I4" s="52"/>
      <c r="J4" s="36" t="s">
        <v>84</v>
      </c>
    </row>
    <row r="5" spans="4:10" ht="36">
      <c r="D5" s="63" t="s">
        <v>36</v>
      </c>
      <c r="E5" s="63"/>
      <c r="F5" s="63"/>
      <c r="G5" s="63"/>
      <c r="H5" s="63"/>
      <c r="I5" s="63"/>
      <c r="J5" s="63"/>
    </row>
    <row r="6" spans="4:10" ht="18">
      <c r="D6" s="46" t="s">
        <v>30</v>
      </c>
      <c r="E6" s="46" t="s">
        <v>127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54">
      <c r="D7" s="37">
        <v>1</v>
      </c>
      <c r="E7" s="38" t="s">
        <v>132</v>
      </c>
      <c r="F7" s="39">
        <v>44720</v>
      </c>
      <c r="G7" s="37" t="s">
        <v>37</v>
      </c>
      <c r="H7" s="37"/>
      <c r="I7" s="37"/>
      <c r="J7" s="38"/>
    </row>
    <row r="8" spans="4:10" ht="36">
      <c r="D8" s="37">
        <v>2</v>
      </c>
      <c r="E8" s="38" t="s">
        <v>130</v>
      </c>
      <c r="F8" s="39">
        <v>44818</v>
      </c>
      <c r="G8" s="37" t="s">
        <v>37</v>
      </c>
      <c r="H8" s="37"/>
      <c r="I8" s="37"/>
      <c r="J8" s="38"/>
    </row>
    <row r="9" spans="4:10" ht="18">
      <c r="D9" s="37">
        <v>3</v>
      </c>
      <c r="E9" s="38"/>
      <c r="F9" s="39"/>
      <c r="G9" s="37"/>
      <c r="H9" s="37"/>
      <c r="I9" s="37"/>
      <c r="J9" s="38"/>
    </row>
    <row r="10" spans="4:10" ht="18">
      <c r="D10" s="37">
        <v>4</v>
      </c>
      <c r="E10" s="38"/>
      <c r="F10" s="39"/>
      <c r="G10" s="37"/>
      <c r="H10" s="37"/>
      <c r="I10" s="37"/>
      <c r="J10" s="38"/>
    </row>
    <row r="11" spans="4:10" ht="18">
      <c r="D11" s="37">
        <v>5</v>
      </c>
      <c r="E11" s="38"/>
      <c r="F11" s="39"/>
      <c r="G11" s="37"/>
      <c r="H11" s="37"/>
      <c r="I11" s="37"/>
      <c r="J11" s="38"/>
    </row>
    <row r="12" spans="4:10" ht="18">
      <c r="D12" s="37">
        <v>6</v>
      </c>
      <c r="E12" s="38"/>
      <c r="F12" s="39"/>
      <c r="G12" s="37"/>
      <c r="H12" s="37"/>
      <c r="I12" s="37"/>
      <c r="J12" s="38"/>
    </row>
    <row r="13" spans="4:10" ht="18">
      <c r="D13" s="37">
        <v>7</v>
      </c>
      <c r="E13" s="38"/>
      <c r="F13" s="39"/>
      <c r="G13" s="37"/>
      <c r="H13" s="37"/>
      <c r="I13" s="37"/>
      <c r="J13" s="38"/>
    </row>
    <row r="14" spans="4:10" ht="18">
      <c r="D14" s="37">
        <v>8</v>
      </c>
      <c r="E14" s="38"/>
      <c r="F14" s="39"/>
      <c r="G14" s="37"/>
      <c r="H14" s="37"/>
      <c r="I14" s="37"/>
      <c r="J14" s="38"/>
    </row>
    <row r="15" spans="4:10" ht="18">
      <c r="D15" s="37">
        <v>9</v>
      </c>
      <c r="E15" s="38"/>
      <c r="F15" s="39"/>
      <c r="G15" s="37"/>
      <c r="H15" s="37"/>
      <c r="I15" s="37"/>
      <c r="J15" s="38"/>
    </row>
    <row r="16" spans="4:10" ht="18">
      <c r="D16" s="37">
        <v>10</v>
      </c>
      <c r="E16" s="38"/>
      <c r="F16" s="39"/>
      <c r="G16" s="37"/>
      <c r="H16" s="37"/>
      <c r="I16" s="37"/>
      <c r="J16" s="40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67</v>
      </c>
      <c r="E1" t="s">
        <v>68</v>
      </c>
      <c r="F1" t="s">
        <v>69</v>
      </c>
      <c r="G1" s="1" t="s">
        <v>70</v>
      </c>
      <c r="H1" s="1" t="s">
        <v>71</v>
      </c>
      <c r="I1" s="1" t="s">
        <v>72</v>
      </c>
      <c r="J1" s="7" t="s">
        <v>74</v>
      </c>
      <c r="K1" s="7" t="s">
        <v>6</v>
      </c>
      <c r="L1" t="s">
        <v>82</v>
      </c>
      <c r="M1" t="s">
        <v>79</v>
      </c>
      <c r="N1" t="s">
        <v>80</v>
      </c>
      <c r="O1" t="s">
        <v>83</v>
      </c>
      <c r="P1" t="s">
        <v>88</v>
      </c>
      <c r="Q1" t="s">
        <v>91</v>
      </c>
      <c r="R1" t="s">
        <v>100</v>
      </c>
      <c r="S1" t="s">
        <v>101</v>
      </c>
      <c r="T1" t="s">
        <v>114</v>
      </c>
      <c r="U1" t="s">
        <v>115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75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116</v>
      </c>
    </row>
    <row r="4" spans="1:21">
      <c r="A4" t="s">
        <v>81</v>
      </c>
      <c r="B4" t="s">
        <v>21</v>
      </c>
      <c r="C4" t="s">
        <v>43</v>
      </c>
      <c r="D4" t="s">
        <v>76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121</v>
      </c>
    </row>
    <row r="9" spans="1:21">
      <c r="B9" t="s">
        <v>89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112</v>
      </c>
    </row>
    <row r="12" spans="1:21">
      <c r="B12" t="s">
        <v>90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113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5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IF(COUNTIF(Table110823[Test 3],1)=COUNTA(Table110823[Value]),"Ready","Not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28.8">
      <c r="A10" s="4" t="s">
        <v>5</v>
      </c>
      <c r="B10" s="30">
        <v>3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136</v>
      </c>
    </row>
    <row r="11" spans="1:10" ht="57.6">
      <c r="A11" s="58" t="s">
        <v>135</v>
      </c>
      <c r="B11" s="30">
        <v>2</v>
      </c>
      <c r="C11" s="59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60" t="s">
        <v>137</v>
      </c>
    </row>
    <row r="12" spans="1:10" ht="43.2">
      <c r="A12" s="4" t="s">
        <v>62</v>
      </c>
      <c r="B12" s="30" t="s">
        <v>140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3</v>
      </c>
      <c r="I12" s="6">
        <v>1</v>
      </c>
      <c r="J12" s="5" t="s">
        <v>131</v>
      </c>
    </row>
    <row r="13" spans="1:10" ht="43.2">
      <c r="A13" s="4" t="s">
        <v>63</v>
      </c>
      <c r="B13" s="30" t="s">
        <v>102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3</v>
      </c>
      <c r="I13" s="6">
        <v>1</v>
      </c>
      <c r="J13" s="5" t="s">
        <v>131</v>
      </c>
    </row>
    <row r="14" spans="1:10" ht="43.2">
      <c r="A14" s="4" t="s">
        <v>139</v>
      </c>
      <c r="B14" s="30" t="s">
        <v>141</v>
      </c>
      <c r="C14" s="2" t="s">
        <v>3</v>
      </c>
      <c r="D14" s="1" t="s">
        <v>22</v>
      </c>
      <c r="E14" s="1" t="s">
        <v>9</v>
      </c>
      <c r="F14" s="2" t="s">
        <v>5</v>
      </c>
      <c r="G14" s="1"/>
      <c r="H14" s="1">
        <f>Initialization!$B$10</f>
        <v>3</v>
      </c>
      <c r="I14" s="6">
        <v>1</v>
      </c>
      <c r="J14" s="5" t="s">
        <v>131</v>
      </c>
    </row>
    <row r="15" spans="1:10" ht="14.4">
      <c r="A15" s="8" t="s">
        <v>77</v>
      </c>
      <c r="B15" s="31"/>
      <c r="C15" s="9"/>
      <c r="D15" s="10"/>
      <c r="E15" s="10"/>
      <c r="F15" s="9"/>
      <c r="G15" s="10">
        <v>1</v>
      </c>
      <c r="H15" s="10">
        <v>1</v>
      </c>
      <c r="I15" s="11">
        <v>0</v>
      </c>
      <c r="J15" s="12" t="s">
        <v>78</v>
      </c>
    </row>
  </sheetData>
  <sheetProtection algorithmName="SHA-512" hashValue="iNHm72ymdKpc+VpPI67G5FeYCjKY7y34DYafxVkRQYFap/gnOYDSczMx3i+LHSkgs/mOHlW6pvbgCE4HCfUGoA==" saltValue="cm8WICK5YDUTZGwE4NLesw==" spinCount="100000" sheet="1" objects="1" scenarios="1" selectLockedCells="1"/>
  <mergeCells count="2">
    <mergeCell ref="A3:J3"/>
    <mergeCell ref="J4:J8"/>
  </mergeCells>
  <conditionalFormatting sqref="B10:B12 B15">
    <cfRule type="expression" dxfId="83" priority="10">
      <formula>IF(AND($B10&lt;&gt;"",$I10=0),1,0)</formula>
    </cfRule>
    <cfRule type="expression" dxfId="82" priority="11">
      <formula>IF($B10&lt;&gt;"",1,0)</formula>
    </cfRule>
    <cfRule type="expression" dxfId="81" priority="12">
      <formula>$I10=0</formula>
    </cfRule>
  </conditionalFormatting>
  <conditionalFormatting sqref="J4">
    <cfRule type="expression" dxfId="80" priority="498">
      <formula>IF(COUNTA($B$10:$B$15)&lt;&gt;COUNTIF($I$10:$I$15,1),1,0)</formula>
    </cfRule>
    <cfRule type="expression" dxfId="79" priority="499">
      <formula>IF(COUNTA($B$10:$B$15)=COUNTIF($I$10:$I$15,1),1,0)</formula>
    </cfRule>
  </conditionalFormatting>
  <conditionalFormatting sqref="B13:B14">
    <cfRule type="expression" dxfId="78" priority="1">
      <formula>IF(AND($B13&lt;&gt;"",$I13=0),1,0)</formula>
    </cfRule>
    <cfRule type="expression" dxfId="77" priority="2">
      <formula>IF($B13&lt;&gt;"",1,0)</formula>
    </cfRule>
    <cfRule type="expression" dxfId="76" priority="3">
      <formula>$I13=0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F10:F15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D10:D15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B686F-47BD-4523-90DF-9ADFCC8CC097}">
  <sheetPr codeName="Sheet25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IF(COUNTIF(Table1108236[Test 3],1)=COUNTA(Table1108236[Value]),"Ready","Not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14.4">
      <c r="A10" s="4" t="s">
        <v>123</v>
      </c>
      <c r="B10" s="30">
        <v>16</v>
      </c>
      <c r="C10" s="2" t="s">
        <v>124</v>
      </c>
      <c r="D10" s="1" t="s">
        <v>22</v>
      </c>
      <c r="E10" s="1" t="s">
        <v>7</v>
      </c>
      <c r="F10" s="2" t="s">
        <v>5</v>
      </c>
      <c r="G10" s="1">
        <v>1</v>
      </c>
      <c r="H10" s="62">
        <f>Initialization!B$10</f>
        <v>3</v>
      </c>
      <c r="I10" s="6">
        <v>1</v>
      </c>
      <c r="J10" s="5" t="s">
        <v>125</v>
      </c>
    </row>
    <row r="11" spans="1:10" ht="14.4">
      <c r="A11" s="4" t="s">
        <v>126</v>
      </c>
      <c r="B11" s="30">
        <v>28</v>
      </c>
      <c r="C11" s="2" t="s">
        <v>124</v>
      </c>
      <c r="D11" s="1" t="s">
        <v>22</v>
      </c>
      <c r="E11" s="1" t="s">
        <v>7</v>
      </c>
      <c r="F11" s="2" t="s">
        <v>5</v>
      </c>
      <c r="G11" s="1"/>
      <c r="H11" s="62">
        <f>Initialization!B$10</f>
        <v>3</v>
      </c>
      <c r="I11" s="6">
        <v>1</v>
      </c>
      <c r="J11" s="5" t="s">
        <v>125</v>
      </c>
    </row>
    <row r="12" spans="1:10" ht="14.4">
      <c r="A12" s="4" t="s">
        <v>142</v>
      </c>
      <c r="B12" s="30">
        <v>44</v>
      </c>
      <c r="C12" s="2" t="s">
        <v>124</v>
      </c>
      <c r="D12" s="1" t="s">
        <v>22</v>
      </c>
      <c r="E12" s="1" t="s">
        <v>7</v>
      </c>
      <c r="F12" s="2" t="s">
        <v>5</v>
      </c>
      <c r="G12" s="1"/>
      <c r="H12" s="62">
        <f>Initialization!B$10</f>
        <v>3</v>
      </c>
      <c r="I12" s="6">
        <v>1</v>
      </c>
      <c r="J12" s="5" t="s">
        <v>125</v>
      </c>
    </row>
    <row r="13" spans="1:10" ht="14.4">
      <c r="A13" s="8" t="s">
        <v>77</v>
      </c>
      <c r="B13" s="31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78</v>
      </c>
    </row>
  </sheetData>
  <sheetProtection algorithmName="SHA-512" hashValue="amRIZYgiooeio7UNbga0gKIsgorZoQeIuhd2byxQZGgYz9dxJf7HiS82bLvTh3kVVkMCelpPtomUPFHDNUNt1Q==" saltValue="bHBz3F9B4WJ0s1oI0Jc8OQ==" spinCount="100000" sheet="1" objects="1" scenarios="1" selectLockedCells="1"/>
  <mergeCells count="2">
    <mergeCell ref="A3:J3"/>
    <mergeCell ref="J4:J8"/>
  </mergeCells>
  <conditionalFormatting sqref="B10 B13">
    <cfRule type="expression" dxfId="60" priority="7">
      <formula>IF(AND($B10&lt;&gt;"",$I10=0),1,0)</formula>
    </cfRule>
    <cfRule type="expression" dxfId="59" priority="8">
      <formula>IF($B10&lt;&gt;"",1,0)</formula>
    </cfRule>
    <cfRule type="expression" dxfId="58" priority="9">
      <formula>$I10=0</formula>
    </cfRule>
  </conditionalFormatting>
  <conditionalFormatting sqref="J4">
    <cfRule type="expression" dxfId="57" priority="557">
      <formula>IF(COUNTA($B$10:$B$13)&lt;&gt;COUNTIF($I$10:$I$13,1),1,0)</formula>
    </cfRule>
    <cfRule type="expression" dxfId="56" priority="558">
      <formula>IF(COUNTA($B$10:$B$13)=COUNTIF($I$10:$I$13,1),1,0)</formula>
    </cfRule>
  </conditionalFormatting>
  <conditionalFormatting sqref="B11:B12">
    <cfRule type="expression" dxfId="55" priority="1">
      <formula>IF(AND($B11&lt;&gt;"",$I11=0),1,0)</formula>
    </cfRule>
    <cfRule type="expression" dxfId="54" priority="2">
      <formula>IF($B11&lt;&gt;"",1,0)</formula>
    </cfRule>
    <cfRule type="expression" dxfId="53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FEEF365-FA90-4AC0-942C-BF93C0FE69B8}">
          <x14:formula1>
            <xm:f>Reference!$A$2:$A$8</xm:f>
          </x14:formula1>
          <xm:sqref>E10:E13</xm:sqref>
        </x14:dataValidation>
        <x14:dataValidation type="list" allowBlank="1" showInputMessage="1" showErrorMessage="1" xr:uid="{85ECBDB4-8EFA-4093-BA38-CF0FF9852EB0}">
          <x14:formula1>
            <xm:f>Reference!$B$2:$B$18</xm:f>
          </x14:formula1>
          <xm:sqref>D10:D13</xm:sqref>
        </x14:dataValidation>
        <x14:dataValidation type="list" allowBlank="1" showInputMessage="1" showErrorMessage="1" xr:uid="{65519BC8-ACC1-4A89-BC0F-71EE6F141EFE}">
          <x14:formula1>
            <xm:f>Reference!$C$2:$C$23</xm:f>
          </x14:formula1>
          <xm:sqref>F10:F13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22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7" sqref="B17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IF(COUNTIF(Table110824[Test 3],1)=COUNTA(Table110824[Value]),"Ready","Not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28.8">
      <c r="A10" s="4" t="s">
        <v>92</v>
      </c>
      <c r="B10" s="30">
        <v>15675</v>
      </c>
      <c r="C10" s="2" t="s">
        <v>94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3</v>
      </c>
      <c r="I10" s="61">
        <f>[1]Initialization!$B$14</f>
        <v>1</v>
      </c>
      <c r="J10" s="5" t="s">
        <v>138</v>
      </c>
    </row>
    <row r="11" spans="1:10" ht="28.8">
      <c r="A11" s="4" t="s">
        <v>93</v>
      </c>
      <c r="B11" s="30">
        <v>15716</v>
      </c>
      <c r="C11" s="2" t="s">
        <v>94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3</v>
      </c>
      <c r="I11" s="61">
        <f>[1]Initialization!$B$14</f>
        <v>1</v>
      </c>
      <c r="J11" s="5" t="s">
        <v>138</v>
      </c>
    </row>
    <row r="12" spans="1:10" ht="28.8">
      <c r="A12" s="4" t="s">
        <v>146</v>
      </c>
      <c r="B12" s="30">
        <v>54729</v>
      </c>
      <c r="C12" s="2" t="s">
        <v>94</v>
      </c>
      <c r="D12" s="1" t="s">
        <v>22</v>
      </c>
      <c r="E12" s="1" t="s">
        <v>7</v>
      </c>
      <c r="F12" s="2" t="s">
        <v>5</v>
      </c>
      <c r="G12" s="1"/>
      <c r="H12" s="1">
        <f>Initialization!$B$10</f>
        <v>3</v>
      </c>
      <c r="I12" s="61">
        <f>[1]Initialization!$B$14</f>
        <v>1</v>
      </c>
      <c r="J12" s="5" t="s">
        <v>138</v>
      </c>
    </row>
    <row r="13" spans="1:10" ht="28.8">
      <c r="A13" s="4" t="s">
        <v>105</v>
      </c>
      <c r="B13" s="30">
        <v>33.298000000000002</v>
      </c>
      <c r="C13" s="2" t="s">
        <v>95</v>
      </c>
      <c r="D13" s="1" t="s">
        <v>22</v>
      </c>
      <c r="E13" s="1" t="s">
        <v>7</v>
      </c>
      <c r="F13" s="2" t="s">
        <v>5</v>
      </c>
      <c r="G13" s="1">
        <v>1</v>
      </c>
      <c r="H13" s="1">
        <f>Initialization!$B$10</f>
        <v>3</v>
      </c>
      <c r="I13" s="6">
        <v>1</v>
      </c>
      <c r="J13" s="5" t="s">
        <v>103</v>
      </c>
    </row>
    <row r="14" spans="1:10" ht="28.8">
      <c r="A14" s="4" t="s">
        <v>106</v>
      </c>
      <c r="B14" s="30">
        <v>29.105</v>
      </c>
      <c r="C14" s="2" t="s">
        <v>95</v>
      </c>
      <c r="D14" s="1" t="s">
        <v>22</v>
      </c>
      <c r="E14" s="1" t="s">
        <v>7</v>
      </c>
      <c r="F14" s="2" t="s">
        <v>5</v>
      </c>
      <c r="G14" s="1"/>
      <c r="H14" s="1">
        <f>Initialization!$B$10</f>
        <v>3</v>
      </c>
      <c r="I14" s="6">
        <v>1</v>
      </c>
      <c r="J14" s="5" t="s">
        <v>103</v>
      </c>
    </row>
    <row r="15" spans="1:10" ht="28.8">
      <c r="A15" s="4" t="s">
        <v>145</v>
      </c>
      <c r="B15" s="30">
        <v>29.37</v>
      </c>
      <c r="C15" s="2" t="s">
        <v>95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3</v>
      </c>
      <c r="I15" s="6">
        <v>1</v>
      </c>
      <c r="J15" s="5" t="s">
        <v>103</v>
      </c>
    </row>
    <row r="16" spans="1:10" ht="28.8">
      <c r="A16" s="47" t="s">
        <v>107</v>
      </c>
      <c r="B16" s="30">
        <f>B13-8.314</f>
        <v>24.984000000000002</v>
      </c>
      <c r="C16" s="2" t="s">
        <v>95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3</v>
      </c>
      <c r="I16" s="6">
        <v>1</v>
      </c>
      <c r="J16" s="5" t="s">
        <v>104</v>
      </c>
    </row>
    <row r="17" spans="1:10" ht="28.8">
      <c r="A17" s="47" t="s">
        <v>108</v>
      </c>
      <c r="B17" s="30">
        <f t="shared" ref="B17:B18" si="0">B14-8.314</f>
        <v>20.791</v>
      </c>
      <c r="C17" s="2" t="s">
        <v>95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3</v>
      </c>
      <c r="I17" s="6">
        <v>1</v>
      </c>
      <c r="J17" s="5" t="s">
        <v>104</v>
      </c>
    </row>
    <row r="18" spans="1:10" ht="28.8">
      <c r="A18" s="47" t="s">
        <v>144</v>
      </c>
      <c r="B18" s="30">
        <f t="shared" si="0"/>
        <v>21.056000000000001</v>
      </c>
      <c r="C18" s="2" t="s">
        <v>95</v>
      </c>
      <c r="D18" s="1" t="s">
        <v>22</v>
      </c>
      <c r="E18" s="1" t="s">
        <v>7</v>
      </c>
      <c r="F18" s="2" t="s">
        <v>5</v>
      </c>
      <c r="G18" s="1"/>
      <c r="H18" s="1">
        <f>Initialization!$B$10</f>
        <v>3</v>
      </c>
      <c r="I18" s="6">
        <v>1</v>
      </c>
      <c r="J18" s="5" t="s">
        <v>104</v>
      </c>
    </row>
    <row r="19" spans="1:10" ht="28.8">
      <c r="A19" s="47" t="s">
        <v>110</v>
      </c>
      <c r="B19" s="30">
        <v>1</v>
      </c>
      <c r="C19" s="32" t="s">
        <v>3</v>
      </c>
      <c r="D19" s="1" t="s">
        <v>22</v>
      </c>
      <c r="E19" s="1" t="s">
        <v>7</v>
      </c>
      <c r="F19" s="2" t="s">
        <v>5</v>
      </c>
      <c r="G19" s="1">
        <v>1</v>
      </c>
      <c r="H19" s="1">
        <f>Initialization!$B$10</f>
        <v>3</v>
      </c>
      <c r="I19" s="6">
        <v>1</v>
      </c>
      <c r="J19" s="5" t="s">
        <v>109</v>
      </c>
    </row>
    <row r="20" spans="1:10" ht="28.8">
      <c r="A20" s="47" t="s">
        <v>111</v>
      </c>
      <c r="B20" s="30">
        <v>1</v>
      </c>
      <c r="C20" s="32" t="s">
        <v>3</v>
      </c>
      <c r="D20" s="1" t="s">
        <v>22</v>
      </c>
      <c r="E20" s="1" t="s">
        <v>7</v>
      </c>
      <c r="F20" s="2" t="s">
        <v>5</v>
      </c>
      <c r="G20" s="1"/>
      <c r="H20" s="1">
        <f>Initialization!$B$10</f>
        <v>3</v>
      </c>
      <c r="I20" s="6">
        <v>1</v>
      </c>
      <c r="J20" s="5" t="s">
        <v>109</v>
      </c>
    </row>
    <row r="21" spans="1:10" ht="28.8">
      <c r="A21" s="47" t="s">
        <v>143</v>
      </c>
      <c r="B21" s="30">
        <v>1</v>
      </c>
      <c r="C21" s="32" t="s">
        <v>3</v>
      </c>
      <c r="D21" s="1" t="s">
        <v>22</v>
      </c>
      <c r="E21" s="1" t="s">
        <v>7</v>
      </c>
      <c r="F21" s="2" t="s">
        <v>5</v>
      </c>
      <c r="G21" s="1"/>
      <c r="H21" s="1">
        <f>Initialization!$B$10</f>
        <v>3</v>
      </c>
      <c r="I21" s="6">
        <v>1</v>
      </c>
      <c r="J21" s="5" t="s">
        <v>109</v>
      </c>
    </row>
    <row r="22" spans="1:10" ht="14.4">
      <c r="A22" s="8" t="s">
        <v>77</v>
      </c>
      <c r="B22" s="31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78</v>
      </c>
    </row>
  </sheetData>
  <sheetProtection algorithmName="SHA-512" hashValue="pgOyp15d1nvr0xtlJcIYPXRJnRp4o7CVR5GWiYpI3gj2PBbYsf0SWitTXlyVT5+X2QHRFCw/XcZP+mGNShMjVQ==" saltValue="rNDLzwyZo4AkVRZz+GGtOA==" spinCount="100000" sheet="1" objects="1" scenarios="1" selectLockedCells="1"/>
  <mergeCells count="2">
    <mergeCell ref="A3:J3"/>
    <mergeCell ref="J4:J8"/>
  </mergeCells>
  <conditionalFormatting sqref="B10 B22 B13:B19">
    <cfRule type="expression" dxfId="37" priority="46">
      <formula>IF(AND($B10&lt;&gt;"",$I10=0),1,0)</formula>
    </cfRule>
    <cfRule type="expression" dxfId="36" priority="47">
      <formula>IF($B10&lt;&gt;"",1,0)</formula>
    </cfRule>
    <cfRule type="expression" dxfId="35" priority="48">
      <formula>$I10=0</formula>
    </cfRule>
  </conditionalFormatting>
  <conditionalFormatting sqref="B10">
    <cfRule type="expression" dxfId="34" priority="43">
      <formula>IF(AND($B10&lt;&gt;"",$I10=0),1,0)</formula>
    </cfRule>
    <cfRule type="expression" dxfId="33" priority="44">
      <formula>IF($B10&lt;&gt;"",1,0)</formula>
    </cfRule>
    <cfRule type="expression" dxfId="32" priority="45">
      <formula>$I10=0</formula>
    </cfRule>
  </conditionalFormatting>
  <conditionalFormatting sqref="J4">
    <cfRule type="expression" dxfId="31" priority="526">
      <formula>IF(COUNTA($B$10:$B$22)&lt;&gt;COUNTIF($I$10:$I$22,1),1,0)</formula>
    </cfRule>
    <cfRule type="expression" dxfId="30" priority="527">
      <formula>IF(COUNTA($B$10:$B$22)=COUNTIF($I$10:$I$22,1),1,0)</formula>
    </cfRule>
  </conditionalFormatting>
  <conditionalFormatting sqref="B20:B21">
    <cfRule type="expression" dxfId="29" priority="13">
      <formula>IF(AND($B20&lt;&gt;"",$I20=0),1,0)</formula>
    </cfRule>
    <cfRule type="expression" dxfId="28" priority="14">
      <formula>IF($B20&lt;&gt;"",1,0)</formula>
    </cfRule>
    <cfRule type="expression" dxfId="27" priority="15">
      <formula>$I20=0</formula>
    </cfRule>
  </conditionalFormatting>
  <conditionalFormatting sqref="B17:B18">
    <cfRule type="expression" dxfId="26" priority="10">
      <formula>IF(AND($B17&lt;&gt;"",$I17=0),1,0)</formula>
    </cfRule>
    <cfRule type="expression" dxfId="25" priority="11">
      <formula>IF($B17&lt;&gt;"",1,0)</formula>
    </cfRule>
    <cfRule type="expression" dxfId="24" priority="12">
      <formula>$I17=0</formula>
    </cfRule>
  </conditionalFormatting>
  <conditionalFormatting sqref="B14:B15">
    <cfRule type="expression" dxfId="23" priority="7">
      <formula>IF(AND($B14&lt;&gt;"",$I14=0),1,0)</formula>
    </cfRule>
    <cfRule type="expression" dxfId="22" priority="8">
      <formula>IF($B14&lt;&gt;"",1,0)</formula>
    </cfRule>
    <cfRule type="expression" dxfId="21" priority="9">
      <formula>$I14=0</formula>
    </cfRule>
  </conditionalFormatting>
  <conditionalFormatting sqref="B11:B12">
    <cfRule type="expression" dxfId="20" priority="4">
      <formula>IF(AND($B11&lt;&gt;"",$I11=0),1,0)</formula>
    </cfRule>
    <cfRule type="expression" dxfId="19" priority="5">
      <formula>IF($B11&lt;&gt;"",1,0)</formula>
    </cfRule>
    <cfRule type="expression" dxfId="18" priority="6">
      <formula>$I11=0</formula>
    </cfRule>
  </conditionalFormatting>
  <conditionalFormatting sqref="B11:B12">
    <cfRule type="expression" dxfId="17" priority="1">
      <formula>IF(AND($B11&lt;&gt;"",$I11=0),1,0)</formula>
    </cfRule>
    <cfRule type="expression" dxfId="16" priority="2">
      <formula>IF($B11&lt;&gt;"",1,0)</formula>
    </cfRule>
    <cfRule type="expression" dxfId="15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F10:F22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D10:D22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E10:E22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D6" sqref="D6"/>
    </sheetView>
  </sheetViews>
  <sheetFormatPr defaultColWidth="0" defaultRowHeight="0" customHeight="1" zeroHeight="1"/>
  <cols>
    <col min="1" max="2" width="8.77734375" style="56" customWidth="1"/>
    <col min="3" max="3" width="13.109375" style="56" customWidth="1"/>
    <col min="4" max="4" width="13.44140625" style="56" customWidth="1"/>
    <col min="5" max="6" width="8.77734375" style="56" customWidth="1"/>
    <col min="7" max="7" width="14.7773437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44140625" style="56" customWidth="1"/>
    <col min="12" max="17" width="8.77734375" style="56" customWidth="1"/>
    <col min="18" max="16384" width="8.77734375" style="56" hidden="1"/>
  </cols>
  <sheetData>
    <row r="1" spans="1:17" ht="14.4">
      <c r="A1" s="53" t="s">
        <v>134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84</v>
      </c>
    </row>
    <row r="2" spans="1:17" ht="14.4">
      <c r="A2" s="68" t="s">
        <v>128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</row>
    <row r="3" spans="1:17" ht="14.4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4.4">
      <c r="A4" s="24"/>
      <c r="B4" s="57" t="s">
        <v>129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4.4">
      <c r="A5" s="24"/>
      <c r="B5" s="57"/>
      <c r="C5" s="57" t="s">
        <v>96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4.4">
      <c r="A6" s="24"/>
      <c r="B6" s="57"/>
      <c r="C6" s="57"/>
      <c r="D6" s="45" t="s">
        <v>97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4.4">
      <c r="A7" s="24"/>
      <c r="B7" s="57"/>
      <c r="C7" s="57" t="s">
        <v>98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4.4">
      <c r="A8" s="24"/>
      <c r="B8" s="57"/>
      <c r="C8" s="57"/>
      <c r="D8" s="44" t="s">
        <v>99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4.4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87</v>
      </c>
    </row>
    <row r="2" spans="1:1">
      <c r="A2" t="s">
        <v>85</v>
      </c>
    </row>
    <row r="3" spans="1:1">
      <c r="A3" t="s">
        <v>86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CR2" sqref="CR2"/>
    </sheetView>
  </sheetViews>
  <sheetFormatPr defaultColWidth="8.77734375" defaultRowHeight="14.4"/>
  <sheetData>
    <row r="1" spans="1:23">
      <c r="A1" t="s">
        <v>5</v>
      </c>
      <c r="B1" t="s">
        <v>135</v>
      </c>
      <c r="C1" t="s">
        <v>62</v>
      </c>
      <c r="D1" t="s">
        <v>63</v>
      </c>
      <c r="E1" t="s">
        <v>139</v>
      </c>
      <c r="F1" t="s">
        <v>77</v>
      </c>
      <c r="G1" t="s">
        <v>123</v>
      </c>
      <c r="H1" t="s">
        <v>126</v>
      </c>
      <c r="I1" t="s">
        <v>142</v>
      </c>
      <c r="J1" t="s">
        <v>77</v>
      </c>
      <c r="K1" t="s">
        <v>92</v>
      </c>
      <c r="L1" t="s">
        <v>93</v>
      </c>
      <c r="M1" t="s">
        <v>146</v>
      </c>
      <c r="N1" t="s">
        <v>105</v>
      </c>
      <c r="O1" t="s">
        <v>106</v>
      </c>
      <c r="P1" t="s">
        <v>145</v>
      </c>
      <c r="Q1" t="s">
        <v>107</v>
      </c>
      <c r="R1" t="s">
        <v>108</v>
      </c>
      <c r="S1" t="s">
        <v>144</v>
      </c>
      <c r="T1" t="s">
        <v>110</v>
      </c>
      <c r="U1" t="s">
        <v>111</v>
      </c>
      <c r="V1" t="s">
        <v>143</v>
      </c>
      <c r="W1" t="s">
        <v>77</v>
      </c>
    </row>
    <row r="2" spans="1:23">
      <c r="A2">
        <v>3</v>
      </c>
      <c r="B2">
        <v>2</v>
      </c>
      <c r="C2" t="s">
        <v>140</v>
      </c>
      <c r="D2" t="s">
        <v>102</v>
      </c>
      <c r="E2" t="s">
        <v>141</v>
      </c>
      <c r="G2">
        <v>16</v>
      </c>
      <c r="H2">
        <v>28</v>
      </c>
      <c r="I2">
        <v>44</v>
      </c>
      <c r="K2">
        <v>15675</v>
      </c>
      <c r="L2">
        <v>15716</v>
      </c>
      <c r="M2">
        <v>54729</v>
      </c>
      <c r="N2">
        <v>33.298000000000002</v>
      </c>
      <c r="O2">
        <v>29.105</v>
      </c>
      <c r="P2">
        <v>29.37</v>
      </c>
      <c r="Q2">
        <v>24.984000000000002</v>
      </c>
      <c r="R2">
        <v>20.791</v>
      </c>
      <c r="S2">
        <v>21.056000000000001</v>
      </c>
      <c r="T2">
        <v>1</v>
      </c>
      <c r="U2">
        <v>1</v>
      </c>
      <c r="V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workbookViewId="0">
      <selection activeCell="CR2" sqref="CR2"/>
    </sheetView>
  </sheetViews>
  <sheetFormatPr defaultColWidth="8.77734375" defaultRowHeight="14.4"/>
  <sheetData>
    <row r="1" spans="1:23">
      <c r="A1" t="s">
        <v>5</v>
      </c>
      <c r="B1" t="s">
        <v>135</v>
      </c>
      <c r="C1" t="s">
        <v>62</v>
      </c>
      <c r="D1" t="s">
        <v>63</v>
      </c>
      <c r="E1" t="s">
        <v>139</v>
      </c>
      <c r="F1" t="s">
        <v>77</v>
      </c>
      <c r="G1" t="s">
        <v>123</v>
      </c>
      <c r="H1" t="s">
        <v>126</v>
      </c>
      <c r="I1" t="s">
        <v>142</v>
      </c>
      <c r="J1" t="s">
        <v>77</v>
      </c>
      <c r="K1" t="s">
        <v>92</v>
      </c>
      <c r="L1" t="s">
        <v>93</v>
      </c>
      <c r="M1" t="s">
        <v>146</v>
      </c>
      <c r="N1" t="s">
        <v>105</v>
      </c>
      <c r="O1" t="s">
        <v>106</v>
      </c>
      <c r="P1" t="s">
        <v>145</v>
      </c>
      <c r="Q1" t="s">
        <v>107</v>
      </c>
      <c r="R1" t="s">
        <v>108</v>
      </c>
      <c r="S1" t="s">
        <v>144</v>
      </c>
      <c r="T1" t="s">
        <v>110</v>
      </c>
      <c r="U1" t="s">
        <v>111</v>
      </c>
      <c r="V1" t="s">
        <v>143</v>
      </c>
      <c r="W1" t="s">
        <v>77</v>
      </c>
    </row>
    <row r="2" spans="1:23">
      <c r="A2">
        <v>1</v>
      </c>
      <c r="B2">
        <v>1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1</v>
      </c>
      <c r="J2">
        <v>0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1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2022-10-27T16:18:08Z</dcterms:modified>
</cp:coreProperties>
</file>