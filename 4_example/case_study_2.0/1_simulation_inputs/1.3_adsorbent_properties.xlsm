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drawings/drawing7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tables/table6.xml" ContentType="application/vnd.openxmlformats-officedocument.spreadsheetml.table+xml"/>
  <Override PartName="/xl/comments6.xml" ContentType="application/vnd.openxmlformats-officedocument.spreadsheetml.comments+xml"/>
  <Override PartName="/xl/threadedComments/threadedComment6.xml" ContentType="application/vnd.ms-excel.threadedcomments+xml"/>
  <Override PartName="/xl/drawings/drawing8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2.0\1_simulation_inputs\"/>
    </mc:Choice>
  </mc:AlternateContent>
  <xr:revisionPtr revIDLastSave="0" documentId="13_ncr:1_{3D6CAD79-3C94-4CE1-9310-B20275F9F0EF}" xr6:coauthVersionLast="47" xr6:coauthVersionMax="47" xr10:uidLastSave="{00000000-0000-0000-0000-000000000000}"/>
  <bookViews>
    <workbookView xWindow="-108" yWindow="-108" windowWidth="23256" windowHeight="13176" tabRatio="818" activeTab="5" xr2:uid="{CB583278-6AF7-49E7-A969-6064EAB4A9B4}"/>
  </bookViews>
  <sheets>
    <sheet name="Revision History" sheetId="4" r:id="rId1"/>
    <sheet name="References" sheetId="2" state="hidden" r:id="rId2"/>
    <sheet name="Pellet Geometry" sheetId="56" r:id="rId3"/>
    <sheet name="Void Fractions" sheetId="57" r:id="rId4"/>
    <sheet name="Densities" sheetId="58" r:id="rId5"/>
    <sheet name="Adsorption Isotherm" sheetId="53" r:id="rId6"/>
    <sheet name="Adsorption Kinetics" sheetId="54" r:id="rId7"/>
    <sheet name="Thermodynamic Properties" sheetId="55" r:id="rId8"/>
    <sheet name="Help" sheetId="39" r:id="rId9"/>
    <sheet name="maintenance check list" sheetId="28" state="hidden" r:id="rId10"/>
    <sheet name="Data(Transposed)" sheetId="3" state="hidden" r:id="rId11"/>
    <sheet name="Data(Test)" sheetId="9" state="hidden" r:id="rId12"/>
  </sheets>
  <functionGroups builtInGroupCount="19"/>
  <externalReferences>
    <externalReference r:id="rId13"/>
    <externalReference r:id="rId14"/>
  </externalReferences>
  <definedNames>
    <definedName name="_xlnm._FilterDatabase" localSheetId="5" hidden="1">'Adsorption Isotherm'!$A$9:$J$9</definedName>
    <definedName name="_xlnm._FilterDatabase" localSheetId="6" hidden="1">'Adsorption Kinetics'!$A$9:$J$9</definedName>
    <definedName name="_xlnm._FilterDatabase" localSheetId="4" hidden="1">Densities!$A$9:$J$9</definedName>
    <definedName name="_xlnm._FilterDatabase" localSheetId="2" hidden="1">'Pellet Geometry'!$A$9:$J$9</definedName>
    <definedName name="_xlnm._FilterDatabase" localSheetId="7" hidden="1">'Thermodynamic Properties'!$A$9:$J$9</definedName>
    <definedName name="_xlnm._FilterDatabase" localSheetId="3" hidden="1">'Void Fractions'!$A$9:$J$9</definedName>
    <definedName name="_xlnm.Print_Area" localSheetId="5">'Adsorption Isotherm'!$A$2:$J$45</definedName>
    <definedName name="_xlnm.Print_Area" localSheetId="6">'Adsorption Kinetics'!$A$2:$J$12</definedName>
    <definedName name="_xlnm.Print_Area" localSheetId="4">Densities!$A$2:$J$12</definedName>
    <definedName name="_xlnm.Print_Area" localSheetId="2">'Pellet Geometry'!$A$2:$J$11</definedName>
    <definedName name="_xlnm.Print_Area" localSheetId="0">'Revision History'!$C$3:$K$51</definedName>
    <definedName name="_xlnm.Print_Area" localSheetId="7">'Thermodynamic Properties'!$A$2:$J$11</definedName>
    <definedName name="_xlnm.Print_Area" localSheetId="3">'Void Fractions'!$A$2:$J$13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44" i="53" l="1"/>
  <c r="I43" i="53"/>
  <c r="I42" i="53"/>
  <c r="I41" i="53"/>
  <c r="I40" i="53"/>
  <c r="I39" i="53"/>
  <c r="I38" i="53"/>
  <c r="I37" i="53"/>
  <c r="I36" i="53"/>
  <c r="I35" i="53"/>
  <c r="I34" i="53"/>
  <c r="I33" i="53"/>
  <c r="H44" i="53"/>
  <c r="H43" i="53"/>
  <c r="H42" i="53"/>
  <c r="H41" i="53"/>
  <c r="H40" i="53"/>
  <c r="H39" i="53"/>
  <c r="H38" i="53"/>
  <c r="H37" i="53"/>
  <c r="H36" i="53"/>
  <c r="H35" i="53"/>
  <c r="H34" i="53"/>
  <c r="H33" i="53"/>
  <c r="I14" i="53" l="1"/>
  <c r="I13" i="53"/>
  <c r="I11" i="53"/>
  <c r="I12" i="53"/>
  <c r="B12" i="53" l="1"/>
  <c r="B11" i="53"/>
  <c r="I32" i="53"/>
  <c r="H32" i="53"/>
  <c r="I31" i="53"/>
  <c r="H31" i="53"/>
  <c r="I30" i="53"/>
  <c r="H30" i="53"/>
  <c r="I29" i="53"/>
  <c r="H29" i="53"/>
  <c r="I28" i="53"/>
  <c r="H28" i="53"/>
  <c r="I27" i="53"/>
  <c r="H27" i="53"/>
  <c r="I26" i="53"/>
  <c r="H26" i="53"/>
  <c r="I25" i="53"/>
  <c r="H25" i="53"/>
  <c r="I24" i="53"/>
  <c r="H24" i="53"/>
  <c r="I23" i="53"/>
  <c r="H23" i="53"/>
  <c r="I22" i="53"/>
  <c r="I21" i="53"/>
  <c r="H22" i="53"/>
  <c r="H21" i="53"/>
  <c r="I20" i="53"/>
  <c r="H20" i="53"/>
  <c r="I19" i="53"/>
  <c r="H19" i="53"/>
  <c r="I18" i="53"/>
  <c r="H18" i="53"/>
  <c r="I17" i="53"/>
  <c r="H17" i="53"/>
  <c r="I16" i="53" l="1"/>
  <c r="I15" i="53"/>
  <c r="H12" i="53"/>
  <c r="H11" i="53"/>
  <c r="I10" i="55" l="1"/>
  <c r="I12" i="57"/>
  <c r="I11" i="57"/>
  <c r="J4" i="58"/>
  <c r="J2" i="58"/>
  <c r="A2" i="58"/>
  <c r="J4" i="57"/>
  <c r="J2" i="57"/>
  <c r="A2" i="57"/>
  <c r="J4" i="56"/>
  <c r="J2" i="56"/>
  <c r="A2" i="56"/>
  <c r="H13" i="53" l="1"/>
  <c r="H14" i="53"/>
  <c r="H16" i="53" l="1"/>
  <c r="H15" i="53"/>
  <c r="H10" i="54"/>
  <c r="H11" i="54"/>
  <c r="J4" i="55" l="1"/>
  <c r="J2" i="55"/>
  <c r="A2" i="55"/>
  <c r="J4" i="54"/>
  <c r="J2" i="54"/>
  <c r="A2" i="54"/>
  <c r="J4" i="53"/>
  <c r="J2" i="53"/>
  <c r="A2" i="5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tc={272D215E-0D25-114C-BAB1-DD6910B83C85}</author>
    <author>tc={23F4704E-6DEA-FE41-B1B0-115D94A31EFB}</author>
    <author>tc={347535E0-B3D8-654F-B186-432F4D6BB910}</author>
  </authors>
  <commentList>
    <comment ref="G9" authorId="0" shapeId="0" xr:uid="{272D215E-0D25-114C-BAB1-DD6910B83C8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23F4704E-6DEA-FE41-B1B0-115D94A31EF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347535E0-B3D8-654F-B186-432F4D6BB910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tc={F5FC8A51-47AA-C642-B8A3-08468F1CE393}</author>
    <author>tc={426A1D1E-A763-534B-A5D0-6CB8929E69A2}</author>
    <author>tc={AE898E98-AA84-EA4F-A7F5-81BDF59801D3}</author>
  </authors>
  <commentList>
    <comment ref="G9" authorId="0" shapeId="0" xr:uid="{F5FC8A51-47AA-C642-B8A3-08468F1CE393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26A1D1E-A763-534B-A5D0-6CB8929E69A2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AE898E98-AA84-EA4F-A7F5-81BDF59801D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tc={75FF46C4-1DC0-C845-835E-BB356AEC5CAE}</author>
    <author>tc={1D7F75B2-57FD-3445-9F93-640DD1FDBF1D}</author>
    <author>tc={9BD2D0AD-C8C6-E646-8210-D50875F61895}</author>
  </authors>
  <commentList>
    <comment ref="G9" authorId="0" shapeId="0" xr:uid="{75FF46C4-1DC0-C845-835E-BB356AEC5CAE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1D7F75B2-57FD-3445-9F93-640DD1FDBF1D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BD2D0AD-C8C6-E646-8210-D50875F61895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tc={4679A202-C379-4D4A-8302-C6FC8DA92DAA}</author>
    <author>tc={B18702AE-04BD-4837-92FE-1853D01A6067}</author>
    <author>tc={B37B49A5-2669-4E53-8AEC-AF01590ED202}</author>
  </authors>
  <commentList>
    <comment ref="G9" authorId="0" shapeId="0" xr:uid="{4679A202-C379-4D4A-8302-C6FC8DA92DAA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B18702AE-04BD-4837-92FE-1853D01A6067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B37B49A5-2669-4E53-8AEC-AF01590ED20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tc={53F2771C-7CC0-44FC-9260-3189065E2D5A}</author>
    <author>tc={1CDAD62E-ED78-41AC-B275-04BA7975D617}</author>
    <author>tc={3A579B2F-9BC0-42C8-AF11-58091C0748DD}</author>
  </authors>
  <commentList>
    <comment ref="G9" authorId="0" shapeId="0" xr:uid="{53F2771C-7CC0-44FC-9260-3189065E2D5A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1CDAD62E-ED78-41AC-B275-04BA7975D617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3A579B2F-9BC0-42C8-AF11-58091C0748DD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tc={D7B050E2-ADE4-4B45-9734-B067EA00A2ED}</author>
    <author>tc={C7BCD8B2-54F5-4D15-9DE0-6ECB4743340E}</author>
    <author>tc={959BB115-909F-45AF-876F-70D1533A1D5E}</author>
  </authors>
  <commentList>
    <comment ref="G9" authorId="0" shapeId="0" xr:uid="{D7B050E2-ADE4-4B45-9734-B067EA00A2E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C7BCD8B2-54F5-4D15-9DE0-6ECB4743340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59BB115-909F-45AF-876F-70D1533A1D5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<sst xmlns="http://schemas.openxmlformats.org/spreadsheetml/2006/main" count="583" uniqueCount="216">
  <si>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</si>
  <si>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</si>
  <si>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</si>
  <si>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</si>
  <si>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</si>
  <si>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</si>
  <si>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</si>
  <si>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</si>
  <si>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</si>
  <si>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</si>
  <si>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</si>
  <si>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</si>
  <si>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</si>
  <si>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</si>
  <si>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</si>
  <si>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</si>
  <si>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</si>
  <si>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</si>
  <si>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</si>
  <si>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</si>
  <si>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K</t>
  </si>
  <si>
    <t>kg/cc</t>
  </si>
  <si>
    <t>1/sec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</si>
  <si>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</si>
  <si>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</si>
  <si>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</si>
  <si>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</si>
  <si>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</si>
  <si>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</si>
  <si>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</si>
  <si>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</si>
  <si>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</si>
  <si>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</si>
  <si>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</si>
  <si>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</si>
  <si>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</si>
  <si>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</si>
  <si>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</si>
  <si>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</si>
  <si>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</si>
  <si>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</si>
  <si>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</si>
  <si>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</si>
  <si>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</si>
  <si>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</si>
  <si>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</si>
  <si>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</si>
  <si>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</si>
  <si>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</si>
  <si>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</si>
  <si>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</si>
  <si>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</si>
  <si>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</si>
  <si>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</si>
  <si>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</si>
  <si>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</si>
  <si>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</si>
  <si>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</si>
  <si>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</si>
  <si>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</si>
  <si>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</si>
  <si>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</si>
  <si>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</si>
  <si>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</si>
  <si>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</si>
  <si>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</si>
  <si>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pellDens</t>
  </si>
  <si>
    <t>bulkDens</t>
  </si>
  <si>
    <t>Test 1</t>
  </si>
  <si>
    <t>Test 2</t>
  </si>
  <si>
    <t>Step</t>
  </si>
  <si>
    <t>qSatC1</t>
  </si>
  <si>
    <t>bC1</t>
  </si>
  <si>
    <t>bC2</t>
  </si>
  <si>
    <t>qSatC2</t>
  </si>
  <si>
    <t>cm</t>
  </si>
  <si>
    <t>The linear driving force mass transfer coefficient for ith component; the first component is light key</t>
  </si>
  <si>
    <t>Isotherm</t>
  </si>
  <si>
    <t>Kinetics</t>
  </si>
  <si>
    <t>modSp3</t>
  </si>
  <si>
    <t>modSp4</t>
  </si>
  <si>
    <t>modSp5</t>
  </si>
  <si>
    <t>Test 3</t>
  </si>
  <si>
    <t>initCond</t>
  </si>
  <si>
    <t>ldfMtc1</t>
  </si>
  <si>
    <t>ldfMtc2</t>
  </si>
  <si>
    <t>EQ</t>
  </si>
  <si>
    <t>RT</t>
  </si>
  <si>
    <t>testVal</t>
  </si>
  <si>
    <t>Test Place holder</t>
  </si>
  <si>
    <t>boundCond</t>
  </si>
  <si>
    <t>event</t>
  </si>
  <si>
    <t>Bulk density: mass of adsorbents divided by the volume of the container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</si>
  <si>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</si>
  <si>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</si>
  <si>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</si>
  <si>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</si>
  <si>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</si>
  <si>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</si>
  <si>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</si>
  <si>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</si>
  <si>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</si>
  <si>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</si>
  <si>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rPr>
        <b/>
        <i/>
        <sz val="11"/>
        <color theme="1"/>
        <rFont val="Consolas"/>
        <family val="3"/>
      </rPr>
      <t>Densities and Void Fractions</t>
    </r>
    <r>
      <rPr>
        <sz val="11"/>
        <color theme="1"/>
        <rFont val="Consolas"/>
        <family val="3"/>
      </rPr>
      <t xml:space="preserve">: </t>
    </r>
  </si>
  <si>
    <t xml:space="preserve">Bulk Density = </t>
  </si>
  <si>
    <t>weight of pellets filled inside the column / total volume of an adsorption column</t>
  </si>
  <si>
    <t>Treating a pellet as a rigid impenetrable sphere, any volume inside the column excluding the total volume occupied by the pallets</t>
  </si>
  <si>
    <t>*Key ideas:</t>
  </si>
  <si>
    <t>mass of adsorbent materials is conserved</t>
  </si>
  <si>
    <t>we consider a spherical pellet consisted of binder and adsorbent materials</t>
  </si>
  <si>
    <t xml:space="preserve">Bulk Void Fraction (    ) = </t>
  </si>
  <si>
    <t xml:space="preserve">Pellet Density = </t>
  </si>
  <si>
    <t>weight of pellets filled inside the column / total volume of pellets (treating as impenetrable spheres)</t>
  </si>
  <si>
    <t>Just considering the macropore and treat micropore as adsorbed</t>
  </si>
  <si>
    <t xml:space="preserve">Summation of the all the void volumes in the adsorption column. i.e. bulk void volume + intra pellet void volume  </t>
  </si>
  <si>
    <t>Overall Void Fraction (   ) =</t>
  </si>
  <si>
    <t>Solid (Skeletal) Density =</t>
  </si>
  <si>
    <t>weight of pellets filled inside the column / total volume of solids (including adsorbent materials and micropores)</t>
  </si>
  <si>
    <t>Overall Density Relationship:</t>
  </si>
  <si>
    <t xml:space="preserve">Notes: </t>
  </si>
  <si>
    <t>Pellet density: mass of pellet divided by the volume of the pallet</t>
  </si>
  <si>
    <t>MassTransferResistance</t>
  </si>
  <si>
    <t>maTrRes</t>
  </si>
  <si>
    <t>For the sequenced CSTR model, we consider two different controling resistances (macropore controlled and micropore controlled)</t>
  </si>
  <si>
    <t>For macropore controlled processes, the relevant void fraction is the bulk void fraction and the relevant density is the pellet density</t>
  </si>
  <si>
    <t>For micropore controlled processes, the relevant void fraction is the overall void fraction and the relevant density is the solid (skeletal) density</t>
  </si>
  <si>
    <t>For a adsorber pressure drop calculation, the relevant void fraction is the bed void fraction (the inner pore fluids are considered immobile).</t>
  </si>
  <si>
    <t>htCapSol</t>
  </si>
  <si>
    <t>The solid heat capacity (assume to be a constant) not following the Debye-Einstein model.</t>
  </si>
  <si>
    <t>Boolean</t>
  </si>
  <si>
    <t>numTanks</t>
  </si>
  <si>
    <t>J/kg-K</t>
  </si>
  <si>
    <t>tempRefIso</t>
  </si>
  <si>
    <t>0 = pellet skin (i.e., the boundary layer) resistance is controlling,
1 = macropore resistance is controlling,
2 = micropore resistance is controlling,
3 = physisorption resistance is controlling.</t>
  </si>
  <si>
    <t>Intra-pellet macro-pore void fraction</t>
  </si>
  <si>
    <t>Intra-pellet micro-pore void fraction</t>
  </si>
  <si>
    <t>voidFracMac</t>
  </si>
  <si>
    <t>voidFracMic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</si>
  <si>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</si>
  <si>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</si>
  <si>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</si>
  <si>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</si>
  <si>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</si>
  <si>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</si>
  <si>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</si>
  <si>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</si>
  <si>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</si>
  <si>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</si>
  <si>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</si>
  <si>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diamPellet</t>
  </si>
  <si>
    <t>The diameter of a single adsorbent pellet (assumed spherical in its shape)</t>
  </si>
  <si>
    <t>Purpose/Summary</t>
  </si>
  <si>
    <t>Finalized the spreadsheet for the v1.0 release</t>
  </si>
  <si>
    <t xml:space="preserve">Pellet Void Fraction (                  ) = </t>
  </si>
  <si>
    <t>REV. NO.2 (9/14/2022)</t>
  </si>
  <si>
    <t>REV. NO.1 (6/8/2022)</t>
  </si>
  <si>
    <t>Initial development of the "1.3_adsorbent_propertiessm" sheet.</t>
  </si>
  <si>
    <t>henryC1</t>
  </si>
  <si>
    <t>henryC2</t>
  </si>
  <si>
    <t>mol/kg-bar</t>
  </si>
  <si>
    <t>1/bar</t>
  </si>
  <si>
    <t>mol/kg</t>
  </si>
  <si>
    <t>Please provide the reference temperature for adsorption isotherm measurement.</t>
  </si>
  <si>
    <t>KC1</t>
  </si>
  <si>
    <t>KC2</t>
  </si>
  <si>
    <t>aC1</t>
  </si>
  <si>
    <t>aC2</t>
  </si>
  <si>
    <t>kOneC1</t>
  </si>
  <si>
    <t>kOneC2</t>
  </si>
  <si>
    <t>kTwoC1</t>
  </si>
  <si>
    <t>kTwoC2</t>
  </si>
  <si>
    <t>kThrC1</t>
  </si>
  <si>
    <t>kThrC2</t>
  </si>
  <si>
    <t>kFouC1</t>
  </si>
  <si>
    <t>kFouC2</t>
  </si>
  <si>
    <t>kFivC1</t>
  </si>
  <si>
    <t>kFivC2</t>
  </si>
  <si>
    <t>kSixC1</t>
  </si>
  <si>
    <t>kSixC2</t>
  </si>
  <si>
    <t>mol/kg-K</t>
  </si>
  <si>
    <r>
      <t xml:space="preserve">[Linear Isotherm] Henry's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 Otherwise, provide the Henry's constant as the temperature goes to infinity.</t>
    </r>
  </si>
  <si>
    <r>
      <t xml:space="preserve">[Extended Langmuir Isotherm] Saturation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Please specify the parameter value at the reference temperature.</t>
    </r>
  </si>
  <si>
    <r>
      <t xml:space="preserve">[Multisite Langmuir Isotherm] The pre-exponential fitting parameter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 Otherwise, provide the parameter value as temperature goes to infinity.</t>
    </r>
  </si>
  <si>
    <r>
      <t xml:space="preserve">[Multisite Langmuir Isotherm] The exponent of the isotherm function;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Consider this parameter as a constant.</t>
    </r>
  </si>
  <si>
    <r>
      <t xml:space="preserve">[Extended Langmuir-Freundlich Isotherm] 
q_i^s (T) = kOneCi + kTwoCi * T
We are specifying kOneCi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</si>
  <si>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q_i^s (T) = kOneCi + kTwoCi * T
We are specifying kTwoCi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</si>
  <si>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b_i (T) = kThrCi exp[kFouCi / T]
We are specifying kThrCi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</si>
  <si>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b_i (T) = kThrCi exp[kFouCi / T]
We are specifying kFouCi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</t>
    </r>
  </si>
  <si>
    <r>
      <t xml:space="preserve">[Langmuir Isotherms] Saturation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Consider this parameter as a constant.</t>
    </r>
  </si>
  <si>
    <t>bar^{-n_i}</t>
  </si>
  <si>
    <r>
      <t xml:space="preserve">[Extended Langmuir-Freundlich Isotherm] 
n_i (T) = [kFivCi + kSixCi / T]^(-1)
We are specifying kFivCi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</t>
    </r>
  </si>
  <si>
    <r>
      <t xml:space="preserve">[Extended Langmuir-Freundlich Isotherm] 
n_i (T) = [kFivCi + kSixCi / T]^(-1)
We are specifying kSixCi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</t>
    </r>
  </si>
  <si>
    <t>qSatSiteOneC1</t>
  </si>
  <si>
    <t>[Dual-site Langmuir-Freundlich isotherm] The saturation capacity constant for the 1st adsorbate at the 1st adsorption site</t>
  </si>
  <si>
    <t>qSatSiteOneC2</t>
  </si>
  <si>
    <t>[Dual-site Langmuir-Freundlich isotherm] The saturation capacity constant for the 2nd adsorbate at the 1st adsorption site</t>
  </si>
  <si>
    <t>qSatSiteTwoC1</t>
  </si>
  <si>
    <t>[Dual-site Langmuir-Freundlich isotherm] The saturation capacity constant for the 1st adsorbate at the 2nd adsorption site</t>
  </si>
  <si>
    <t>qSatSiteTwoC2</t>
  </si>
  <si>
    <t>[Dual-site Langmuir-Freundlich isotherm] The saturation capacity constant for the 2nd adsorbate at the 2nd adsorption site</t>
  </si>
  <si>
    <t>bSiteOneC1</t>
  </si>
  <si>
    <t>[Dual-site Langmuir-Freundlich isotherm] The adsorption affinity constant for the 1st adsorbate at the 1st adsorption site</t>
  </si>
  <si>
    <t>bSiteOneC2</t>
  </si>
  <si>
    <t>[Dual-site Langmuir-Freundlich isotherm] The adsorption affinity constant for the 2nd adsorbate at the 1st adsorption site</t>
  </si>
  <si>
    <t>bSiteTwoC1</t>
  </si>
  <si>
    <t>[Dual-site Langmuir-Freundlich isotherm] The adsorption affinity constant for the 1st adsorbate at the 2nd adsorption site</t>
  </si>
  <si>
    <t>bSiteTwoC2</t>
  </si>
  <si>
    <t>[Dual-site Langmuir-Freundlich isotherm] The adsorption affinity constant for the 2nd adsorbate at the 2nd adsorption site</t>
  </si>
  <si>
    <t>nSiteOneC1</t>
  </si>
  <si>
    <t>[Dual-site Langmuir-Freundlich isotherm] The exponent for the 1st adsorbate at the 1st adsorption site</t>
  </si>
  <si>
    <t>nSiteOneC2</t>
  </si>
  <si>
    <t>[Dual-site Langmuir-Freundlich isotherm] The exponent for the 2nd adsorbate at the 1st adsorption site</t>
  </si>
  <si>
    <t>nSiteTwoC1</t>
  </si>
  <si>
    <t>[Dual-site Langmuir-Freundlich isotherm] The exponent for the 1st adsorbate at the 2nd adsorption site</t>
  </si>
  <si>
    <t>nSiteTwoC2</t>
  </si>
  <si>
    <t>[Dual-site Langmuir-Freundlich isotherm] The exponent for the 2nd adsorbate at the 2nd adsorption site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</si>
</sst>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i/>
      <sz val="11"/>
      <color theme="1"/>
      <name val="Consolas"/>
      <family val="3"/>
    </font>
    <font>
      <i/>
      <vertAlign val="sub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72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vertical="center"/>
    </xf>
    <xf numFmtId="0" fontId="4" fillId="3" borderId="11" xfId="0" applyFont="1" applyFill="1" applyBorder="1" applyAlignment="1">
      <alignment vertical="center"/>
    </xf>
    <xf numFmtId="0" fontId="12" fillId="6" borderId="6" xfId="0" applyFont="1" applyFill="1" applyBorder="1" applyAlignment="1">
      <alignment horizontal="left" vertical="center"/>
    </xf>
    <xf numFmtId="0" fontId="9" fillId="6" borderId="7" xfId="0" applyFont="1" applyFill="1" applyBorder="1" applyAlignment="1">
      <alignment horizontal="center" vertical="center"/>
    </xf>
    <xf numFmtId="0" fontId="12" fillId="6" borderId="8" xfId="0" applyFont="1" applyFill="1" applyBorder="1" applyAlignment="1">
      <alignment horizontal="right" vertical="center"/>
    </xf>
    <xf numFmtId="0" fontId="8" fillId="6" borderId="5" xfId="0" applyFont="1" applyFill="1" applyBorder="1" applyAlignment="1">
      <alignment horizontal="center" vertical="center"/>
    </xf>
    <xf numFmtId="0" fontId="8" fillId="6" borderId="9" xfId="0" applyFont="1" applyFill="1" applyBorder="1" applyAlignment="1">
      <alignment horizontal="center" vertical="center"/>
    </xf>
    <xf numFmtId="0" fontId="8" fillId="6" borderId="9" xfId="0" applyFont="1" applyFill="1" applyBorder="1" applyAlignment="1">
      <alignment horizontal="center" vertical="center" wrapText="1"/>
    </xf>
    <xf numFmtId="0" fontId="8" fillId="6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6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5" borderId="6" xfId="0" applyFont="1" applyFill="1" applyBorder="1" applyAlignment="1">
      <alignment horizontal="center" vertical="center"/>
    </xf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4" fillId="0" borderId="0" xfId="0" applyFont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13" fillId="6" borderId="0" xfId="1" applyFont="1" applyFill="1" applyAlignment="1">
      <alignment horizontal="left" vertical="center"/>
    </xf>
    <xf numFmtId="0" fontId="14" fillId="6" borderId="0" xfId="1" applyFont="1" applyFill="1" applyAlignment="1">
      <alignment vertical="center" wrapText="1"/>
    </xf>
    <xf numFmtId="0" fontId="14" fillId="6" borderId="0" xfId="1" applyFont="1" applyFill="1" applyAlignment="1">
      <alignment horizontal="center" vertical="center"/>
    </xf>
    <xf numFmtId="0" fontId="14" fillId="6" borderId="0" xfId="1" applyFont="1" applyFill="1">
      <alignment vertical="center"/>
    </xf>
    <xf numFmtId="0" fontId="4" fillId="5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 applyProtection="1">
      <alignment horizontal="center" vertical="center"/>
    </xf>
    <xf numFmtId="0" fontId="4" fillId="3" borderId="8" xfId="0" applyFont="1" applyFill="1" applyBorder="1" applyAlignment="1" applyProtection="1">
      <alignment horizontal="left" vertical="center" indent="1"/>
    </xf>
    <xf numFmtId="0" fontId="4" fillId="5" borderId="1" xfId="0" applyFont="1" applyFill="1" applyBorder="1" applyAlignment="1" applyProtection="1">
      <alignment horizontal="center" vertical="center"/>
    </xf>
    <xf numFmtId="0" fontId="4" fillId="3" borderId="7" xfId="0" applyFont="1" applyFill="1" applyBorder="1" applyAlignment="1" applyProtection="1">
      <alignment horizontal="center" vertical="center"/>
    </xf>
    <xf numFmtId="0" fontId="4" fillId="3" borderId="6" xfId="0" applyFont="1" applyFill="1" applyBorder="1" applyAlignment="1" applyProtection="1">
      <alignment horizontal="left" vertical="center" wrapText="1" indent="1"/>
    </xf>
    <xf numFmtId="0" fontId="4" fillId="5" borderId="6" xfId="0" applyFont="1" applyFill="1" applyBorder="1" applyAlignment="1" applyProtection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4" fillId="4" borderId="6" xfId="0" applyFont="1" applyFill="1" applyBorder="1" applyAlignment="1">
      <alignment horizontal="left" vertical="center"/>
    </xf>
    <xf numFmtId="0" fontId="4" fillId="4" borderId="7" xfId="0" applyFont="1" applyFill="1" applyBorder="1" applyAlignment="1">
      <alignment horizontal="left" vertical="center"/>
    </xf>
    <xf numFmtId="0" fontId="4" fillId="3" borderId="16" xfId="0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4" fillId="3" borderId="15" xfId="0" applyFont="1" applyFill="1" applyBorder="1" applyAlignment="1">
      <alignment horizontal="left" vertical="center" wrapText="1" indent="1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41"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3" name="Button 1" hidden="1">
                <a:extLst>
                  <a:ext uri="{63B3BB69-23CF-44E3-9099-C40C66FF867C}">
                    <a14:compatExt spid="_x0000_s110593"/>
                  </a:ext>
                  <a:ext uri="{FF2B5EF4-FFF2-40B4-BE49-F238E27FC236}">
                    <a16:creationId xmlns:a16="http://schemas.microsoft.com/office/drawing/2014/main" id="{00000000-0008-0000-0200-000001B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4" name="Button 2" hidden="1">
                <a:extLst>
                  <a:ext uri="{63B3BB69-23CF-44E3-9099-C40C66FF867C}">
                    <a14:compatExt spid="_x0000_s110594"/>
                  </a:ext>
                  <a:ext uri="{FF2B5EF4-FFF2-40B4-BE49-F238E27FC236}">
                    <a16:creationId xmlns:a16="http://schemas.microsoft.com/office/drawing/2014/main" id="{00000000-0008-0000-0200-000002B0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5" name="Button 3" hidden="1">
                <a:extLst>
                  <a:ext uri="{63B3BB69-23CF-44E3-9099-C40C66FF867C}">
                    <a14:compatExt spid="_x0000_s110595"/>
                  </a:ext>
                  <a:ext uri="{FF2B5EF4-FFF2-40B4-BE49-F238E27FC236}">
                    <a16:creationId xmlns:a16="http://schemas.microsoft.com/office/drawing/2014/main" id="{00000000-0008-0000-0200-000003B0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7" name="Button 1" hidden="1">
                <a:extLst>
                  <a:ext uri="{63B3BB69-23CF-44E3-9099-C40C66FF867C}">
                    <a14:compatExt spid="_x0000_s111617"/>
                  </a:ext>
                  <a:ext uri="{FF2B5EF4-FFF2-40B4-BE49-F238E27FC236}">
                    <a16:creationId xmlns:a16="http://schemas.microsoft.com/office/drawing/2014/main" id="{00000000-0008-0000-0300-000001B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8" name="Button 2" hidden="1">
                <a:extLst>
                  <a:ext uri="{63B3BB69-23CF-44E3-9099-C40C66FF867C}">
                    <a14:compatExt spid="_x0000_s111618"/>
                  </a:ext>
                  <a:ext uri="{FF2B5EF4-FFF2-40B4-BE49-F238E27FC236}">
                    <a16:creationId xmlns:a16="http://schemas.microsoft.com/office/drawing/2014/main" id="{00000000-0008-0000-0300-000002B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9" name="Button 3" hidden="1">
                <a:extLst>
                  <a:ext uri="{63B3BB69-23CF-44E3-9099-C40C66FF867C}">
                    <a14:compatExt spid="_x0000_s111619"/>
                  </a:ext>
                  <a:ext uri="{FF2B5EF4-FFF2-40B4-BE49-F238E27FC236}">
                    <a16:creationId xmlns:a16="http://schemas.microsoft.com/office/drawing/2014/main" id="{00000000-0008-0000-0300-000003B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1" name="Button 1" hidden="1">
                <a:extLst>
                  <a:ext uri="{63B3BB69-23CF-44E3-9099-C40C66FF867C}">
                    <a14:compatExt spid="_x0000_s112641"/>
                  </a:ext>
                  <a:ext uri="{FF2B5EF4-FFF2-40B4-BE49-F238E27FC236}">
                    <a16:creationId xmlns:a16="http://schemas.microsoft.com/office/drawing/2014/main" id="{00000000-0008-0000-0400-000001B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2" name="Button 2" hidden="1">
                <a:extLst>
                  <a:ext uri="{63B3BB69-23CF-44E3-9099-C40C66FF867C}">
                    <a14:compatExt spid="_x0000_s112642"/>
                  </a:ext>
                  <a:ext uri="{FF2B5EF4-FFF2-40B4-BE49-F238E27FC236}">
                    <a16:creationId xmlns:a16="http://schemas.microsoft.com/office/drawing/2014/main" id="{00000000-0008-0000-0400-000002B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3" name="Button 3" hidden="1">
                <a:extLst>
                  <a:ext uri="{63B3BB69-23CF-44E3-9099-C40C66FF867C}">
                    <a14:compatExt spid="_x0000_s112643"/>
                  </a:ext>
                  <a:ext uri="{FF2B5EF4-FFF2-40B4-BE49-F238E27FC236}">
                    <a16:creationId xmlns:a16="http://schemas.microsoft.com/office/drawing/2014/main" id="{00000000-0008-0000-0400-000003B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80" y="77724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1" name="Button 1" hidden="1">
                <a:extLst>
                  <a:ext uri="{63B3BB69-23CF-44E3-9099-C40C66FF867C}">
                    <a14:compatExt spid="_x0000_s102401"/>
                  </a:ext>
                  <a:ext uri="{FF2B5EF4-FFF2-40B4-BE49-F238E27FC236}">
                    <a16:creationId xmlns:a16="http://schemas.microsoft.com/office/drawing/2014/main" id="{00000000-0008-0000-0500-0000019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2" name="Button 2" hidden="1">
                <a:extLst>
                  <a:ext uri="{63B3BB69-23CF-44E3-9099-C40C66FF867C}">
                    <a14:compatExt spid="_x0000_s102402"/>
                  </a:ext>
                  <a:ext uri="{FF2B5EF4-FFF2-40B4-BE49-F238E27FC236}">
                    <a16:creationId xmlns:a16="http://schemas.microsoft.com/office/drawing/2014/main" id="{00000000-0008-0000-0500-00000290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3" name="Button 3" hidden="1">
                <a:extLst>
                  <a:ext uri="{63B3BB69-23CF-44E3-9099-C40C66FF867C}">
                    <a14:compatExt spid="_x0000_s102403"/>
                  </a:ext>
                  <a:ext uri="{FF2B5EF4-FFF2-40B4-BE49-F238E27FC236}">
                    <a16:creationId xmlns:a16="http://schemas.microsoft.com/office/drawing/2014/main" id="{00000000-0008-0000-0500-00000390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6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5" name="Button 1" hidden="1">
                <a:extLst>
                  <a:ext uri="{63B3BB69-23CF-44E3-9099-C40C66FF867C}">
                    <a14:compatExt spid="_x0000_s103425"/>
                  </a:ext>
                  <a:ext uri="{FF2B5EF4-FFF2-40B4-BE49-F238E27FC236}">
                    <a16:creationId xmlns:a16="http://schemas.microsoft.com/office/drawing/2014/main" id="{00000000-0008-0000-0600-0000019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6" name="Button 2" hidden="1">
                <a:extLst>
                  <a:ext uri="{63B3BB69-23CF-44E3-9099-C40C66FF867C}">
                    <a14:compatExt spid="_x0000_s103426"/>
                  </a:ext>
                  <a:ext uri="{FF2B5EF4-FFF2-40B4-BE49-F238E27FC236}">
                    <a16:creationId xmlns:a16="http://schemas.microsoft.com/office/drawing/2014/main" id="{00000000-0008-0000-0600-0000029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7" name="Button 3" hidden="1">
                <a:extLst>
                  <a:ext uri="{63B3BB69-23CF-44E3-9099-C40C66FF867C}">
                    <a14:compatExt spid="_x0000_s103427"/>
                  </a:ext>
                  <a:ext uri="{FF2B5EF4-FFF2-40B4-BE49-F238E27FC236}">
                    <a16:creationId xmlns:a16="http://schemas.microsoft.com/office/drawing/2014/main" id="{00000000-0008-0000-0600-0000039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7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49" name="Button 1" hidden="1">
                <a:extLst>
                  <a:ext uri="{63B3BB69-23CF-44E3-9099-C40C66FF867C}">
                    <a14:compatExt spid="_x0000_s104449"/>
                  </a:ext>
                  <a:ext uri="{FF2B5EF4-FFF2-40B4-BE49-F238E27FC236}">
                    <a16:creationId xmlns:a16="http://schemas.microsoft.com/office/drawing/2014/main" id="{00000000-0008-0000-0700-0000019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50" name="Button 2" hidden="1">
                <a:extLst>
                  <a:ext uri="{63B3BB69-23CF-44E3-9099-C40C66FF867C}">
                    <a14:compatExt spid="_x0000_s104450"/>
                  </a:ext>
                  <a:ext uri="{FF2B5EF4-FFF2-40B4-BE49-F238E27FC236}">
                    <a16:creationId xmlns:a16="http://schemas.microsoft.com/office/drawing/2014/main" id="{00000000-0008-0000-0700-0000029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51" name="Button 3" hidden="1">
                <a:extLst>
                  <a:ext uri="{63B3BB69-23CF-44E3-9099-C40C66FF867C}">
                    <a14:compatExt spid="_x0000_s104451"/>
                  </a:ext>
                  <a:ext uri="{FF2B5EF4-FFF2-40B4-BE49-F238E27FC236}">
                    <a16:creationId xmlns:a16="http://schemas.microsoft.com/office/drawing/2014/main" id="{00000000-0008-0000-0700-0000039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8965</xdr:colOff>
      <xdr:row>6</xdr:row>
      <xdr:rowOff>53787</xdr:rowOff>
    </xdr:from>
    <xdr:to>
      <xdr:col>7</xdr:col>
      <xdr:colOff>777717</xdr:colOff>
      <xdr:row>8</xdr:row>
      <xdr:rowOff>121226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pSpPr/>
      </xdr:nvGrpSpPr>
      <xdr:grpSpPr>
        <a:xfrm>
          <a:off x="1212925" y="1151067"/>
          <a:ext cx="4395872" cy="433199"/>
          <a:chOff x="459413" y="5298672"/>
          <a:chExt cx="4417387" cy="426027"/>
        </a:xfrm>
      </xdr:grpSpPr>
      <xdr:sp macro="" textlink="">
        <xdr:nvSpPr>
          <xdr:cNvPr id="3" name="Oval 2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>
            <a:off x="459413" y="5298672"/>
            <a:ext cx="426027" cy="426027"/>
          </a:xfrm>
          <a:prstGeom prst="ellipse">
            <a:avLst/>
          </a:prstGeom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  <xdr:sp macro="" textlink="">
        <xdr:nvSpPr>
          <xdr:cNvPr id="4" name="TextBox 73">
            <a:extLst>
              <a:ext uri="{FF2B5EF4-FFF2-40B4-BE49-F238E27FC236}">
                <a16:creationId xmlns:a16="http://schemas.microsoft.com/office/drawing/2014/main" id="{00000000-0008-0000-0800-000004000000}"/>
              </a:ext>
            </a:extLst>
          </xdr:cNvPr>
          <xdr:cNvSpPr txBox="1"/>
        </xdr:nvSpPr>
        <xdr:spPr>
          <a:xfrm>
            <a:off x="930724" y="5327880"/>
            <a:ext cx="3946076" cy="369332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en-US"/>
              <a:t>: A Spherical Pellet (binder + adsorbent)</a:t>
            </a:r>
          </a:p>
        </xdr:txBody>
      </xdr:sp>
    </xdr:grpSp>
    <xdr:clientData/>
  </xdr:twoCellAnchor>
  <xdr:twoCellAnchor editAs="oneCell">
    <xdr:from>
      <xdr:col>0</xdr:col>
      <xdr:colOff>143435</xdr:colOff>
      <xdr:row>16</xdr:row>
      <xdr:rowOff>125506</xdr:rowOff>
    </xdr:from>
    <xdr:to>
      <xdr:col>3</xdr:col>
      <xdr:colOff>827764</xdr:colOff>
      <xdr:row>20</xdr:row>
      <xdr:rowOff>141663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3435" y="3234466"/>
          <a:ext cx="2802689" cy="747677"/>
        </a:xfrm>
        <a:prstGeom prst="rect">
          <a:avLst/>
        </a:prstGeom>
      </xdr:spPr>
    </xdr:pic>
    <xdr:clientData/>
  </xdr:twoCellAnchor>
  <xdr:twoCellAnchor editAs="oneCell">
    <xdr:from>
      <xdr:col>11</xdr:col>
      <xdr:colOff>672353</xdr:colOff>
      <xdr:row>10</xdr:row>
      <xdr:rowOff>170331</xdr:rowOff>
    </xdr:from>
    <xdr:to>
      <xdr:col>12</xdr:col>
      <xdr:colOff>128212</xdr:colOff>
      <xdr:row>32</xdr:row>
      <xdr:rowOff>11804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0372613" y="2182011"/>
          <a:ext cx="2260019" cy="3864833"/>
        </a:xfrm>
        <a:prstGeom prst="rect">
          <a:avLst/>
        </a:prstGeom>
      </xdr:spPr>
    </xdr:pic>
    <xdr:clientData/>
  </xdr:twoCellAnchor>
  <xdr:twoCellAnchor editAs="oneCell">
    <xdr:from>
      <xdr:col>4</xdr:col>
      <xdr:colOff>340659</xdr:colOff>
      <xdr:row>16</xdr:row>
      <xdr:rowOff>134470</xdr:rowOff>
    </xdr:from>
    <xdr:to>
      <xdr:col>10</xdr:col>
      <xdr:colOff>1659443</xdr:colOff>
      <xdr:row>20</xdr:row>
      <xdr:rowOff>169675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381039" y="3243430"/>
          <a:ext cx="5669804" cy="766725"/>
        </a:xfrm>
        <a:prstGeom prst="rect">
          <a:avLst/>
        </a:prstGeom>
      </xdr:spPr>
    </xdr:pic>
    <xdr:clientData/>
  </xdr:twoCellAnchor>
  <xdr:twoCellAnchor editAs="oneCell">
    <xdr:from>
      <xdr:col>2</xdr:col>
      <xdr:colOff>280894</xdr:colOff>
      <xdr:row>41</xdr:row>
      <xdr:rowOff>44823</xdr:rowOff>
    </xdr:from>
    <xdr:to>
      <xdr:col>2</xdr:col>
      <xdr:colOff>499942</xdr:colOff>
      <xdr:row>43</xdr:row>
      <xdr:rowOff>29092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627094" y="7842623"/>
          <a:ext cx="219048" cy="365269"/>
        </a:xfrm>
        <a:prstGeom prst="rect">
          <a:avLst/>
        </a:prstGeom>
      </xdr:spPr>
    </xdr:pic>
    <xdr:clientData/>
  </xdr:twoCellAnchor>
  <xdr:twoCellAnchor editAs="oneCell">
    <xdr:from>
      <xdr:col>2</xdr:col>
      <xdr:colOff>429560</xdr:colOff>
      <xdr:row>44</xdr:row>
      <xdr:rowOff>100854</xdr:rowOff>
    </xdr:from>
    <xdr:to>
      <xdr:col>3</xdr:col>
      <xdr:colOff>647375</xdr:colOff>
      <xdr:row>46</xdr:row>
      <xdr:rowOff>123218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775760" y="8470154"/>
          <a:ext cx="1221115" cy="403364"/>
        </a:xfrm>
        <a:prstGeom prst="rect">
          <a:avLst/>
        </a:prstGeom>
      </xdr:spPr>
    </xdr:pic>
    <xdr:clientData/>
  </xdr:twoCellAnchor>
  <xdr:twoCellAnchor editAs="oneCell">
    <xdr:from>
      <xdr:col>4</xdr:col>
      <xdr:colOff>331694</xdr:colOff>
      <xdr:row>25</xdr:row>
      <xdr:rowOff>125505</xdr:rowOff>
    </xdr:from>
    <xdr:to>
      <xdr:col>10</xdr:col>
      <xdr:colOff>1536192</xdr:colOff>
      <xdr:row>29</xdr:row>
      <xdr:rowOff>151186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372074" y="4880385"/>
          <a:ext cx="5555518" cy="757200"/>
        </a:xfrm>
        <a:prstGeom prst="rect">
          <a:avLst/>
        </a:prstGeom>
      </xdr:spPr>
    </xdr:pic>
    <xdr:clientData/>
  </xdr:twoCellAnchor>
  <xdr:twoCellAnchor editAs="oneCell">
    <xdr:from>
      <xdr:col>0</xdr:col>
      <xdr:colOff>107576</xdr:colOff>
      <xdr:row>25</xdr:row>
      <xdr:rowOff>107577</xdr:rowOff>
    </xdr:from>
    <xdr:to>
      <xdr:col>4</xdr:col>
      <xdr:colOff>125684</xdr:colOff>
      <xdr:row>29</xdr:row>
      <xdr:rowOff>152306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07576" y="4862457"/>
          <a:ext cx="3058488" cy="776248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12</xdr:row>
      <xdr:rowOff>0</xdr:rowOff>
    </xdr:from>
    <xdr:to>
      <xdr:col>17</xdr:col>
      <xdr:colOff>304457</xdr:colOff>
      <xdr:row>33</xdr:row>
      <xdr:rowOff>91966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3114020" y="2377440"/>
          <a:ext cx="2742857" cy="3932447"/>
        </a:xfrm>
        <a:prstGeom prst="rect">
          <a:avLst/>
        </a:prstGeom>
      </xdr:spPr>
    </xdr:pic>
    <xdr:clientData/>
  </xdr:twoCellAnchor>
  <xdr:twoCellAnchor editAs="oneCell">
    <xdr:from>
      <xdr:col>2</xdr:col>
      <xdr:colOff>483348</xdr:colOff>
      <xdr:row>48</xdr:row>
      <xdr:rowOff>8965</xdr:rowOff>
    </xdr:from>
    <xdr:to>
      <xdr:col>2</xdr:col>
      <xdr:colOff>635729</xdr:colOff>
      <xdr:row>48</xdr:row>
      <xdr:rowOff>170870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829548" y="9140265"/>
          <a:ext cx="152381" cy="161905"/>
        </a:xfrm>
        <a:prstGeom prst="rect">
          <a:avLst/>
        </a:prstGeom>
      </xdr:spPr>
    </xdr:pic>
    <xdr:clientData/>
  </xdr:twoCellAnchor>
  <xdr:twoCellAnchor editAs="oneCell">
    <xdr:from>
      <xdr:col>0</xdr:col>
      <xdr:colOff>125506</xdr:colOff>
      <xdr:row>34</xdr:row>
      <xdr:rowOff>44823</xdr:rowOff>
    </xdr:from>
    <xdr:to>
      <xdr:col>4</xdr:col>
      <xdr:colOff>38852</xdr:colOff>
      <xdr:row>38</xdr:row>
      <xdr:rowOff>60980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25506" y="6445623"/>
          <a:ext cx="2953726" cy="747676"/>
        </a:xfrm>
        <a:prstGeom prst="rect">
          <a:avLst/>
        </a:prstGeom>
      </xdr:spPr>
    </xdr:pic>
    <xdr:clientData/>
  </xdr:twoCellAnchor>
  <xdr:twoCellAnchor editAs="oneCell">
    <xdr:from>
      <xdr:col>10</xdr:col>
      <xdr:colOff>1891554</xdr:colOff>
      <xdr:row>48</xdr:row>
      <xdr:rowOff>80683</xdr:rowOff>
    </xdr:from>
    <xdr:to>
      <xdr:col>11</xdr:col>
      <xdr:colOff>1540565</xdr:colOff>
      <xdr:row>50</xdr:row>
      <xdr:rowOff>141143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9282954" y="9041803"/>
          <a:ext cx="1957871" cy="426220"/>
        </a:xfrm>
        <a:prstGeom prst="rect">
          <a:avLst/>
        </a:prstGeom>
      </xdr:spPr>
    </xdr:pic>
    <xdr:clientData/>
  </xdr:twoCellAnchor>
  <xdr:twoCellAnchor editAs="oneCell">
    <xdr:from>
      <xdr:col>4</xdr:col>
      <xdr:colOff>376518</xdr:colOff>
      <xdr:row>34</xdr:row>
      <xdr:rowOff>71718</xdr:rowOff>
    </xdr:from>
    <xdr:to>
      <xdr:col>8</xdr:col>
      <xdr:colOff>487087</xdr:colOff>
      <xdr:row>38</xdr:row>
      <xdr:rowOff>106923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8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416898" y="6472518"/>
          <a:ext cx="2952829" cy="766724"/>
        </a:xfrm>
        <a:prstGeom prst="rect">
          <a:avLst/>
        </a:prstGeom>
      </xdr:spPr>
    </xdr:pic>
    <xdr:clientData/>
  </xdr:twoCellAnchor>
  <xdr:twoCellAnchor editAs="oneCell">
    <xdr:from>
      <xdr:col>11</xdr:col>
      <xdr:colOff>1981200</xdr:colOff>
      <xdr:row>37</xdr:row>
      <xdr:rowOff>161365</xdr:rowOff>
    </xdr:from>
    <xdr:to>
      <xdr:col>17</xdr:col>
      <xdr:colOff>374866</xdr:colOff>
      <xdr:row>52</xdr:row>
      <xdr:rowOff>148143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1681460" y="7110805"/>
          <a:ext cx="4245826" cy="2729978"/>
        </a:xfrm>
        <a:prstGeom prst="rect">
          <a:avLst/>
        </a:prstGeom>
      </xdr:spPr>
    </xdr:pic>
    <xdr:clientData/>
  </xdr:twoCellAnchor>
  <xdr:oneCellAnchor>
    <xdr:from>
      <xdr:col>1</xdr:col>
      <xdr:colOff>514350</xdr:colOff>
      <xdr:row>10</xdr:row>
      <xdr:rowOff>120650</xdr:rowOff>
    </xdr:from>
    <xdr:ext cx="5375126" cy="41275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00000000-0008-0000-0800-000014000000}"/>
                </a:ext>
              </a:extLst>
            </xdr:cNvPr>
            <xdr:cNvSpPr txBox="1"/>
          </xdr:nvSpPr>
          <xdr:spPr>
            <a:xfrm>
              <a:off x="1187450" y="2012950"/>
              <a:ext cx="5375126" cy="412750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𝑏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𝑝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</m:e>
                    </m:d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𝑝</m:t>
                            </m:r>
                          </m:sub>
                        </m:sSub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𝑠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𝜀</m:t>
                        </m:r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𝑠</m:t>
                        </m:r>
                      </m:sub>
                    </m:sSub>
                  </m:oMath>
                </m:oMathPara>
              </a14:m>
              <a:endParaRPr lang="en-US" sz="1800" b="0"/>
            </a:p>
            <a:p>
              <a:endParaRPr lang="en-US" sz="1800"/>
            </a:p>
          </xdr:txBody>
        </xdr:sp>
      </mc:Choice>
      <mc:Fallback xmlns=""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74911CB7-9212-BED4-AA55-9F9320945DA2}"/>
                </a:ext>
              </a:extLst>
            </xdr:cNvPr>
            <xdr:cNvSpPr txBox="1"/>
          </xdr:nvSpPr>
          <xdr:spPr>
            <a:xfrm>
              <a:off x="1187450" y="2012950"/>
              <a:ext cx="5375126" cy="412750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r>
                <a:rPr lang="en-US" sz="1800" b="0" i="0">
                  <a:latin typeface="Cambria Math" panose="02040503050406030204" pitchFamily="18" charset="0"/>
                </a:rPr>
                <a:t>𝜌_𝑏=(1−𝜀_𝑏 ) 𝜌_𝑝=(1−𝜀_𝑏 )(1−𝜀_𝑝 ) 𝜌_𝑠=(1−𝜀) 𝜌_𝑠</a:t>
              </a:r>
              <a:endParaRPr lang="en-US" sz="1800" b="0"/>
            </a:p>
            <a:p>
              <a:endParaRPr lang="en-US" sz="1800"/>
            </a:p>
          </xdr:txBody>
        </xdr:sp>
      </mc:Fallback>
    </mc:AlternateContent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1.2_adsorbate_properties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Reference"/>
      <sheetName val="Initialization"/>
      <sheetName val="Physical Properties"/>
      <sheetName val="Thermodynamic Properties"/>
      <sheetName val="Help"/>
      <sheetName val="maintenance check list"/>
      <sheetName val="Data(Transposed)"/>
      <sheetName val="Data(Test)"/>
    </sheetNames>
    <sheetDataSet>
      <sheetData sheetId="0"/>
      <sheetData sheetId="1"/>
      <sheetData sheetId="2">
        <row r="10">
          <cell r="B10">
            <v>2</v>
          </cell>
        </row>
      </sheetData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4">
          <cell r="B14">
            <v>0</v>
          </cell>
        </row>
      </sheetData>
      <sheetData sheetId="2">
        <row r="10">
          <cell r="B10">
            <v>1</v>
          </cell>
        </row>
      </sheetData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FEBEB78-E631-854B-A4B0-BEFB7555A310}" name="Table1931213142" displayName="Table1931213142" ref="A9:J11" totalsRowShown="0" headerRowDxfId="140" dataDxfId="138" headerRowBorderDxfId="139" tableBorderDxfId="137" totalsRowBorderDxfId="136">
  <autoFilter ref="A9:J11" xr:uid="{B089C5C3-2CCE-4800-96CA-2131BB6E3E4F}"/>
  <tableColumns count="10">
    <tableColumn id="1" xr3:uid="{A63D443C-23FA-C546-879B-699C109A0CA2}" name="Variable" dataDxfId="135"/>
    <tableColumn id="4" xr3:uid="{1A5FFB41-EB4E-E74A-8922-4B34B9316DE5}" name="Value" dataDxfId="134"/>
    <tableColumn id="5" xr3:uid="{BF7F7945-F7EF-9B43-BD77-AD1154395D6F}" name="Unit" dataDxfId="133"/>
    <tableColumn id="6" xr3:uid="{97B66A41-BCC9-AB4A-9001-73F9BCD59411}" name="Comparisons" dataDxfId="132"/>
    <tableColumn id="7" xr3:uid="{0CC57FA7-D6D5-D04B-8A50-C681928970E3}" name="Variable Type" dataDxfId="131"/>
    <tableColumn id="8" xr3:uid="{793541F2-DD76-C241-9A02-11BCAFDBFB73}" name="Dependency" dataDxfId="130"/>
    <tableColumn id="12" xr3:uid="{77D37813-222C-3645-B2B0-7C5CE186734F}" name="Test 1" dataDxfId="129"/>
    <tableColumn id="10" xr3:uid="{705C6C59-C9FA-CF40-8C63-CC7BAA8D5513}" name="Test 2" dataDxfId="128"/>
    <tableColumn id="2" xr3:uid="{3CCF3320-E3BD-5A4C-926A-DD0EC2697FB0}" name="Test 3" dataDxfId="127"/>
    <tableColumn id="9" xr3:uid="{DFCD7E77-6792-EC4A-8937-7BD5661A57E7}" name="Description" dataDxfId="12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7811B06-71F5-434A-9803-AAED5A541271}" name="Table1931213143" displayName="Table1931213143" ref="A9:J13" totalsRowShown="0" headerRowDxfId="125" dataDxfId="123" headerRowBorderDxfId="124" tableBorderDxfId="122" totalsRowBorderDxfId="121">
  <autoFilter ref="A9:J13" xr:uid="{B089C5C3-2CCE-4800-96CA-2131BB6E3E4F}"/>
  <tableColumns count="10">
    <tableColumn id="1" xr3:uid="{20310A95-CEA4-0E46-A375-D38774A1331C}" name="Variable" dataDxfId="120"/>
    <tableColumn id="4" xr3:uid="{677D6E7A-ABBB-7F47-BEBA-202C00329494}" name="Value" dataDxfId="119"/>
    <tableColumn id="5" xr3:uid="{4C9D6E28-38C2-434B-8F96-F002277F8DF6}" name="Unit" dataDxfId="118"/>
    <tableColumn id="6" xr3:uid="{14421855-DDE0-1B4F-9E2F-0DCEAE184349}" name="Comparisons" dataDxfId="117"/>
    <tableColumn id="7" xr3:uid="{B52A6C11-F701-BB42-BCC5-C034770E9DBB}" name="Variable Type" dataDxfId="116"/>
    <tableColumn id="8" xr3:uid="{7995AC5C-141D-1241-85F4-ED670AA6D852}" name="Dependency" dataDxfId="115"/>
    <tableColumn id="12" xr3:uid="{36F66342-4897-3D48-B96B-71B0734889A5}" name="Test 1" dataDxfId="114"/>
    <tableColumn id="10" xr3:uid="{7FE5DC9B-6534-0E47-9DE7-3B926E4C9E93}" name="Test 2" dataDxfId="113"/>
    <tableColumn id="2" xr3:uid="{B9967632-3249-EA4A-A375-C9085B3EE56A}" name="Test 3" dataDxfId="112"/>
    <tableColumn id="9" xr3:uid="{A656D5B2-43BE-D144-B69B-B013AE6BC6D4}" name="Description" dataDxfId="111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D0B4350-E0B6-DB4B-BD74-F824B6C9F0F3}" name="Table1931213144" displayName="Table1931213144" ref="A9:J12" totalsRowShown="0" headerRowDxfId="110" dataDxfId="108" headerRowBorderDxfId="109" tableBorderDxfId="107" totalsRowBorderDxfId="106">
  <autoFilter ref="A9:J12" xr:uid="{B089C5C3-2CCE-4800-96CA-2131BB6E3E4F}"/>
  <tableColumns count="10">
    <tableColumn id="1" xr3:uid="{29F8658A-9F09-7042-A7EC-353D08C08D34}" name="Variable" dataDxfId="105"/>
    <tableColumn id="4" xr3:uid="{0AC5C09B-7B5C-9640-A6C7-5BA8E05A9F0D}" name="Value" dataDxfId="104"/>
    <tableColumn id="5" xr3:uid="{4A165AEE-D3E0-DB4C-9890-DA2D18843B58}" name="Unit" dataDxfId="103"/>
    <tableColumn id="6" xr3:uid="{23F62B44-EB3B-FD48-85F1-55541D28F146}" name="Comparisons" dataDxfId="102"/>
    <tableColumn id="7" xr3:uid="{24641755-61AF-6C44-A79C-0EC6F77B3090}" name="Variable Type" dataDxfId="101"/>
    <tableColumn id="8" xr3:uid="{8EB70C81-0937-1548-8A36-195915CD1F99}" name="Dependency" dataDxfId="100"/>
    <tableColumn id="12" xr3:uid="{636C1BEE-1088-1842-B84F-652A0A7EFF6A}" name="Test 1" dataDxfId="99"/>
    <tableColumn id="10" xr3:uid="{611EFDE4-0DDB-044D-8690-A970063DA108}" name="Test 2" dataDxfId="98"/>
    <tableColumn id="2" xr3:uid="{2E2B9EE9-BE3C-354D-8E63-B39DE80C44A0}" name="Test 3" dataDxfId="97"/>
    <tableColumn id="9" xr3:uid="{F8DFB1CD-985B-4E45-BA3D-DD47F4100DAE}" name="Description" dataDxfId="96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312C4F63-4C68-4AC2-80A6-2585AB54659F}" name="Table193121314" displayName="Table193121314" ref="A9:J45" totalsRowShown="0" headerRowDxfId="95" dataDxfId="93" headerRowBorderDxfId="94" tableBorderDxfId="92" totalsRowBorderDxfId="91">
  <autoFilter ref="A9:J45" xr:uid="{B089C5C3-2CCE-4800-96CA-2131BB6E3E4F}"/>
  <tableColumns count="10">
    <tableColumn id="1" xr3:uid="{281F5226-2025-4C6E-999C-A8F575CB206B}" name="Variable" dataDxfId="90"/>
    <tableColumn id="4" xr3:uid="{907AC290-8B5F-4AFA-8DCB-C690B3734F6B}" name="Value" dataDxfId="89"/>
    <tableColumn id="5" xr3:uid="{76BE4CFE-05C6-43DC-A13C-4BFE2A2E4F38}" name="Unit" dataDxfId="88"/>
    <tableColumn id="6" xr3:uid="{8061F981-FF76-4C8B-B572-12CB713F43CB}" name="Comparisons" dataDxfId="87"/>
    <tableColumn id="7" xr3:uid="{2BCD4B9F-F682-4298-A3AA-A5F92D2263C4}" name="Variable Type" dataDxfId="86"/>
    <tableColumn id="8" xr3:uid="{1CC9FBBF-69F8-429A-814B-71DBAFF37359}" name="Dependency" dataDxfId="85"/>
    <tableColumn id="12" xr3:uid="{D2543F4F-0C85-4145-B5BB-64C7DAAA0F12}" name="Test 1" dataDxfId="84"/>
    <tableColumn id="10" xr3:uid="{4C9832B7-0AD2-4777-AAFC-C60DE2F7DA3B}" name="Test 2" dataDxfId="83"/>
    <tableColumn id="2" xr3:uid="{E95041DF-C927-4C37-AF74-78F291F45F62}" name="Test 3" dataDxfId="82"/>
    <tableColumn id="9" xr3:uid="{F7EA5B65-C16E-4E6D-B23B-ACC0E861E56F}" name="Description" dataDxfId="81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D8B703F-2A34-4D42-96AF-86D89E6FFB96}" name="Table19312131415" displayName="Table19312131415" ref="A9:J12" totalsRowShown="0" headerRowDxfId="80" dataDxfId="78" headerRowBorderDxfId="79" tableBorderDxfId="77" totalsRowBorderDxfId="76">
  <autoFilter ref="A9:J12" xr:uid="{B089C5C3-2CCE-4800-96CA-2131BB6E3E4F}"/>
  <tableColumns count="10">
    <tableColumn id="1" xr3:uid="{44E0B3A5-6A4B-4795-9F7F-DFBC306A75AE}" name="Variable" dataDxfId="75"/>
    <tableColumn id="4" xr3:uid="{34601FCC-65BC-4521-A6D7-320915B57F27}" name="Value" dataDxfId="74"/>
    <tableColumn id="5" xr3:uid="{36AA1FCE-8527-4F3E-BCD1-98FD13692D02}" name="Unit" dataDxfId="73"/>
    <tableColumn id="6" xr3:uid="{12237314-E311-4D61-9218-5391943A2DF3}" name="Comparisons" dataDxfId="72"/>
    <tableColumn id="7" xr3:uid="{602D3377-1190-430C-923B-FDC8A407022D}" name="Variable Type" dataDxfId="71"/>
    <tableColumn id="8" xr3:uid="{10F3779F-E5E0-418C-9D45-01C039CD3A06}" name="Dependency" dataDxfId="70"/>
    <tableColumn id="12" xr3:uid="{69811E65-CA30-400A-95DC-3E2E433E9B45}" name="Test 1" dataDxfId="69"/>
    <tableColumn id="10" xr3:uid="{653CF00F-2786-4470-A0B5-63F5C3F8853F}" name="Test 2" dataDxfId="68"/>
    <tableColumn id="2" xr3:uid="{FB2088F6-6335-4325-9E72-FE87533BD5DC}" name="Test 3" dataDxfId="67"/>
    <tableColumn id="9" xr3:uid="{5B622A13-3DAF-4FB5-869E-E869B7C199FB}" name="Description" dataDxfId="66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148E0BD8-0FB3-4E56-99FD-65B973FFB749}" name="Table1931213141516" displayName="Table1931213141516" ref="A9:J11" totalsRowShown="0" headerRowDxfId="65" dataDxfId="63" headerRowBorderDxfId="64" tableBorderDxfId="62" totalsRowBorderDxfId="61">
  <autoFilter ref="A9:J11" xr:uid="{B089C5C3-2CCE-4800-96CA-2131BB6E3E4F}"/>
  <tableColumns count="10">
    <tableColumn id="1" xr3:uid="{DBE15C7C-7AE8-4197-9E17-CD007CF8C5FE}" name="Variable" dataDxfId="60"/>
    <tableColumn id="4" xr3:uid="{40508BC8-45BC-49EB-A17C-121430373278}" name="Value" dataDxfId="59"/>
    <tableColumn id="5" xr3:uid="{1CD86463-E067-4143-95C2-583D377FAAE6}" name="Unit" dataDxfId="58"/>
    <tableColumn id="6" xr3:uid="{1D18AAC5-0CB5-4DEB-B9B3-68FDCBC289FF}" name="Comparisons" dataDxfId="57"/>
    <tableColumn id="7" xr3:uid="{350A3D9D-FF88-48A6-9C9C-360DB7A75B19}" name="Variable Type" dataDxfId="56"/>
    <tableColumn id="8" xr3:uid="{C65F767F-A83E-4992-8442-9E9D0E9EE5C7}" name="Dependency" dataDxfId="55"/>
    <tableColumn id="12" xr3:uid="{CC077F18-CA37-4F98-A76A-E0D3A7D055BB}" name="Test 1" dataDxfId="54"/>
    <tableColumn id="10" xr3:uid="{F91A5AB3-846A-45A0-84A7-E06C47BD0B5C}" name="Test 2" dataDxfId="53"/>
    <tableColumn id="2" xr3:uid="{28BC6DC0-30C7-420F-8628-33D17D150141}" name="Test 3" dataDxfId="52"/>
    <tableColumn id="9" xr3:uid="{85DFE1D5-A6BC-434B-AF31-6872BC06B6FB}" name="Description" dataDxfId="5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72D215E-0D25-114C-BAB1-DD6910B83C85}">
    <text>place 1 if we want to keep the row when re-initializing. Otherwise, leave it as a blank.</text>
  </threadedComment>
  <threadedComment ref="H9" dT="2020-11-26T18:35:03.27" personId="{7F98AE94-13FB-49E1-9262-339C11E0EDB4}" id="{23F4704E-6DEA-FE41-B1B0-115D94A31EFB}">
    <text>supply a value greater than 1 if you want to duplicate the row</text>
  </threadedComment>
  <threadedComment ref="I9" dT="2020-11-28T01:53:47.29" personId="{7F98AE94-13FB-49E1-9262-339C11E0EDB4}" id="{347535E0-B3D8-654F-B186-432F4D6BB910}">
    <text>1 means we need to have the variable specified; 0 means we need not have the variable specified</text>
  </threadedComment>
  <threadedComment ref="I9" dT="2020-11-28T01:56:42.32" personId="{7F98AE94-13FB-49E1-9262-339C11E0EDB4}" id="{C107E866-8515-1547-A6ED-EFD50919B462}" parentId="{347535E0-B3D8-654F-B186-432F4D6BB910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F5FC8A51-47AA-C642-B8A3-08468F1CE393}">
    <text>place 1 if we want to keep the row when re-initializing. Otherwise, leave it as a blank.</text>
  </threadedComment>
  <threadedComment ref="H9" dT="2020-11-26T18:35:03.27" personId="{7F98AE94-13FB-49E1-9262-339C11E0EDB4}" id="{426A1D1E-A763-534B-A5D0-6CB8929E69A2}">
    <text>supply a value greater than 1 if you want to duplicate the row</text>
  </threadedComment>
  <threadedComment ref="I9" dT="2020-11-28T01:53:47.29" personId="{7F98AE94-13FB-49E1-9262-339C11E0EDB4}" id="{AE898E98-AA84-EA4F-A7F5-81BDF59801D3}">
    <text>1 means we need to have the variable specified; 0 means we need not have the variable specified</text>
  </threadedComment>
  <threadedComment ref="I9" dT="2020-11-28T01:56:42.32" personId="{7F98AE94-13FB-49E1-9262-339C11E0EDB4}" id="{CB1CD8C9-CB00-9D4A-A8D3-42F180F34242}" parentId="{AE898E98-AA84-EA4F-A7F5-81BDF59801D3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75FF46C4-1DC0-C845-835E-BB356AEC5CAE}">
    <text>place 1 if we want to keep the row when re-initializing. Otherwise, leave it as a blank.</text>
  </threadedComment>
  <threadedComment ref="H9" dT="2020-11-26T18:35:03.27" personId="{7F98AE94-13FB-49E1-9262-339C11E0EDB4}" id="{1D7F75B2-57FD-3445-9F93-640DD1FDBF1D}">
    <text>supply a value greater than 1 if you want to duplicate the row</text>
  </threadedComment>
  <threadedComment ref="I9" dT="2020-11-28T01:53:47.29" personId="{7F98AE94-13FB-49E1-9262-339C11E0EDB4}" id="{9BD2D0AD-C8C6-E646-8210-D50875F61895}">
    <text>1 means we need to have the variable specified; 0 means we need not have the variable specified</text>
  </threadedComment>
  <threadedComment ref="I9" dT="2020-11-28T01:56:42.32" personId="{7F98AE94-13FB-49E1-9262-339C11E0EDB4}" id="{38BE71DC-1BA6-B447-ACCE-768CC6D19DF4}" parentId="{9BD2D0AD-C8C6-E646-8210-D50875F61895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4679A202-C379-4D4A-8302-C6FC8DA92DAA}">
    <text>place 1 if we want to keep the row when re-initializing. Otherwise, leave it as a blank.</text>
  </threadedComment>
  <threadedComment ref="H9" dT="2020-11-26T18:35:03.27" personId="{7F98AE94-13FB-49E1-9262-339C11E0EDB4}" id="{B18702AE-04BD-4837-92FE-1853D01A6067}">
    <text>supply a value greater than 1 if you want to duplicate the row</text>
  </threadedComment>
  <threadedComment ref="I9" dT="2020-11-28T01:53:47.29" personId="{7F98AE94-13FB-49E1-9262-339C11E0EDB4}" id="{B37B49A5-2669-4E53-8AEC-AF01590ED202}">
    <text>1 means we need to have the variable specified; 0 means we need not have the variable specified</text>
  </threadedComment>
  <threadedComment ref="I9" dT="2020-11-28T01:56:42.32" personId="{7F98AE94-13FB-49E1-9262-339C11E0EDB4}" id="{1D676474-1260-4679-BCCA-60F5293DCAC9}" parentId="{B37B49A5-2669-4E53-8AEC-AF01590ED202}">
    <text>Orange highlighted cells contain if then statement to allow the MATLAB® to check for the right inputs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3F2771C-7CC0-44FC-9260-3189065E2D5A}">
    <text>place 1 if we want to keep the row when re-initializing. Otherwise, leave it as a blank.</text>
  </threadedComment>
  <threadedComment ref="H9" dT="2020-11-26T18:35:03.27" personId="{7F98AE94-13FB-49E1-9262-339C11E0EDB4}" id="{1CDAD62E-ED78-41AC-B275-04BA7975D617}">
    <text>supply a value greater than 1 if you want to duplicate the row</text>
  </threadedComment>
  <threadedComment ref="I9" dT="2020-11-28T01:53:47.29" personId="{7F98AE94-13FB-49E1-9262-339C11E0EDB4}" id="{3A579B2F-9BC0-42C8-AF11-58091C0748DD}">
    <text>1 means we need to have the variable specified; 0 means we need not have the variable specified</text>
  </threadedComment>
  <threadedComment ref="I9" dT="2020-11-28T01:56:42.32" personId="{7F98AE94-13FB-49E1-9262-339C11E0EDB4}" id="{DE318E44-FE7A-47CA-A355-08FA4AFF5517}" parentId="{3A579B2F-9BC0-42C8-AF11-58091C0748DD}">
    <text>Orange highlighted cells contain if then statement to allow the MATLAB® to check for the right inputs</text>
  </threadedComment>
</ThreadedComments>
</file>

<file path=xl/threadedComments/threadedComment6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D7B050E2-ADE4-4B45-9734-B067EA00A2ED}">
    <text>place 1 if we want to keep the row when re-initializing. Otherwise, leave it as a blank.</text>
  </threadedComment>
  <threadedComment ref="H9" dT="2020-11-26T18:35:03.27" personId="{7F98AE94-13FB-49E1-9262-339C11E0EDB4}" id="{C7BCD8B2-54F5-4D15-9DE0-6ECB4743340E}">
    <text>supply a value greater than 1 if you want to duplicate the row</text>
  </threadedComment>
  <threadedComment ref="I9" dT="2020-11-28T01:53:47.29" personId="{7F98AE94-13FB-49E1-9262-339C11E0EDB4}" id="{959BB115-909F-45AF-876F-70D1533A1D5E}">
    <text>1 means we need to have the variable specified; 0 means we need not have the variable specified</text>
  </threadedComment>
  <threadedComment ref="I9" dT="2020-11-28T01:56:42.32" personId="{7F98AE94-13FB-49E1-9262-339C11E0EDB4}" id="{56AEE5D7-F8A7-43AD-9A38-CA411C9EE309}" parentId="{959BB115-909F-45AF-876F-70D1533A1D5E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5.xml"/><Relationship Id="rId3" Type="http://schemas.openxmlformats.org/officeDocument/2006/relationships/vmlDrawing" Target="../drawings/vmlDrawing5.vml"/><Relationship Id="rId7" Type="http://schemas.openxmlformats.org/officeDocument/2006/relationships/table" Target="../tables/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microsoft.com/office/2017/10/relationships/threadedComment" Target="../threadedComments/threadedComment5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mments" Target="../comments6.xml"/><Relationship Id="rId3" Type="http://schemas.openxmlformats.org/officeDocument/2006/relationships/vmlDrawing" Target="../drawings/vmlDrawing6.vml"/><Relationship Id="rId7" Type="http://schemas.openxmlformats.org/officeDocument/2006/relationships/table" Target="../tables/table6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Relationship Id="rId9" Type="http://schemas.microsoft.com/office/2017/10/relationships/threadedComment" Target="../threadedComments/threadedComment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30"/>
  <sheetViews>
    <sheetView showGridLines="0" view="pageBreakPreview" topLeftCell="C3" zoomScaleNormal="85" zoomScaleSheetLayoutView="100" workbookViewId="0">
      <selection activeCell="E7" sqref="E7"/>
    </sheetView>
  </sheetViews>
  <sheetFormatPr defaultColWidth="0" defaultRowHeight="14.4" zeroHeight="1"/>
  <cols>
    <col min="1" max="2" width="3.33203125" style="36" hidden="1" customWidth="1"/>
    <col min="3" max="3" width="2.44140625" style="36" customWidth="1"/>
    <col min="4" max="4" width="13.77734375" style="36" customWidth="1"/>
    <col min="5" max="5" width="51.33203125" style="37" bestFit="1" customWidth="1"/>
    <col min="6" max="6" width="15.77734375" style="38" bestFit="1" customWidth="1"/>
    <col min="7" max="9" width="13.33203125" style="36" customWidth="1"/>
    <col min="10" max="10" width="48.77734375" style="36" customWidth="1"/>
    <col min="11" max="11" width="2.44140625" style="36" customWidth="1"/>
    <col min="12" max="12" width="0" style="36" hidden="1" customWidth="1"/>
    <col min="13" max="16384" width="9" style="36" hidden="1"/>
  </cols>
  <sheetData>
    <row r="3" spans="4:10"/>
    <row r="4" spans="4:10" ht="18">
      <c r="D4" s="51" t="s">
        <v>154</v>
      </c>
      <c r="E4" s="52"/>
      <c r="F4" s="53"/>
      <c r="G4" s="54"/>
      <c r="H4" s="54"/>
      <c r="I4" s="54"/>
      <c r="J4" s="39" t="s">
        <v>96</v>
      </c>
    </row>
    <row r="5" spans="4:10" ht="36">
      <c r="D5" s="62" t="s">
        <v>39</v>
      </c>
      <c r="E5" s="62"/>
      <c r="F5" s="62"/>
      <c r="G5" s="62"/>
      <c r="H5" s="62"/>
      <c r="I5" s="62"/>
      <c r="J5" s="62"/>
    </row>
    <row r="6" spans="4:10" ht="18">
      <c r="D6" s="45" t="s">
        <v>33</v>
      </c>
      <c r="E6" s="45" t="s">
        <v>151</v>
      </c>
      <c r="F6" s="45" t="s">
        <v>34</v>
      </c>
      <c r="G6" s="45" t="s">
        <v>35</v>
      </c>
      <c r="H6" s="45" t="s">
        <v>36</v>
      </c>
      <c r="I6" s="45" t="s">
        <v>37</v>
      </c>
      <c r="J6" s="45" t="s">
        <v>38</v>
      </c>
    </row>
    <row r="7" spans="4:10" ht="54">
      <c r="D7" s="40">
        <v>1</v>
      </c>
      <c r="E7" s="41" t="s">
        <v>156</v>
      </c>
      <c r="F7" s="42">
        <v>44720</v>
      </c>
      <c r="G7" s="40" t="s">
        <v>40</v>
      </c>
      <c r="H7" s="40"/>
      <c r="I7" s="40"/>
      <c r="J7" s="41"/>
    </row>
    <row r="8" spans="4:10" ht="36">
      <c r="D8" s="40">
        <v>2</v>
      </c>
      <c r="E8" s="41" t="s">
        <v>152</v>
      </c>
      <c r="F8" s="42">
        <v>44818</v>
      </c>
      <c r="G8" s="40" t="s">
        <v>40</v>
      </c>
      <c r="H8" s="40"/>
      <c r="I8" s="40"/>
      <c r="J8" s="41"/>
    </row>
    <row r="9" spans="4:10" ht="18">
      <c r="D9" s="40">
        <v>3</v>
      </c>
      <c r="E9" s="41"/>
      <c r="F9" s="42"/>
      <c r="G9" s="40"/>
      <c r="H9" s="40"/>
      <c r="I9" s="40"/>
      <c r="J9" s="41"/>
    </row>
    <row r="10" spans="4:10" ht="18">
      <c r="D10" s="40">
        <v>4</v>
      </c>
      <c r="E10" s="41"/>
      <c r="F10" s="42"/>
      <c r="G10" s="40"/>
      <c r="H10" s="40"/>
      <c r="I10" s="40"/>
      <c r="J10" s="41"/>
    </row>
    <row r="11" spans="4:10" ht="18">
      <c r="D11" s="40">
        <v>5</v>
      </c>
      <c r="E11" s="41"/>
      <c r="F11" s="42"/>
      <c r="G11" s="40"/>
      <c r="H11" s="40"/>
      <c r="I11" s="40"/>
      <c r="J11" s="41"/>
    </row>
    <row r="12" spans="4:10" ht="18">
      <c r="D12" s="40">
        <v>6</v>
      </c>
      <c r="E12" s="41"/>
      <c r="F12" s="42"/>
      <c r="G12" s="40"/>
      <c r="H12" s="40"/>
      <c r="I12" s="40"/>
      <c r="J12" s="41"/>
    </row>
    <row r="13" spans="4:10" ht="18">
      <c r="D13" s="40">
        <v>7</v>
      </c>
      <c r="E13" s="41"/>
      <c r="F13" s="42"/>
      <c r="G13" s="40"/>
      <c r="H13" s="40"/>
      <c r="I13" s="40"/>
      <c r="J13" s="41"/>
    </row>
    <row r="14" spans="4:10" ht="18">
      <c r="D14" s="40">
        <v>8</v>
      </c>
      <c r="E14" s="41"/>
      <c r="F14" s="42"/>
      <c r="G14" s="40"/>
      <c r="H14" s="40"/>
      <c r="I14" s="40"/>
      <c r="J14" s="41"/>
    </row>
    <row r="15" spans="4:10" ht="18">
      <c r="D15" s="40">
        <v>9</v>
      </c>
      <c r="E15" s="41"/>
      <c r="F15" s="42"/>
      <c r="G15" s="40"/>
      <c r="H15" s="40"/>
      <c r="I15" s="40"/>
      <c r="J15" s="41"/>
    </row>
    <row r="16" spans="4:10" ht="18">
      <c r="D16" s="40">
        <v>10</v>
      </c>
      <c r="E16" s="41"/>
      <c r="F16" s="42"/>
      <c r="G16" s="40"/>
      <c r="H16" s="40"/>
      <c r="I16" s="40"/>
      <c r="J16" s="43"/>
    </row>
    <row r="17"/>
    <row r="18"/>
    <row r="19"/>
    <row r="20"/>
    <row r="21"/>
    <row r="22"/>
    <row r="23"/>
    <row r="24"/>
    <row r="25"/>
    <row r="26"/>
    <row r="27"/>
    <row r="28"/>
    <row r="29"/>
    <row r="30"/>
  </sheetData>
  <sheetProtection selectLockedCells="1" selectUnlockedCells="1"/>
  <mergeCells count="1">
    <mergeCell ref="D5:J5"/>
  </mergeCells>
  <hyperlinks>
    <hyperlink ref="J4" r:id="rId1" display="https://www.jkscottresearchgroup.com/" xr:uid="{27B5BC30-FFCC-4C39-B7AD-9FF7D3122556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41</v>
      </c>
      <c r="D1" t="s">
        <v>70</v>
      </c>
      <c r="E1" t="s">
        <v>77</v>
      </c>
      <c r="F1" t="s">
        <v>78</v>
      </c>
      <c r="G1" s="1" t="s">
        <v>79</v>
      </c>
      <c r="H1" s="1" t="s">
        <v>80</v>
      </c>
      <c r="I1" s="1" t="s">
        <v>81</v>
      </c>
      <c r="J1" s="7" t="s">
        <v>83</v>
      </c>
      <c r="K1" s="7" t="s">
        <v>6</v>
      </c>
      <c r="L1" t="s">
        <v>94</v>
      </c>
      <c r="M1" t="s">
        <v>90</v>
      </c>
      <c r="N1" t="s">
        <v>91</v>
      </c>
      <c r="O1" t="s">
        <v>95</v>
      </c>
      <c r="P1" t="s">
        <v>100</v>
      </c>
      <c r="Q1" t="s">
        <v>121</v>
      </c>
      <c r="R1" t="s">
        <v>129</v>
      </c>
      <c r="S1" t="s">
        <v>130</v>
      </c>
      <c r="T1" t="s">
        <v>140</v>
      </c>
      <c r="U1" t="s">
        <v>141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86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142</v>
      </c>
    </row>
    <row r="4" spans="1:21">
      <c r="A4" t="s">
        <v>93</v>
      </c>
      <c r="B4" t="s">
        <v>24</v>
      </c>
      <c r="C4" t="s">
        <v>46</v>
      </c>
      <c r="D4" t="s">
        <v>87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143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144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145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146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147</v>
      </c>
    </row>
    <row r="9" spans="1:21">
      <c r="B9" t="s">
        <v>101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148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138</v>
      </c>
    </row>
    <row r="12" spans="1:21">
      <c r="B12" t="s">
        <v>102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139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D87824-A2BC-9E41-81AD-DB03749BE1B3}">
  <sheetPr codeName="Sheet25">
    <tabColor rgb="FF00B050"/>
  </sheetPr>
  <dimension ref="A2:K11"/>
  <sheetViews>
    <sheetView showGridLines="0" topLeftCell="A2" zoomScaleNormal="100" zoomScaleSheetLayoutView="85" workbookViewId="0">
      <pane ySplit="8" topLeftCell="A10" activePane="bottomLeft" state="frozen"/>
      <selection activeCell="A10" sqref="A10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3" t="s">
        <v>32</v>
      </c>
      <c r="B3" s="63"/>
      <c r="C3" s="63"/>
      <c r="D3" s="63"/>
      <c r="E3" s="63"/>
      <c r="F3" s="63"/>
      <c r="G3" s="63"/>
      <c r="H3" s="63"/>
      <c r="I3" s="63"/>
      <c r="J3" s="63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4" t="str">
        <f>IF(COUNTIF(Table1931213142[Test 3],1)=COUNTA(Table1931213142[Value]),"Ready","Not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5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5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5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6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28.8">
      <c r="A10" s="4" t="s">
        <v>149</v>
      </c>
      <c r="B10" s="33">
        <v>0.04</v>
      </c>
      <c r="C10" s="2" t="s">
        <v>75</v>
      </c>
      <c r="D10" s="1" t="s">
        <v>24</v>
      </c>
      <c r="E10" s="1" t="s">
        <v>7</v>
      </c>
      <c r="F10" s="2" t="s">
        <v>50</v>
      </c>
      <c r="G10" s="1">
        <v>1</v>
      </c>
      <c r="H10" s="6">
        <v>1</v>
      </c>
      <c r="I10" s="6">
        <v>1</v>
      </c>
      <c r="J10" s="5" t="s">
        <v>150</v>
      </c>
    </row>
    <row r="11" spans="1:10" ht="14.4">
      <c r="A11" s="8" t="s">
        <v>88</v>
      </c>
      <c r="B11" s="34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89</v>
      </c>
    </row>
  </sheetData>
  <sheetProtection algorithmName="SHA-512" hashValue="Rq/leBQC87MAlQicwMIYJGCCsaU9F4Z/voFXMO6p1RJaIMh0XDR9kv2fYFpfLK1qyVtSBIxHx+p0r6sYYjDBfw==" saltValue="IIembNLO7xPmZzkd91yuKQ==" spinCount="100000" sheet="1" objects="1" scenarios="1" selectLockedCells="1"/>
  <mergeCells count="2">
    <mergeCell ref="A3:J3"/>
    <mergeCell ref="J4:J8"/>
  </mergeCells>
  <conditionalFormatting sqref="B11">
    <cfRule type="expression" dxfId="50" priority="7">
      <formula>IF(AND($B11&lt;&gt;"",$I11=0),1,0)</formula>
    </cfRule>
    <cfRule type="expression" dxfId="49" priority="8">
      <formula>IF($B11&lt;&gt;"",1,0)</formula>
    </cfRule>
    <cfRule type="expression" dxfId="48" priority="9">
      <formula>$I11=0</formula>
    </cfRule>
  </conditionalFormatting>
  <conditionalFormatting sqref="B10">
    <cfRule type="expression" dxfId="47" priority="1">
      <formula>IF(AND($B10&lt;&gt;"",$I10=0),1,0)</formula>
    </cfRule>
    <cfRule type="expression" dxfId="46" priority="2">
      <formula>IF($B10&lt;&gt;"",1,0)</formula>
    </cfRule>
    <cfRule type="expression" dxfId="45" priority="3">
      <formula>$I10=0</formula>
    </cfRule>
  </conditionalFormatting>
  <conditionalFormatting sqref="J4">
    <cfRule type="expression" dxfId="44" priority="2056">
      <formula>IF(COUNTA($B$10:$B$11)&lt;&gt;COUNTIF($I$10:$I$11,1),1,0)</formula>
    </cfRule>
    <cfRule type="expression" dxfId="43" priority="2057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059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9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9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34910759-4FFC-D64D-8E68-E15F007E397F}">
          <x14:formula1>
            <xm:f>References!$B$2:$B$18</xm:f>
          </x14:formula1>
          <xm:sqref>D10:D11</xm:sqref>
        </x14:dataValidation>
        <x14:dataValidation type="list" allowBlank="1" showInputMessage="1" showErrorMessage="1" xr:uid="{193DC915-CCB4-1745-ADA9-BC429DD39BF0}">
          <x14:formula1>
            <xm:f>References!$C$2:$C$23</xm:f>
          </x14:formula1>
          <xm:sqref>F10:F11</xm:sqref>
        </x14:dataValidation>
        <x14:dataValidation type="list" allowBlank="1" showInputMessage="1" showErrorMessage="1" xr:uid="{F0CA3433-B51B-8248-9178-794D42F04657}">
          <x14:formula1>
            <xm:f>References!$A$2:$A$8</xm:f>
          </x14:formula1>
          <xm:sqref>E10:E11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D201E2-297A-7C46-90E5-0DF6ABAA3972}">
  <sheetPr codeName="Sheet26">
    <tabColor rgb="FF00B050"/>
  </sheetPr>
  <dimension ref="A2:K13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3" t="s">
        <v>32</v>
      </c>
      <c r="B3" s="63"/>
      <c r="C3" s="63"/>
      <c r="D3" s="63"/>
      <c r="E3" s="63"/>
      <c r="F3" s="63"/>
      <c r="G3" s="63"/>
      <c r="H3" s="63"/>
      <c r="I3" s="63"/>
      <c r="J3" s="63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4" t="str">
        <f>IF(COUNTIF(Table1931213143[Test 3],1)=COUNTA(Table1931213143[Value]),"Ready","Not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5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5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5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6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72">
      <c r="A10" s="4" t="s">
        <v>122</v>
      </c>
      <c r="B10" s="33">
        <v>1</v>
      </c>
      <c r="C10" s="2" t="s">
        <v>3</v>
      </c>
      <c r="D10" s="1" t="s">
        <v>24</v>
      </c>
      <c r="E10" s="1" t="s">
        <v>93</v>
      </c>
      <c r="F10" s="2" t="s">
        <v>42</v>
      </c>
      <c r="G10" s="1">
        <v>1</v>
      </c>
      <c r="H10" s="1">
        <v>1</v>
      </c>
      <c r="I10" s="6">
        <v>1</v>
      </c>
      <c r="J10" s="5" t="s">
        <v>133</v>
      </c>
    </row>
    <row r="11" spans="1:10" ht="14.4">
      <c r="A11" s="4" t="s">
        <v>136</v>
      </c>
      <c r="B11" s="33"/>
      <c r="C11" s="2" t="s">
        <v>3</v>
      </c>
      <c r="D11" s="1" t="s">
        <v>24</v>
      </c>
      <c r="E11" s="1" t="s">
        <v>7</v>
      </c>
      <c r="F11" s="2" t="s">
        <v>31</v>
      </c>
      <c r="G11" s="1">
        <v>1</v>
      </c>
      <c r="H11" s="1">
        <v>1</v>
      </c>
      <c r="I11" s="44">
        <f>IF($B$10=0,0,IF($B$10=1,0,IF($B$10=2,1,IF($B$10=3,1,0))))</f>
        <v>0</v>
      </c>
      <c r="J11" s="5" t="s">
        <v>134</v>
      </c>
    </row>
    <row r="12" spans="1:10" ht="14.4">
      <c r="A12" s="4" t="s">
        <v>137</v>
      </c>
      <c r="B12" s="33"/>
      <c r="C12" s="2" t="s">
        <v>3</v>
      </c>
      <c r="D12" s="1" t="s">
        <v>24</v>
      </c>
      <c r="E12" s="1" t="s">
        <v>7</v>
      </c>
      <c r="F12" s="2" t="s">
        <v>31</v>
      </c>
      <c r="G12" s="1">
        <v>1</v>
      </c>
      <c r="H12" s="1">
        <v>1</v>
      </c>
      <c r="I12" s="44">
        <f>IF($B$10=0,0,IF($B$10=1,0,IF($B$10=2,1,IF($B$10=3,1,0))))</f>
        <v>0</v>
      </c>
      <c r="J12" s="5" t="s">
        <v>135</v>
      </c>
    </row>
    <row r="13" spans="1:10" ht="14.4">
      <c r="A13" s="8" t="s">
        <v>88</v>
      </c>
      <c r="B13" s="34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89</v>
      </c>
    </row>
  </sheetData>
  <sheetProtection algorithmName="SHA-512" hashValue="PQPa496iwQglvXa2z5KzYObMkTVtkgkX7PT0a1tYxiwiz+nGXWNZ8BzSz/sI6iN6+8n1fPZq+PECXFpdflVXcw==" saltValue="6x4cjOJ4fJrg1AaaVG/Fvg==" spinCount="100000" sheet="1" objects="1" scenarios="1" selectLockedCells="1"/>
  <mergeCells count="2">
    <mergeCell ref="A3:J3"/>
    <mergeCell ref="J4:J8"/>
  </mergeCells>
  <conditionalFormatting sqref="B11:B13">
    <cfRule type="expression" dxfId="42" priority="7">
      <formula>IF(AND($B11&lt;&gt;"",$I11=0),1,0)</formula>
    </cfRule>
    <cfRule type="expression" dxfId="41" priority="8">
      <formula>IF($B11&lt;&gt;"",1,0)</formula>
    </cfRule>
    <cfRule type="expression" dxfId="40" priority="9">
      <formula>$I11=0</formula>
    </cfRule>
  </conditionalFormatting>
  <conditionalFormatting sqref="B10">
    <cfRule type="expression" dxfId="39" priority="1">
      <formula>IF(AND($B10&lt;&gt;"",$I10=0),1,0)</formula>
    </cfRule>
    <cfRule type="expression" dxfId="38" priority="2">
      <formula>IF($B10&lt;&gt;"",1,0)</formula>
    </cfRule>
    <cfRule type="expression" dxfId="37" priority="3">
      <formula>$I10=0</formula>
    </cfRule>
  </conditionalFormatting>
  <conditionalFormatting sqref="J4">
    <cfRule type="expression" dxfId="36" priority="2058">
      <formula>IF(COUNTA($B$10:$B$13)&lt;&gt;COUNTIF($I$10:$I$13,1),1,0)</formula>
    </cfRule>
    <cfRule type="expression" dxfId="35" priority="2059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161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1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1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3E04AF2-254C-6C4D-A105-B789EECC958B}">
          <x14:formula1>
            <xm:f>References!$B$2:$B$18</xm:f>
          </x14:formula1>
          <xm:sqref>D10:D13</xm:sqref>
        </x14:dataValidation>
        <x14:dataValidation type="list" allowBlank="1" showInputMessage="1" showErrorMessage="1" xr:uid="{02303146-99CB-4341-90C0-2C9802F02C3F}">
          <x14:formula1>
            <xm:f>References!$C$2:$C$23</xm:f>
          </x14:formula1>
          <xm:sqref>F10:F13</xm:sqref>
        </x14:dataValidation>
        <x14:dataValidation type="list" allowBlank="1" showInputMessage="1" showErrorMessage="1" xr:uid="{BF3CF678-00F9-9841-A142-62A64A4E167A}">
          <x14:formula1>
            <xm:f>References!$A$2:$A$8</xm:f>
          </x14:formula1>
          <xm:sqref>E10:E13</xm:sqref>
        </x14:dataValidation>
        <x14:dataValidation type="list" allowBlank="1" showInputMessage="1" showErrorMessage="1" xr:uid="{076B91D1-E815-0642-954A-F4553A7A92C2}">
          <x14:formula1>
            <xm:f>References!$Q$2:$Q$6</xm:f>
          </x14:formula1>
          <xm:sqref>B10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36FA4F-CFA7-D745-A17C-83959FDCE815}">
  <sheetPr codeName="Sheet27">
    <tabColor rgb="FF00B050"/>
  </sheetPr>
  <dimension ref="A2:K12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3" t="s">
        <v>32</v>
      </c>
      <c r="B3" s="63"/>
      <c r="C3" s="63"/>
      <c r="D3" s="63"/>
      <c r="E3" s="63"/>
      <c r="F3" s="63"/>
      <c r="G3" s="63"/>
      <c r="H3" s="63"/>
      <c r="I3" s="63"/>
      <c r="J3" s="63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4" t="str">
        <f>IF(COUNTIF(Table1931213144[Test 3],1)=COUNTA(Table1931213144[Value]),"Ready","Not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5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5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5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6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28.8">
      <c r="A10" s="4" t="s">
        <v>66</v>
      </c>
      <c r="B10" s="33">
        <v>1.552E-3</v>
      </c>
      <c r="C10" s="2" t="s">
        <v>21</v>
      </c>
      <c r="D10" s="1" t="s">
        <v>24</v>
      </c>
      <c r="E10" s="1" t="s">
        <v>7</v>
      </c>
      <c r="F10" s="2" t="s">
        <v>42</v>
      </c>
      <c r="G10" s="1">
        <v>1</v>
      </c>
      <c r="H10" s="6">
        <v>1</v>
      </c>
      <c r="I10" s="6">
        <v>1</v>
      </c>
      <c r="J10" s="5" t="s">
        <v>120</v>
      </c>
    </row>
    <row r="11" spans="1:10" ht="28.8">
      <c r="A11" s="4" t="s">
        <v>67</v>
      </c>
      <c r="B11" s="33">
        <v>8.0999999999999996E-4</v>
      </c>
      <c r="C11" s="2" t="s">
        <v>21</v>
      </c>
      <c r="D11" s="1" t="s">
        <v>24</v>
      </c>
      <c r="E11" s="1" t="s">
        <v>7</v>
      </c>
      <c r="F11" s="2" t="s">
        <v>42</v>
      </c>
      <c r="G11" s="1">
        <v>1</v>
      </c>
      <c r="H11" s="6">
        <v>1</v>
      </c>
      <c r="I11" s="6">
        <v>1</v>
      </c>
      <c r="J11" s="5" t="s">
        <v>92</v>
      </c>
    </row>
    <row r="12" spans="1:10" ht="14.4">
      <c r="A12" s="8" t="s">
        <v>88</v>
      </c>
      <c r="B12" s="34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89</v>
      </c>
    </row>
  </sheetData>
  <sheetProtection algorithmName="SHA-512" hashValue="wdXHVc4emkViGH28Qh1nwWbtqVqLfVkvtAGkeB19fVVlWPSg8znqJdMfYix7V+b5o9qkmOAlSkY594Hc3QxI9Q==" saltValue="vd92mMkquxP3i/Ni4AdBWw==" spinCount="100000" sheet="1" objects="1" scenarios="1" selectLockedCells="1"/>
  <mergeCells count="2">
    <mergeCell ref="A3:J3"/>
    <mergeCell ref="J4:J8"/>
  </mergeCells>
  <conditionalFormatting sqref="B10:B12">
    <cfRule type="expression" dxfId="34" priority="7">
      <formula>IF(AND($B10&lt;&gt;"",$I10=0),1,0)</formula>
    </cfRule>
    <cfRule type="expression" dxfId="33" priority="8">
      <formula>IF($B10&lt;&gt;"",1,0)</formula>
    </cfRule>
    <cfRule type="expression" dxfId="32" priority="9">
      <formula>$I10=0</formula>
    </cfRule>
  </conditionalFormatting>
  <conditionalFormatting sqref="J4">
    <cfRule type="expression" dxfId="31" priority="2062">
      <formula>IF(COUNTA($B$10:$B$12)&lt;&gt;COUNTIF($I$10:$I$12,1),1,0)</formula>
    </cfRule>
    <cfRule type="expression" dxfId="30" priority="2063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4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4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4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1A080B70-77CC-7F4A-BE8D-3F95A2AF3C74}">
          <x14:formula1>
            <xm:f>References!$B$2:$B$18</xm:f>
          </x14:formula1>
          <xm:sqref>D10:D12</xm:sqref>
        </x14:dataValidation>
        <x14:dataValidation type="list" allowBlank="1" showInputMessage="1" showErrorMessage="1" xr:uid="{DA4E0C75-1855-6742-B807-BB864EF592A1}">
          <x14:formula1>
            <xm:f>References!$C$2:$C$23</xm:f>
          </x14:formula1>
          <xm:sqref>F10:F12</xm:sqref>
        </x14:dataValidation>
        <x14:dataValidation type="list" allowBlank="1" showInputMessage="1" showErrorMessage="1" xr:uid="{0156DE2C-5C8B-4947-88A1-A4D8A0ECFC32}">
          <x14:formula1>
            <xm:f>References!$A$2:$A$8</xm:f>
          </x14:formula1>
          <xm:sqref>E10:E12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19DD69-A68F-4B13-A02E-97F7AC27C679}">
  <sheetPr codeName="Sheet22">
    <tabColor rgb="FF00B050"/>
  </sheetPr>
  <dimension ref="A1:K45"/>
  <sheetViews>
    <sheetView showGridLines="0" tabSelected="1" topLeftCell="A2" zoomScaleNormal="100" zoomScaleSheetLayoutView="85" workbookViewId="0">
      <pane ySplit="8" topLeftCell="A10" activePane="bottomLeft" state="frozen"/>
      <selection activeCell="A10" sqref="A10:J10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55" customHeight="1"/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3" t="s">
        <v>32</v>
      </c>
      <c r="B3" s="63"/>
      <c r="C3" s="63"/>
      <c r="D3" s="63"/>
      <c r="E3" s="63"/>
      <c r="F3" s="63"/>
      <c r="G3" s="63"/>
      <c r="H3" s="63"/>
      <c r="I3" s="63"/>
      <c r="J3" s="63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4" t="str">
        <f>IF(COUNTIF(Table193121314[Test 3],1)=COUNTA(Table193121314[Value]),"Ready","Not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5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5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5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6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28.8">
      <c r="A10" s="46" t="s">
        <v>132</v>
      </c>
      <c r="B10" s="33">
        <v>318.14999999999998</v>
      </c>
      <c r="C10" s="35" t="s">
        <v>20</v>
      </c>
      <c r="D10" s="1" t="s">
        <v>24</v>
      </c>
      <c r="E10" s="1" t="s">
        <v>7</v>
      </c>
      <c r="F10" s="2" t="s">
        <v>49</v>
      </c>
      <c r="G10" s="1">
        <v>1</v>
      </c>
      <c r="H10" s="1">
        <v>1</v>
      </c>
      <c r="I10" s="6">
        <v>1</v>
      </c>
      <c r="J10" s="5" t="s">
        <v>162</v>
      </c>
    </row>
    <row r="11" spans="1:10" ht="87.6">
      <c r="A11" s="59" t="s">
        <v>157</v>
      </c>
      <c r="B11" s="33">
        <f>0.00328*760*1000/22413</f>
        <v>0.11122116628742247</v>
      </c>
      <c r="C11" s="57" t="s">
        <v>159</v>
      </c>
      <c r="D11" s="1" t="s">
        <v>24</v>
      </c>
      <c r="E11" s="1" t="s">
        <v>7</v>
      </c>
      <c r="F11" s="2" t="s">
        <v>5</v>
      </c>
      <c r="G11" s="56">
        <v>1</v>
      </c>
      <c r="H11" s="58">
        <f>[1]Initialization!$B$10</f>
        <v>2</v>
      </c>
      <c r="I11" s="61">
        <f>IF('[2]Model Selection'!$B$10=1,1,0)</f>
        <v>1</v>
      </c>
      <c r="J11" s="60" t="s">
        <v>180</v>
      </c>
    </row>
    <row r="12" spans="1:10" ht="87.6">
      <c r="A12" s="59" t="s">
        <v>158</v>
      </c>
      <c r="B12" s="33">
        <f>0.006*760*1000/22413</f>
        <v>0.20345335296479725</v>
      </c>
      <c r="C12" s="57" t="s">
        <v>159</v>
      </c>
      <c r="D12" s="1" t="s">
        <v>24</v>
      </c>
      <c r="E12" s="1" t="s">
        <v>7</v>
      </c>
      <c r="F12" s="2" t="s">
        <v>5</v>
      </c>
      <c r="G12" s="56"/>
      <c r="H12" s="58">
        <f>[1]Initialization!$B$10</f>
        <v>2</v>
      </c>
      <c r="I12" s="61">
        <f>IF('[2]Model Selection'!$B$10=1,1,0)</f>
        <v>1</v>
      </c>
      <c r="J12" s="60" t="s">
        <v>180</v>
      </c>
    </row>
    <row r="13" spans="1:10" ht="58.8">
      <c r="A13" s="4" t="s">
        <v>71</v>
      </c>
      <c r="B13" s="33"/>
      <c r="C13" s="57" t="s">
        <v>161</v>
      </c>
      <c r="D13" s="1" t="s">
        <v>24</v>
      </c>
      <c r="E13" s="1" t="s">
        <v>7</v>
      </c>
      <c r="F13" s="2" t="s">
        <v>5</v>
      </c>
      <c r="G13" s="1">
        <v>1</v>
      </c>
      <c r="H13" s="55">
        <f>[1]Initialization!$B$10</f>
        <v>2</v>
      </c>
      <c r="I13" s="44">
        <f>IF(OR('[2]Model Selection'!$B$10=2,'[2]Model Selection'!$B$10=3),1,0)</f>
        <v>0</v>
      </c>
      <c r="J13" s="5" t="s">
        <v>188</v>
      </c>
    </row>
    <row r="14" spans="1:10" ht="58.8">
      <c r="A14" s="4" t="s">
        <v>74</v>
      </c>
      <c r="B14" s="33"/>
      <c r="C14" s="57" t="s">
        <v>161</v>
      </c>
      <c r="D14" s="1" t="s">
        <v>24</v>
      </c>
      <c r="E14" s="1" t="s">
        <v>7</v>
      </c>
      <c r="F14" s="2" t="s">
        <v>5</v>
      </c>
      <c r="G14" s="1"/>
      <c r="H14" s="55">
        <f>[1]Initialization!$B$10</f>
        <v>2</v>
      </c>
      <c r="I14" s="44">
        <f>IF(OR('[2]Model Selection'!$B$10=2,'[2]Model Selection'!$B$10=3),1,0)</f>
        <v>0</v>
      </c>
      <c r="J14" s="5" t="s">
        <v>188</v>
      </c>
    </row>
    <row r="15" spans="1:10" ht="58.8">
      <c r="A15" s="4" t="s">
        <v>72</v>
      </c>
      <c r="B15" s="33"/>
      <c r="C15" s="2" t="s">
        <v>160</v>
      </c>
      <c r="D15" s="1" t="s">
        <v>24</v>
      </c>
      <c r="E15" s="1" t="s">
        <v>7</v>
      </c>
      <c r="F15" s="2" t="s">
        <v>5</v>
      </c>
      <c r="G15" s="1">
        <v>1</v>
      </c>
      <c r="H15" s="55">
        <f>[1]Initialization!$B$10</f>
        <v>2</v>
      </c>
      <c r="I15" s="44">
        <f>IF('[2]Model Selection'!$B$10=2,1,0)</f>
        <v>0</v>
      </c>
      <c r="J15" s="5" t="s">
        <v>181</v>
      </c>
    </row>
    <row r="16" spans="1:10" ht="58.8">
      <c r="A16" s="4" t="s">
        <v>73</v>
      </c>
      <c r="B16" s="33"/>
      <c r="C16" s="2" t="s">
        <v>160</v>
      </c>
      <c r="D16" s="1" t="s">
        <v>24</v>
      </c>
      <c r="E16" s="1" t="s">
        <v>7</v>
      </c>
      <c r="F16" s="2" t="s">
        <v>5</v>
      </c>
      <c r="G16" s="1"/>
      <c r="H16" s="55">
        <f>[1]Initialization!$B$10</f>
        <v>2</v>
      </c>
      <c r="I16" s="44">
        <f>IF('[2]Model Selection'!$B$10=2,1,0)</f>
        <v>0</v>
      </c>
      <c r="J16" s="5" t="s">
        <v>181</v>
      </c>
    </row>
    <row r="17" spans="1:10" ht="102">
      <c r="A17" s="59" t="s">
        <v>163</v>
      </c>
      <c r="B17" s="33"/>
      <c r="C17" s="57" t="s">
        <v>160</v>
      </c>
      <c r="D17" s="1" t="s">
        <v>24</v>
      </c>
      <c r="E17" s="1" t="s">
        <v>7</v>
      </c>
      <c r="F17" s="2" t="s">
        <v>5</v>
      </c>
      <c r="G17" s="1">
        <v>1</v>
      </c>
      <c r="H17" s="55">
        <f>[1]Initialization!$B$10</f>
        <v>2</v>
      </c>
      <c r="I17" s="44">
        <f>IF('[2]Model Selection'!$B$10=3,1,0)</f>
        <v>0</v>
      </c>
      <c r="J17" s="60" t="s">
        <v>182</v>
      </c>
    </row>
    <row r="18" spans="1:10" ht="102">
      <c r="A18" s="59" t="s">
        <v>164</v>
      </c>
      <c r="B18" s="33"/>
      <c r="C18" s="57" t="s">
        <v>160</v>
      </c>
      <c r="D18" s="1" t="s">
        <v>24</v>
      </c>
      <c r="E18" s="1" t="s">
        <v>7</v>
      </c>
      <c r="F18" s="2" t="s">
        <v>5</v>
      </c>
      <c r="G18" s="56"/>
      <c r="H18" s="55">
        <f>[1]Initialization!$B$10</f>
        <v>2</v>
      </c>
      <c r="I18" s="44">
        <f>IF('[2]Model Selection'!$B$10=3,1,0)</f>
        <v>0</v>
      </c>
      <c r="J18" s="60" t="s">
        <v>182</v>
      </c>
    </row>
    <row r="19" spans="1:10" ht="58.8">
      <c r="A19" s="59" t="s">
        <v>165</v>
      </c>
      <c r="B19" s="33"/>
      <c r="C19" s="57" t="s">
        <v>3</v>
      </c>
      <c r="D19" s="1" t="s">
        <v>24</v>
      </c>
      <c r="E19" s="1" t="s">
        <v>7</v>
      </c>
      <c r="F19" s="2" t="s">
        <v>5</v>
      </c>
      <c r="G19" s="1">
        <v>1</v>
      </c>
      <c r="H19" s="55">
        <f>[1]Initialization!$B$10</f>
        <v>2</v>
      </c>
      <c r="I19" s="44">
        <f>IF('[2]Model Selection'!$B$10=3,1,0)</f>
        <v>0</v>
      </c>
      <c r="J19" s="60" t="s">
        <v>183</v>
      </c>
    </row>
    <row r="20" spans="1:10" ht="58.8">
      <c r="A20" s="59" t="s">
        <v>166</v>
      </c>
      <c r="B20" s="33"/>
      <c r="C20" s="57" t="s">
        <v>3</v>
      </c>
      <c r="D20" s="1" t="s">
        <v>24</v>
      </c>
      <c r="E20" s="1" t="s">
        <v>7</v>
      </c>
      <c r="F20" s="2" t="s">
        <v>5</v>
      </c>
      <c r="G20" s="56"/>
      <c r="H20" s="55">
        <f>[1]Initialization!$B$10</f>
        <v>2</v>
      </c>
      <c r="I20" s="44">
        <f>IF('[2]Model Selection'!$B$10=3,1,0)</f>
        <v>0</v>
      </c>
      <c r="J20" s="60" t="s">
        <v>183</v>
      </c>
    </row>
    <row r="21" spans="1:10" ht="58.8">
      <c r="A21" s="59" t="s">
        <v>167</v>
      </c>
      <c r="B21" s="33"/>
      <c r="C21" s="57" t="s">
        <v>161</v>
      </c>
      <c r="D21" s="1" t="s">
        <v>24</v>
      </c>
      <c r="E21" s="1" t="s">
        <v>7</v>
      </c>
      <c r="F21" s="2" t="s">
        <v>5</v>
      </c>
      <c r="G21" s="1">
        <v>1</v>
      </c>
      <c r="H21" s="55">
        <f>[1]Initialization!$B$10</f>
        <v>2</v>
      </c>
      <c r="I21" s="44">
        <f>IF('[2]Model Selection'!$B$10=4,1,0)</f>
        <v>0</v>
      </c>
      <c r="J21" s="60" t="s">
        <v>184</v>
      </c>
    </row>
    <row r="22" spans="1:10" ht="58.8">
      <c r="A22" s="59" t="s">
        <v>168</v>
      </c>
      <c r="B22" s="33"/>
      <c r="C22" s="57" t="s">
        <v>161</v>
      </c>
      <c r="D22" s="1" t="s">
        <v>24</v>
      </c>
      <c r="E22" s="1" t="s">
        <v>7</v>
      </c>
      <c r="F22" s="2" t="s">
        <v>5</v>
      </c>
      <c r="G22" s="56"/>
      <c r="H22" s="55">
        <f>[1]Initialization!$B$10</f>
        <v>2</v>
      </c>
      <c r="I22" s="44">
        <f>IF('[2]Model Selection'!$B$10=4,1,0)</f>
        <v>0</v>
      </c>
      <c r="J22" s="60" t="s">
        <v>184</v>
      </c>
    </row>
    <row r="23" spans="1:10" ht="58.8">
      <c r="A23" s="59" t="s">
        <v>169</v>
      </c>
      <c r="B23" s="33"/>
      <c r="C23" s="57" t="s">
        <v>179</v>
      </c>
      <c r="D23" s="1" t="s">
        <v>24</v>
      </c>
      <c r="E23" s="1" t="s">
        <v>7</v>
      </c>
      <c r="F23" s="2" t="s">
        <v>5</v>
      </c>
      <c r="G23" s="1">
        <v>1</v>
      </c>
      <c r="H23" s="55">
        <f>[1]Initialization!$B$10</f>
        <v>2</v>
      </c>
      <c r="I23" s="44">
        <f>IF('[2]Model Selection'!$B$10=4,1,0)</f>
        <v>0</v>
      </c>
      <c r="J23" s="60" t="s">
        <v>185</v>
      </c>
    </row>
    <row r="24" spans="1:10" ht="58.8">
      <c r="A24" s="59" t="s">
        <v>170</v>
      </c>
      <c r="B24" s="33"/>
      <c r="C24" s="57" t="s">
        <v>179</v>
      </c>
      <c r="D24" s="1" t="s">
        <v>24</v>
      </c>
      <c r="E24" s="1" t="s">
        <v>7</v>
      </c>
      <c r="F24" s="2" t="s">
        <v>5</v>
      </c>
      <c r="G24" s="56"/>
      <c r="H24" s="55">
        <f>[1]Initialization!$B$10</f>
        <v>2</v>
      </c>
      <c r="I24" s="44">
        <f>IF('[2]Model Selection'!$B$10=4,1,0)</f>
        <v>0</v>
      </c>
      <c r="J24" s="60" t="s">
        <v>185</v>
      </c>
    </row>
    <row r="25" spans="1:10" ht="58.8">
      <c r="A25" s="59" t="s">
        <v>171</v>
      </c>
      <c r="B25" s="33"/>
      <c r="C25" s="57" t="s">
        <v>189</v>
      </c>
      <c r="D25" s="1" t="s">
        <v>24</v>
      </c>
      <c r="E25" s="1" t="s">
        <v>7</v>
      </c>
      <c r="F25" s="2" t="s">
        <v>5</v>
      </c>
      <c r="G25" s="1">
        <v>1</v>
      </c>
      <c r="H25" s="55">
        <f>[1]Initialization!$B$10</f>
        <v>2</v>
      </c>
      <c r="I25" s="44">
        <f>IF('[2]Model Selection'!$B$10=4,1,0)</f>
        <v>0</v>
      </c>
      <c r="J25" s="60" t="s">
        <v>186</v>
      </c>
    </row>
    <row r="26" spans="1:10" ht="58.8">
      <c r="A26" s="59" t="s">
        <v>172</v>
      </c>
      <c r="B26" s="33"/>
      <c r="C26" s="57" t="s">
        <v>189</v>
      </c>
      <c r="D26" s="1" t="s">
        <v>24</v>
      </c>
      <c r="E26" s="1" t="s">
        <v>7</v>
      </c>
      <c r="F26" s="2" t="s">
        <v>5</v>
      </c>
      <c r="G26" s="56"/>
      <c r="H26" s="55">
        <f>[1]Initialization!$B$10</f>
        <v>2</v>
      </c>
      <c r="I26" s="44">
        <f>IF('[2]Model Selection'!$B$10=4,1,0)</f>
        <v>0</v>
      </c>
      <c r="J26" s="60" t="s">
        <v>186</v>
      </c>
    </row>
    <row r="27" spans="1:10" ht="58.8">
      <c r="A27" s="59" t="s">
        <v>173</v>
      </c>
      <c r="B27" s="33"/>
      <c r="C27" s="57" t="s">
        <v>20</v>
      </c>
      <c r="D27" s="1" t="s">
        <v>24</v>
      </c>
      <c r="E27" s="1" t="s">
        <v>7</v>
      </c>
      <c r="F27" s="2" t="s">
        <v>5</v>
      </c>
      <c r="G27" s="1">
        <v>1</v>
      </c>
      <c r="H27" s="55">
        <f>[1]Initialization!$B$10</f>
        <v>2</v>
      </c>
      <c r="I27" s="44">
        <f>IF('[2]Model Selection'!$B$10=4,1,0)</f>
        <v>0</v>
      </c>
      <c r="J27" s="60" t="s">
        <v>187</v>
      </c>
    </row>
    <row r="28" spans="1:10" ht="58.8">
      <c r="A28" s="59" t="s">
        <v>174</v>
      </c>
      <c r="B28" s="33"/>
      <c r="C28" s="57" t="s">
        <v>20</v>
      </c>
      <c r="D28" s="1" t="s">
        <v>24</v>
      </c>
      <c r="E28" s="1" t="s">
        <v>7</v>
      </c>
      <c r="F28" s="2" t="s">
        <v>5</v>
      </c>
      <c r="G28" s="56"/>
      <c r="H28" s="55">
        <f>[1]Initialization!$B$10</f>
        <v>2</v>
      </c>
      <c r="I28" s="44">
        <f>IF('[2]Model Selection'!$B$10=4,1,0)</f>
        <v>0</v>
      </c>
      <c r="J28" s="60" t="s">
        <v>187</v>
      </c>
    </row>
    <row r="29" spans="1:10" ht="87.6">
      <c r="A29" s="59" t="s">
        <v>175</v>
      </c>
      <c r="B29" s="33"/>
      <c r="C29" s="57" t="s">
        <v>3</v>
      </c>
      <c r="D29" s="1" t="s">
        <v>24</v>
      </c>
      <c r="E29" s="1" t="s">
        <v>7</v>
      </c>
      <c r="F29" s="2" t="s">
        <v>5</v>
      </c>
      <c r="G29" s="1">
        <v>1</v>
      </c>
      <c r="H29" s="55">
        <f>[1]Initialization!$B$10</f>
        <v>2</v>
      </c>
      <c r="I29" s="44">
        <f>IF('[2]Model Selection'!$B$10=4,1,0)</f>
        <v>0</v>
      </c>
      <c r="J29" s="60" t="s">
        <v>190</v>
      </c>
    </row>
    <row r="30" spans="1:10" ht="87.6">
      <c r="A30" s="59" t="s">
        <v>176</v>
      </c>
      <c r="B30" s="33"/>
      <c r="C30" s="57" t="s">
        <v>3</v>
      </c>
      <c r="D30" s="1" t="s">
        <v>24</v>
      </c>
      <c r="E30" s="1" t="s">
        <v>7</v>
      </c>
      <c r="F30" s="2" t="s">
        <v>5</v>
      </c>
      <c r="G30" s="56"/>
      <c r="H30" s="55">
        <f>[1]Initialization!$B$10</f>
        <v>2</v>
      </c>
      <c r="I30" s="44">
        <f>IF('[2]Model Selection'!$B$10=4,1,0)</f>
        <v>0</v>
      </c>
      <c r="J30" s="60" t="s">
        <v>190</v>
      </c>
    </row>
    <row r="31" spans="1:10" ht="58.8">
      <c r="A31" s="59" t="s">
        <v>177</v>
      </c>
      <c r="B31" s="33"/>
      <c r="C31" s="57" t="s">
        <v>20</v>
      </c>
      <c r="D31" s="1" t="s">
        <v>24</v>
      </c>
      <c r="E31" s="1" t="s">
        <v>7</v>
      </c>
      <c r="F31" s="2" t="s">
        <v>5</v>
      </c>
      <c r="G31" s="1">
        <v>1</v>
      </c>
      <c r="H31" s="55">
        <f>[1]Initialization!$B$10</f>
        <v>2</v>
      </c>
      <c r="I31" s="44">
        <f>IF('[2]Model Selection'!$B$10=4,1,0)</f>
        <v>0</v>
      </c>
      <c r="J31" s="60" t="s">
        <v>191</v>
      </c>
    </row>
    <row r="32" spans="1:10" ht="58.8">
      <c r="A32" s="46" t="s">
        <v>178</v>
      </c>
      <c r="B32" s="33"/>
      <c r="C32" s="35" t="s">
        <v>20</v>
      </c>
      <c r="D32" s="1" t="s">
        <v>24</v>
      </c>
      <c r="E32" s="1" t="s">
        <v>7</v>
      </c>
      <c r="F32" s="2" t="s">
        <v>5</v>
      </c>
      <c r="G32" s="56"/>
      <c r="H32" s="55">
        <f>[1]Initialization!$B$10</f>
        <v>2</v>
      </c>
      <c r="I32" s="44">
        <f>IF('[2]Model Selection'!$B$10=4,1,0)</f>
        <v>0</v>
      </c>
      <c r="J32" s="60" t="s">
        <v>191</v>
      </c>
    </row>
    <row r="33" spans="1:10" ht="43.2">
      <c r="A33" s="69" t="s">
        <v>192</v>
      </c>
      <c r="B33" s="70"/>
      <c r="C33" s="35" t="s">
        <v>161</v>
      </c>
      <c r="D33" s="1" t="s">
        <v>24</v>
      </c>
      <c r="E33" s="1" t="s">
        <v>11</v>
      </c>
      <c r="F33" s="2" t="s">
        <v>5</v>
      </c>
      <c r="G33" s="1">
        <v>1</v>
      </c>
      <c r="H33" s="55">
        <f>[1]Initialization!$B$10</f>
        <v>2</v>
      </c>
      <c r="I33" s="44">
        <f>IF(OR('[2]Model Selection'!$B$10=5,'[2]Model Selection'!$B$10=6),1,0)</f>
        <v>0</v>
      </c>
      <c r="J33" s="71" t="s">
        <v>193</v>
      </c>
    </row>
    <row r="34" spans="1:10" ht="43.2">
      <c r="A34" s="69" t="s">
        <v>194</v>
      </c>
      <c r="B34" s="70"/>
      <c r="C34" s="35" t="s">
        <v>161</v>
      </c>
      <c r="D34" s="1" t="s">
        <v>24</v>
      </c>
      <c r="E34" s="1" t="s">
        <v>11</v>
      </c>
      <c r="F34" s="2" t="s">
        <v>5</v>
      </c>
      <c r="G34" s="1"/>
      <c r="H34" s="55">
        <f>[1]Initialization!$B$10</f>
        <v>2</v>
      </c>
      <c r="I34" s="44">
        <f>IF(OR('[2]Model Selection'!$B$10=5,'[2]Model Selection'!$B$10=6),1,0)</f>
        <v>0</v>
      </c>
      <c r="J34" s="71" t="s">
        <v>195</v>
      </c>
    </row>
    <row r="35" spans="1:10" ht="43.2">
      <c r="A35" s="69" t="s">
        <v>196</v>
      </c>
      <c r="B35" s="70"/>
      <c r="C35" s="35" t="s">
        <v>161</v>
      </c>
      <c r="D35" s="1" t="s">
        <v>24</v>
      </c>
      <c r="E35" s="1" t="s">
        <v>11</v>
      </c>
      <c r="F35" s="2" t="s">
        <v>5</v>
      </c>
      <c r="G35" s="1">
        <v>1</v>
      </c>
      <c r="H35" s="55">
        <f>[1]Initialization!$B$10</f>
        <v>2</v>
      </c>
      <c r="I35" s="44">
        <f>IF(OR('[2]Model Selection'!$B$10=5,'[2]Model Selection'!$B$10=6),1,0)</f>
        <v>0</v>
      </c>
      <c r="J35" s="71" t="s">
        <v>197</v>
      </c>
    </row>
    <row r="36" spans="1:10" ht="43.2">
      <c r="A36" s="69" t="s">
        <v>198</v>
      </c>
      <c r="B36" s="70"/>
      <c r="C36" s="35" t="s">
        <v>161</v>
      </c>
      <c r="D36" s="1" t="s">
        <v>24</v>
      </c>
      <c r="E36" s="1" t="s">
        <v>11</v>
      </c>
      <c r="F36" s="2" t="s">
        <v>5</v>
      </c>
      <c r="G36" s="1"/>
      <c r="H36" s="55">
        <f>[1]Initialization!$B$10</f>
        <v>2</v>
      </c>
      <c r="I36" s="44">
        <f>IF(OR('[2]Model Selection'!$B$10=5,'[2]Model Selection'!$B$10=6),1,0)</f>
        <v>0</v>
      </c>
      <c r="J36" s="71" t="s">
        <v>199</v>
      </c>
    </row>
    <row r="37" spans="1:10" ht="43.2">
      <c r="A37" s="69" t="s">
        <v>200</v>
      </c>
      <c r="B37" s="70"/>
      <c r="C37" s="35" t="s">
        <v>160</v>
      </c>
      <c r="D37" s="1" t="s">
        <v>24</v>
      </c>
      <c r="E37" s="1" t="s">
        <v>11</v>
      </c>
      <c r="F37" s="2" t="s">
        <v>5</v>
      </c>
      <c r="G37" s="1">
        <v>1</v>
      </c>
      <c r="H37" s="55">
        <f>[1]Initialization!$B$10</f>
        <v>2</v>
      </c>
      <c r="I37" s="44">
        <f>IF(OR('[2]Model Selection'!$B$10=5,'[2]Model Selection'!$B$10=6),1,0)</f>
        <v>0</v>
      </c>
      <c r="J37" s="71" t="s">
        <v>201</v>
      </c>
    </row>
    <row r="38" spans="1:10" ht="43.2">
      <c r="A38" s="69" t="s">
        <v>202</v>
      </c>
      <c r="B38" s="70"/>
      <c r="C38" s="35" t="s">
        <v>160</v>
      </c>
      <c r="D38" s="1" t="s">
        <v>24</v>
      </c>
      <c r="E38" s="1" t="s">
        <v>11</v>
      </c>
      <c r="F38" s="2" t="s">
        <v>5</v>
      </c>
      <c r="G38" s="1"/>
      <c r="H38" s="55">
        <f>[1]Initialization!$B$10</f>
        <v>2</v>
      </c>
      <c r="I38" s="44">
        <f>IF(OR('[2]Model Selection'!$B$10=5,'[2]Model Selection'!$B$10=6),1,0)</f>
        <v>0</v>
      </c>
      <c r="J38" s="71" t="s">
        <v>203</v>
      </c>
    </row>
    <row r="39" spans="1:10" ht="43.2">
      <c r="A39" s="69" t="s">
        <v>204</v>
      </c>
      <c r="B39" s="70"/>
      <c r="C39" s="35" t="s">
        <v>160</v>
      </c>
      <c r="D39" s="1" t="s">
        <v>24</v>
      </c>
      <c r="E39" s="1" t="s">
        <v>11</v>
      </c>
      <c r="F39" s="2" t="s">
        <v>5</v>
      </c>
      <c r="G39" s="1">
        <v>1</v>
      </c>
      <c r="H39" s="55">
        <f>[1]Initialization!$B$10</f>
        <v>2</v>
      </c>
      <c r="I39" s="44">
        <f>IF(OR('[2]Model Selection'!$B$10=5,'[2]Model Selection'!$B$10=6),1,0)</f>
        <v>0</v>
      </c>
      <c r="J39" s="71" t="s">
        <v>205</v>
      </c>
    </row>
    <row r="40" spans="1:10" ht="43.2">
      <c r="A40" s="69" t="s">
        <v>206</v>
      </c>
      <c r="B40" s="70"/>
      <c r="C40" s="35" t="s">
        <v>160</v>
      </c>
      <c r="D40" s="1" t="s">
        <v>24</v>
      </c>
      <c r="E40" s="1" t="s">
        <v>11</v>
      </c>
      <c r="F40" s="2" t="s">
        <v>5</v>
      </c>
      <c r="G40" s="1"/>
      <c r="H40" s="55">
        <f>[1]Initialization!$B$10</f>
        <v>2</v>
      </c>
      <c r="I40" s="44">
        <f>IF(OR('[2]Model Selection'!$B$10=5,'[2]Model Selection'!$B$10=6),1,0)</f>
        <v>0</v>
      </c>
      <c r="J40" s="71" t="s">
        <v>207</v>
      </c>
    </row>
    <row r="41" spans="1:10" ht="43.2">
      <c r="A41" s="69" t="s">
        <v>208</v>
      </c>
      <c r="B41" s="70"/>
      <c r="C41" s="35" t="s">
        <v>3</v>
      </c>
      <c r="D41" s="1" t="s">
        <v>24</v>
      </c>
      <c r="E41" s="1" t="s">
        <v>11</v>
      </c>
      <c r="F41" s="2" t="s">
        <v>5</v>
      </c>
      <c r="G41" s="1">
        <v>1</v>
      </c>
      <c r="H41" s="55">
        <f>[1]Initialization!$B$10</f>
        <v>2</v>
      </c>
      <c r="I41" s="44">
        <f>IF(OR('[2]Model Selection'!$B$10=5,'[2]Model Selection'!$B$10=6),1,0)</f>
        <v>0</v>
      </c>
      <c r="J41" s="71" t="s">
        <v>209</v>
      </c>
    </row>
    <row r="42" spans="1:10" ht="43.2">
      <c r="A42" s="69" t="s">
        <v>210</v>
      </c>
      <c r="B42" s="70"/>
      <c r="C42" s="35" t="s">
        <v>3</v>
      </c>
      <c r="D42" s="1" t="s">
        <v>24</v>
      </c>
      <c r="E42" s="1" t="s">
        <v>11</v>
      </c>
      <c r="F42" s="2" t="s">
        <v>5</v>
      </c>
      <c r="G42" s="1"/>
      <c r="H42" s="55">
        <f>[1]Initialization!$B$10</f>
        <v>2</v>
      </c>
      <c r="I42" s="44">
        <f>IF(OR('[2]Model Selection'!$B$10=5,'[2]Model Selection'!$B$10=6),1,0)</f>
        <v>0</v>
      </c>
      <c r="J42" s="71" t="s">
        <v>211</v>
      </c>
    </row>
    <row r="43" spans="1:10" ht="43.2">
      <c r="A43" s="69" t="s">
        <v>212</v>
      </c>
      <c r="B43" s="70"/>
      <c r="C43" s="35" t="s">
        <v>3</v>
      </c>
      <c r="D43" s="1" t="s">
        <v>24</v>
      </c>
      <c r="E43" s="1" t="s">
        <v>11</v>
      </c>
      <c r="F43" s="2" t="s">
        <v>5</v>
      </c>
      <c r="G43" s="1">
        <v>1</v>
      </c>
      <c r="H43" s="55">
        <f>[1]Initialization!$B$10</f>
        <v>2</v>
      </c>
      <c r="I43" s="44">
        <f>IF(OR('[2]Model Selection'!$B$10=5,'[2]Model Selection'!$B$10=6),1,0)</f>
        <v>0</v>
      </c>
      <c r="J43" s="71" t="s">
        <v>213</v>
      </c>
    </row>
    <row r="44" spans="1:10" ht="43.2">
      <c r="A44" s="69" t="s">
        <v>214</v>
      </c>
      <c r="B44" s="70"/>
      <c r="C44" s="35" t="s">
        <v>3</v>
      </c>
      <c r="D44" s="1" t="s">
        <v>24</v>
      </c>
      <c r="E44" s="1" t="s">
        <v>11</v>
      </c>
      <c r="F44" s="2" t="s">
        <v>5</v>
      </c>
      <c r="G44" s="1"/>
      <c r="H44" s="55">
        <f>[1]Initialization!$B$10</f>
        <v>2</v>
      </c>
      <c r="I44" s="44">
        <f>IF(OR('[2]Model Selection'!$B$10=5,'[2]Model Selection'!$B$10=6),1,0)</f>
        <v>0</v>
      </c>
      <c r="J44" s="71" t="s">
        <v>215</v>
      </c>
    </row>
    <row r="45" spans="1:10" ht="14.4">
      <c r="A45" s="8" t="s">
        <v>88</v>
      </c>
      <c r="B45" s="34"/>
      <c r="C45" s="9"/>
      <c r="D45" s="10"/>
      <c r="E45" s="10"/>
      <c r="F45" s="9"/>
      <c r="G45" s="10">
        <v>1</v>
      </c>
      <c r="H45" s="10">
        <v>1</v>
      </c>
      <c r="I45" s="11">
        <v>0</v>
      </c>
      <c r="J45" s="12" t="s">
        <v>89</v>
      </c>
    </row>
  </sheetData>
  <sheetProtection algorithmName="SHA-512" hashValue="KX+G7iVAGt79oxaklipO9byxUs6L73/V4CGK3YU8qM3XqDxQdr1XCE0Wsczf2cwfldajhO+NcSA5lHFBeHTqYw==" saltValue="v2UakRREcco1z/Fxm+e0YA==" spinCount="100000" sheet="1" objects="1" scenarios="1" selectLockedCells="1"/>
  <mergeCells count="2">
    <mergeCell ref="A3:J3"/>
    <mergeCell ref="J4:J8"/>
  </mergeCells>
  <conditionalFormatting sqref="B10:B32 B45:B1048576">
    <cfRule type="expression" dxfId="29" priority="22">
      <formula>IF(AND($B10&lt;&gt;"",$I10=0),1,0)</formula>
    </cfRule>
    <cfRule type="expression" dxfId="28" priority="23">
      <formula>IF($B10&lt;&gt;"",1,0)</formula>
    </cfRule>
    <cfRule type="expression" dxfId="27" priority="24">
      <formula>$I10=0</formula>
    </cfRule>
  </conditionalFormatting>
  <conditionalFormatting sqref="B13">
    <cfRule type="expression" dxfId="26" priority="13">
      <formula>IF(AND($B13&lt;&gt;"",$I13=0),1,0)</formula>
    </cfRule>
    <cfRule type="expression" dxfId="25" priority="14">
      <formula>IF($B13&lt;&gt;"",1,0)</formula>
    </cfRule>
    <cfRule type="expression" dxfId="24" priority="15">
      <formula>$I13=0</formula>
    </cfRule>
  </conditionalFormatting>
  <conditionalFormatting sqref="B10">
    <cfRule type="expression" dxfId="23" priority="10">
      <formula>IF(AND($B10&lt;&gt;"",$I10=0),1,0)</formula>
    </cfRule>
    <cfRule type="expression" dxfId="22" priority="11">
      <formula>IF($B10&lt;&gt;"",1,0)</formula>
    </cfRule>
    <cfRule type="expression" dxfId="21" priority="12">
      <formula>$I10=0</formula>
    </cfRule>
  </conditionalFormatting>
  <conditionalFormatting sqref="J4">
    <cfRule type="expression" dxfId="20" priority="2067">
      <formula>IF(COUNTA($B$10:$B$45)&lt;&gt;COUNTIF($I$10:$I$45,1),1,0)</formula>
    </cfRule>
    <cfRule type="expression" dxfId="19" priority="2068">
      <formula>IF(COUNTA($B$10:$B$45)=COUNTIF($I$10:$I$45,1),1,0)</formula>
    </cfRule>
  </conditionalFormatting>
  <conditionalFormatting sqref="B33:B44">
    <cfRule type="expression" dxfId="2" priority="1">
      <formula>IF(AND($B33&lt;&gt;"",$I33=0),1,0)</formula>
    </cfRule>
    <cfRule type="expression" dxfId="1" priority="2">
      <formula>IF($B33&lt;&gt;"",1,0)</formula>
    </cfRule>
    <cfRule type="expression" dxfId="0" priority="3">
      <formula>$I33=0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0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F67D23E1-AFEF-49C1-88F0-E58E53A95302}">
          <x14:formula1>
            <xm:f>References!$A$2:$A$8</xm:f>
          </x14:formula1>
          <xm:sqref>E10:E45</xm:sqref>
        </x14:dataValidation>
        <x14:dataValidation type="list" allowBlank="1" showInputMessage="1" showErrorMessage="1" xr:uid="{8863D019-CADF-4701-A458-7B1A2A91D616}">
          <x14:formula1>
            <xm:f>References!$C$2:$C$23</xm:f>
          </x14:formula1>
          <xm:sqref>F10:F45</xm:sqref>
        </x14:dataValidation>
        <x14:dataValidation type="list" allowBlank="1" showInputMessage="1" showErrorMessage="1" xr:uid="{2C619053-4F6C-42E7-A7E2-3EA9F2EEA009}">
          <x14:formula1>
            <xm:f>References!$B$2:$B$18</xm:f>
          </x14:formula1>
          <xm:sqref>D10:D45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B226F6-E6BC-4785-9B66-CC02AFC744D0}">
  <sheetPr codeName="Sheet23">
    <tabColor rgb="FF00B050"/>
  </sheetPr>
  <dimension ref="A2:K12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3" t="s">
        <v>32</v>
      </c>
      <c r="B3" s="63"/>
      <c r="C3" s="63"/>
      <c r="D3" s="63"/>
      <c r="E3" s="63"/>
      <c r="F3" s="63"/>
      <c r="G3" s="63"/>
      <c r="H3" s="63"/>
      <c r="I3" s="63"/>
      <c r="J3" s="63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4" t="str">
        <f>IF(COUNTIF(Table19312131415[Test 3],1)=COUNTA(Table19312131415[Value]),"Ready","Not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5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5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5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6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43.2">
      <c r="A10" s="4" t="s">
        <v>84</v>
      </c>
      <c r="B10" s="33">
        <v>62</v>
      </c>
      <c r="C10" s="2" t="s">
        <v>22</v>
      </c>
      <c r="D10" s="1" t="s">
        <v>23</v>
      </c>
      <c r="E10" s="1" t="s">
        <v>7</v>
      </c>
      <c r="F10" s="2" t="s">
        <v>5</v>
      </c>
      <c r="G10" s="1">
        <v>1</v>
      </c>
      <c r="H10" s="55">
        <f>[1]Initialization!$B$10</f>
        <v>2</v>
      </c>
      <c r="I10" s="6">
        <v>1</v>
      </c>
      <c r="J10" s="5" t="s">
        <v>76</v>
      </c>
    </row>
    <row r="11" spans="1:10" ht="43.2">
      <c r="A11" s="4" t="s">
        <v>85</v>
      </c>
      <c r="B11" s="33">
        <v>19.7</v>
      </c>
      <c r="C11" s="2" t="s">
        <v>22</v>
      </c>
      <c r="D11" s="1" t="s">
        <v>23</v>
      </c>
      <c r="E11" s="1" t="s">
        <v>7</v>
      </c>
      <c r="F11" s="2" t="s">
        <v>5</v>
      </c>
      <c r="G11" s="1"/>
      <c r="H11" s="55">
        <f>[1]Initialization!$B$10</f>
        <v>2</v>
      </c>
      <c r="I11" s="6">
        <v>1</v>
      </c>
      <c r="J11" s="5" t="s">
        <v>76</v>
      </c>
    </row>
    <row r="12" spans="1:10" ht="14.4">
      <c r="A12" s="8" t="s">
        <v>88</v>
      </c>
      <c r="B12" s="34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89</v>
      </c>
    </row>
  </sheetData>
  <sheetProtection algorithmName="SHA-512" hashValue="ZBOSZs0k5eROPBR8w6A7K0vD3dSDCBqdTSNeGWj3l9dQQJvO+VBpFVNA6Kj0eC6S4yhyk52aXL1PYtk3OixEAQ==" saltValue="hwo4S/7qBwX8ynzQ6nREJg==" spinCount="100000" sheet="1" objects="1" scenarios="1" selectLockedCells="1"/>
  <mergeCells count="2">
    <mergeCell ref="A3:J3"/>
    <mergeCell ref="J4:J8"/>
  </mergeCells>
  <conditionalFormatting sqref="B12">
    <cfRule type="expression" dxfId="18" priority="10">
      <formula>IF(AND($B12&lt;&gt;"",$I12=0),1,0)</formula>
    </cfRule>
    <cfRule type="expression" dxfId="17" priority="11">
      <formula>IF($B12&lt;&gt;"",1,0)</formula>
    </cfRule>
    <cfRule type="expression" dxfId="16" priority="12">
      <formula>$I12=0</formula>
    </cfRule>
  </conditionalFormatting>
  <conditionalFormatting sqref="B10:B11">
    <cfRule type="expression" dxfId="15" priority="1">
      <formula>IF(AND($B10&lt;&gt;"",$I10=0),1,0)</formula>
    </cfRule>
    <cfRule type="expression" dxfId="14" priority="2">
      <formula>IF($B10&lt;&gt;"",1,0)</formula>
    </cfRule>
    <cfRule type="expression" dxfId="13" priority="3">
      <formula>$I10=0</formula>
    </cfRule>
  </conditionalFormatting>
  <conditionalFormatting sqref="J4">
    <cfRule type="expression" dxfId="12" priority="2052">
      <formula>IF(COUNTA($B$10:$B$12)&lt;&gt;COUNTIF($I$10:$I$12,1),1,0)</formula>
    </cfRule>
    <cfRule type="expression" dxfId="11" priority="2053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2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7192DA8-E647-4258-BC74-5306B811ADC3}">
          <x14:formula1>
            <xm:f>References!$B$2:$B$18</xm:f>
          </x14:formula1>
          <xm:sqref>D10:D12</xm:sqref>
        </x14:dataValidation>
        <x14:dataValidation type="list" allowBlank="1" showInputMessage="1" showErrorMessage="1" xr:uid="{7E754697-311E-4CEA-8C2C-0E1E589C4B72}">
          <x14:formula1>
            <xm:f>References!$C$2:$C$23</xm:f>
          </x14:formula1>
          <xm:sqref>F10:F12</xm:sqref>
        </x14:dataValidation>
        <x14:dataValidation type="list" allowBlank="1" showInputMessage="1" showErrorMessage="1" xr:uid="{C55EAF3C-B7AD-4F6A-ABF3-644333524B15}">
          <x14:formula1>
            <xm:f>References!$A$2:$A$8</xm:f>
          </x14:formula1>
          <xm:sqref>E10:E12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693933-20C4-4E75-AA50-A2BF7E75A3BE}">
  <sheetPr codeName="Sheet24">
    <tabColor rgb="FF00B050"/>
  </sheetPr>
  <dimension ref="A2:K11"/>
  <sheetViews>
    <sheetView showGridLines="0" topLeftCell="A2" zoomScaleNormal="100" zoomScaleSheetLayoutView="85" workbookViewId="0">
      <pane ySplit="8" topLeftCell="A10" activePane="bottomLeft" state="frozen"/>
      <selection activeCell="B2" sqref="B2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3" t="s">
        <v>32</v>
      </c>
      <c r="B3" s="63"/>
      <c r="C3" s="63"/>
      <c r="D3" s="63"/>
      <c r="E3" s="63"/>
      <c r="F3" s="63"/>
      <c r="G3" s="63"/>
      <c r="H3" s="63"/>
      <c r="I3" s="63"/>
      <c r="J3" s="63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4" t="str">
        <f>IF(COUNTIF(Table1931213141516[Test 3],1)=COUNTA(Table1931213141516[Value]),"Ready","Not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5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5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5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6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43.2">
      <c r="A10" s="46" t="s">
        <v>127</v>
      </c>
      <c r="B10" s="33"/>
      <c r="C10" s="35" t="s">
        <v>131</v>
      </c>
      <c r="D10" s="1" t="s">
        <v>24</v>
      </c>
      <c r="E10" s="1" t="s">
        <v>7</v>
      </c>
      <c r="F10" s="2" t="s">
        <v>42</v>
      </c>
      <c r="G10" s="1">
        <v>1</v>
      </c>
      <c r="H10" s="1">
        <v>1</v>
      </c>
      <c r="I10" s="44">
        <f>[2]Initialization!$B$14</f>
        <v>0</v>
      </c>
      <c r="J10" s="5" t="s">
        <v>128</v>
      </c>
    </row>
    <row r="11" spans="1:10" ht="14.4">
      <c r="A11" s="8" t="s">
        <v>88</v>
      </c>
      <c r="B11" s="34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89</v>
      </c>
    </row>
  </sheetData>
  <sheetProtection algorithmName="SHA-512" hashValue="+GxNW1yEw5jwezPSpOpLpUNauJE5awg9e0gvFz9Ai9cEvYCGrBesla9U76Ch08GyFiQrnJ9Wq2eztH2NSLrI+w==" saltValue="cDG082F3MY2wTWZVtPHPWg==" spinCount="100000" sheet="1" objects="1" scenarios="1" selectLockedCells="1"/>
  <mergeCells count="2">
    <mergeCell ref="A3:J3"/>
    <mergeCell ref="J4:J8"/>
  </mergeCells>
  <conditionalFormatting sqref="B11">
    <cfRule type="expression" dxfId="10" priority="7">
      <formula>IF(AND($B11&lt;&gt;"",$I11=0),1,0)</formula>
    </cfRule>
    <cfRule type="expression" dxfId="9" priority="8">
      <formula>IF($B11&lt;&gt;"",1,0)</formula>
    </cfRule>
    <cfRule type="expression" dxfId="8" priority="9">
      <formula>$I11=0</formula>
    </cfRule>
  </conditionalFormatting>
  <conditionalFormatting sqref="B10">
    <cfRule type="expression" dxfId="7" priority="1">
      <formula>IF(AND($B10&lt;&gt;"",$I10=0),1,0)</formula>
    </cfRule>
    <cfRule type="expression" dxfId="6" priority="2">
      <formula>IF($B10&lt;&gt;"",1,0)</formula>
    </cfRule>
    <cfRule type="expression" dxfId="5" priority="3">
      <formula>$I10=0</formula>
    </cfRule>
  </conditionalFormatting>
  <conditionalFormatting sqref="J4">
    <cfRule type="expression" dxfId="4" priority="2054">
      <formula>IF(COUNTA($B$10:$B$11)&lt;&gt;COUNTIF($I$10:$I$11,1),1,0)</formula>
    </cfRule>
    <cfRule type="expression" dxfId="3" priority="2055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44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E3E6612-1E4F-438B-A8D9-A639C32B3C71}">
          <x14:formula1>
            <xm:f>References!$A$2:$A$8</xm:f>
          </x14:formula1>
          <xm:sqref>E10:E11</xm:sqref>
        </x14:dataValidation>
        <x14:dataValidation type="list" allowBlank="1" showInputMessage="1" showErrorMessage="1" xr:uid="{8F3D09AF-EA3D-4BC6-84CC-96BC1956B255}">
          <x14:formula1>
            <xm:f>References!$C$2:$C$23</xm:f>
          </x14:formula1>
          <xm:sqref>F10:F11</xm:sqref>
        </x14:dataValidation>
        <x14:dataValidation type="list" allowBlank="1" showInputMessage="1" showErrorMessage="1" xr:uid="{630B8DAB-3D93-4E03-8C28-78B533D970D2}">
          <x14:formula1>
            <xm:f>References!$B$2:$B$18</xm:f>
          </x14:formula1>
          <xm:sqref>D10:D11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3FC138-3FBC-4619-A23A-F43FFBCAEFF2}">
  <sheetPr codeName="Sheet18">
    <tabColor rgb="FF00B050"/>
  </sheetPr>
  <dimension ref="A1:AV59"/>
  <sheetViews>
    <sheetView showGridLines="0" zoomScaleNormal="100" zoomScaleSheetLayoutView="55" workbookViewId="0">
      <selection activeCell="C53" sqref="C53"/>
    </sheetView>
  </sheetViews>
  <sheetFormatPr defaultColWidth="0" defaultRowHeight="14.55" customHeight="1" zeroHeight="1"/>
  <cols>
    <col min="1" max="2" width="8.77734375" style="48" customWidth="1"/>
    <col min="3" max="3" width="13.109375" style="48" customWidth="1"/>
    <col min="4" max="4" width="13.44140625" style="48" customWidth="1"/>
    <col min="5" max="7" width="8.77734375" style="48" customWidth="1"/>
    <col min="8" max="8" width="14.77734375" style="48" customWidth="1"/>
    <col min="9" max="9" width="11.6640625" style="48" customWidth="1"/>
    <col min="10" max="10" width="10.33203125" style="48" customWidth="1"/>
    <col min="11" max="11" width="33.6640625" style="48" customWidth="1"/>
    <col min="12" max="12" width="40.77734375" style="48" customWidth="1"/>
    <col min="13" max="18" width="8.77734375" style="48" customWidth="1"/>
    <col min="19" max="48" width="0" style="48" hidden="1" customWidth="1"/>
    <col min="49" max="16384" width="8.77734375" style="48" hidden="1"/>
  </cols>
  <sheetData>
    <row r="1" spans="1:18" ht="14.55" customHeight="1">
      <c r="A1" s="26" t="s">
        <v>155</v>
      </c>
      <c r="B1" s="27"/>
      <c r="C1" s="27"/>
      <c r="D1" s="27"/>
      <c r="E1" s="27"/>
      <c r="F1" s="27"/>
      <c r="G1" s="27"/>
      <c r="H1" s="27"/>
      <c r="I1" s="27"/>
      <c r="J1" s="28"/>
      <c r="K1" s="28"/>
      <c r="L1" s="28"/>
      <c r="M1" s="28"/>
      <c r="N1" s="28"/>
      <c r="O1" s="28"/>
      <c r="P1" s="28"/>
      <c r="Q1" s="28"/>
      <c r="R1" s="28" t="s">
        <v>96</v>
      </c>
    </row>
    <row r="2" spans="1:18" ht="14.4">
      <c r="A2" s="67" t="s">
        <v>103</v>
      </c>
      <c r="B2" s="68"/>
      <c r="C2" s="68"/>
      <c r="D2" s="68"/>
      <c r="E2" s="68"/>
      <c r="F2" s="68"/>
      <c r="G2" s="68"/>
      <c r="H2" s="68"/>
      <c r="I2" s="68"/>
      <c r="J2" s="68"/>
      <c r="K2" s="68"/>
      <c r="L2" s="68"/>
      <c r="M2" s="68"/>
      <c r="N2" s="68"/>
      <c r="O2" s="68"/>
      <c r="P2" s="68"/>
      <c r="Q2" s="68"/>
      <c r="R2" s="68"/>
    </row>
    <row r="3" spans="1:18" ht="14.4">
      <c r="A3" s="25"/>
      <c r="B3" s="49"/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</row>
    <row r="4" spans="1:18" ht="14.4">
      <c r="A4" s="24" t="s">
        <v>107</v>
      </c>
      <c r="B4" s="49"/>
      <c r="C4" s="49"/>
      <c r="D4" s="49"/>
      <c r="E4" s="49"/>
      <c r="F4" s="49"/>
      <c r="G4" s="49"/>
      <c r="H4" s="49"/>
      <c r="I4" s="49"/>
      <c r="J4" s="49"/>
      <c r="K4" s="49"/>
      <c r="L4" s="49"/>
      <c r="M4" s="49"/>
      <c r="N4" s="49"/>
      <c r="O4" s="49"/>
      <c r="P4" s="49"/>
      <c r="Q4" s="49"/>
      <c r="R4" s="49"/>
    </row>
    <row r="5" spans="1:18" ht="14.4">
      <c r="A5" s="24"/>
      <c r="B5" s="49" t="s">
        <v>108</v>
      </c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  <c r="Q5" s="49"/>
      <c r="R5" s="49"/>
    </row>
    <row r="6" spans="1:18" ht="14.4">
      <c r="A6" s="24"/>
      <c r="B6" s="49" t="s">
        <v>109</v>
      </c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  <c r="R6" s="49"/>
    </row>
    <row r="7" spans="1:18" ht="14.4">
      <c r="A7" s="24"/>
      <c r="B7" s="49"/>
      <c r="C7" s="49"/>
      <c r="D7" s="49"/>
      <c r="E7" s="49"/>
      <c r="F7" s="49"/>
      <c r="G7" s="49"/>
      <c r="H7" s="49"/>
      <c r="I7" s="49"/>
      <c r="J7" s="49"/>
      <c r="K7" s="49"/>
      <c r="L7" s="49"/>
      <c r="M7" s="49"/>
      <c r="N7" s="49"/>
      <c r="O7" s="49"/>
      <c r="P7" s="49"/>
      <c r="Q7" s="49"/>
      <c r="R7" s="49"/>
    </row>
    <row r="8" spans="1:18" ht="14.4">
      <c r="A8" s="24"/>
      <c r="B8" s="49"/>
      <c r="C8" s="49"/>
      <c r="D8" s="49"/>
      <c r="E8" s="49"/>
      <c r="F8" s="49"/>
      <c r="G8" s="49"/>
      <c r="H8" s="49"/>
      <c r="I8" s="49"/>
      <c r="J8" s="49"/>
      <c r="K8" s="49"/>
      <c r="L8" s="49"/>
      <c r="M8" s="49"/>
      <c r="N8" s="49"/>
      <c r="O8" s="49"/>
      <c r="P8" s="49"/>
      <c r="Q8" s="49"/>
      <c r="R8" s="49"/>
    </row>
    <row r="9" spans="1:18" ht="14.4">
      <c r="A9" s="24"/>
      <c r="B9" s="49"/>
      <c r="C9" s="49"/>
      <c r="D9" s="49"/>
      <c r="E9" s="49"/>
      <c r="F9" s="49"/>
      <c r="G9" s="49"/>
      <c r="H9" s="49"/>
      <c r="I9" s="49"/>
      <c r="J9" s="49"/>
      <c r="K9" s="49"/>
      <c r="L9" s="49"/>
      <c r="M9" s="49"/>
      <c r="N9" s="49"/>
      <c r="O9" s="49"/>
      <c r="P9" s="49"/>
      <c r="Q9" s="49"/>
      <c r="R9" s="49"/>
    </row>
    <row r="10" spans="1:18" ht="14.4">
      <c r="A10" s="24"/>
      <c r="B10" s="49" t="s">
        <v>118</v>
      </c>
      <c r="C10" s="49"/>
      <c r="D10" s="49"/>
      <c r="E10" s="49"/>
      <c r="F10" s="49"/>
      <c r="G10" s="49"/>
      <c r="H10" s="49"/>
      <c r="I10" s="49"/>
      <c r="J10" s="49"/>
      <c r="K10" s="49"/>
      <c r="L10" s="49"/>
      <c r="M10" s="49"/>
      <c r="N10" s="49"/>
      <c r="O10" s="49"/>
      <c r="P10" s="49"/>
      <c r="Q10" s="49"/>
      <c r="R10" s="49"/>
    </row>
    <row r="11" spans="1:18" ht="14.4">
      <c r="A11" s="24"/>
      <c r="B11" s="49"/>
      <c r="C11" s="49"/>
      <c r="D11" s="49"/>
      <c r="E11" s="49"/>
      <c r="F11" s="49"/>
      <c r="G11" s="49"/>
      <c r="H11" s="49"/>
      <c r="I11" s="49"/>
      <c r="J11" s="49"/>
      <c r="K11" s="49"/>
      <c r="L11" s="49"/>
      <c r="M11" s="49"/>
      <c r="N11" s="49"/>
      <c r="O11" s="49"/>
      <c r="P11" s="49"/>
      <c r="Q11" s="49"/>
      <c r="R11" s="49"/>
    </row>
    <row r="12" spans="1:18" ht="14.4">
      <c r="A12" s="24"/>
      <c r="B12" s="49"/>
      <c r="C12" s="49"/>
      <c r="D12" s="49"/>
      <c r="E12" s="49"/>
      <c r="F12" s="49"/>
      <c r="G12" s="49"/>
      <c r="H12" s="49"/>
      <c r="I12" s="49"/>
      <c r="J12" s="49"/>
      <c r="K12" s="49"/>
      <c r="L12" s="49"/>
      <c r="M12" s="49"/>
      <c r="N12" s="49"/>
      <c r="O12" s="49"/>
      <c r="P12" s="49"/>
      <c r="Q12" s="49"/>
      <c r="R12" s="49"/>
    </row>
    <row r="13" spans="1:18" ht="14.4">
      <c r="A13" s="24"/>
      <c r="B13" s="49"/>
      <c r="C13" s="49"/>
      <c r="D13" s="49"/>
      <c r="E13" s="49"/>
      <c r="F13" s="49"/>
      <c r="G13" s="49"/>
      <c r="H13" s="49"/>
      <c r="I13" s="49"/>
      <c r="J13" s="49"/>
      <c r="K13" s="49"/>
      <c r="L13" s="49"/>
      <c r="M13" s="49"/>
      <c r="N13" s="49"/>
      <c r="O13" s="49"/>
      <c r="P13" s="49"/>
      <c r="Q13" s="49"/>
      <c r="R13" s="49"/>
    </row>
    <row r="14" spans="1:18" ht="14.4">
      <c r="A14" s="24"/>
      <c r="B14" s="49"/>
      <c r="C14" s="49"/>
      <c r="D14" s="49"/>
      <c r="E14" s="49"/>
      <c r="F14" s="49"/>
      <c r="G14" s="49"/>
      <c r="H14" s="49"/>
      <c r="I14" s="49"/>
      <c r="J14" s="49"/>
      <c r="K14" s="49"/>
      <c r="L14" s="49"/>
      <c r="M14" s="49"/>
      <c r="N14" s="49"/>
      <c r="O14" s="49"/>
      <c r="P14" s="49"/>
      <c r="Q14" s="49"/>
      <c r="R14" s="49"/>
    </row>
    <row r="15" spans="1:18" ht="14.4">
      <c r="A15" s="24" t="s">
        <v>104</v>
      </c>
      <c r="B15" s="49"/>
      <c r="C15" s="49"/>
      <c r="D15" s="49"/>
      <c r="E15" s="49"/>
      <c r="F15" s="49"/>
      <c r="G15" s="49"/>
      <c r="H15" s="49"/>
      <c r="I15" s="49"/>
      <c r="J15" s="49"/>
      <c r="K15" s="49"/>
      <c r="L15" s="49"/>
      <c r="M15" s="49"/>
      <c r="N15" s="49"/>
      <c r="O15" s="49"/>
      <c r="P15" s="49"/>
      <c r="Q15" s="49"/>
      <c r="R15" s="49"/>
    </row>
    <row r="16" spans="1:18" ht="14.4">
      <c r="A16" s="24" t="s">
        <v>105</v>
      </c>
      <c r="B16" s="49"/>
      <c r="C16" s="49"/>
      <c r="D16" s="49"/>
      <c r="E16" s="49"/>
      <c r="F16" s="49"/>
      <c r="G16" s="49"/>
      <c r="H16" s="49"/>
      <c r="I16" s="49"/>
      <c r="J16" s="49"/>
      <c r="K16" s="49"/>
      <c r="L16" s="49"/>
      <c r="M16" s="49"/>
      <c r="N16" s="49"/>
      <c r="O16" s="49"/>
      <c r="P16" s="49"/>
      <c r="Q16" s="49"/>
      <c r="R16" s="49"/>
    </row>
    <row r="17" spans="1:18" ht="14.4">
      <c r="A17" s="24"/>
      <c r="B17" s="49"/>
      <c r="C17" s="49"/>
      <c r="D17" s="49"/>
      <c r="E17" s="49"/>
      <c r="F17" s="49"/>
      <c r="G17" s="49"/>
      <c r="H17" s="49"/>
      <c r="I17" s="49"/>
      <c r="J17" s="49"/>
      <c r="K17" s="49"/>
      <c r="L17" s="49"/>
      <c r="M17" s="49"/>
      <c r="N17" s="49"/>
      <c r="O17" s="49"/>
      <c r="P17" s="49"/>
      <c r="Q17" s="49"/>
      <c r="R17" s="49"/>
    </row>
    <row r="18" spans="1:18" ht="14.4">
      <c r="A18" s="24"/>
      <c r="B18" s="49"/>
      <c r="C18" s="49"/>
      <c r="D18" s="49"/>
      <c r="E18" s="49"/>
      <c r="F18" s="49"/>
      <c r="G18" s="49"/>
      <c r="H18" s="49"/>
      <c r="I18" s="49"/>
      <c r="J18" s="49"/>
      <c r="K18" s="49"/>
      <c r="L18" s="49"/>
      <c r="M18" s="49"/>
      <c r="N18" s="49"/>
      <c r="O18" s="49"/>
      <c r="P18" s="49"/>
      <c r="Q18" s="49"/>
      <c r="R18" s="49"/>
    </row>
    <row r="19" spans="1:18" ht="14.4">
      <c r="A19" s="24"/>
      <c r="B19" s="49"/>
      <c r="C19" s="49"/>
      <c r="D19" s="49"/>
      <c r="E19" s="49"/>
      <c r="F19" s="49"/>
      <c r="G19" s="49"/>
      <c r="H19" s="49"/>
      <c r="I19" s="49"/>
      <c r="J19" s="49"/>
      <c r="K19" s="49"/>
      <c r="L19" s="49"/>
      <c r="M19" s="49"/>
      <c r="N19" s="49"/>
      <c r="O19" s="49"/>
      <c r="P19" s="49"/>
      <c r="Q19" s="49"/>
      <c r="R19" s="49"/>
    </row>
    <row r="20" spans="1:18" ht="14.4">
      <c r="A20" s="24"/>
      <c r="B20" s="49"/>
      <c r="C20" s="49"/>
      <c r="D20" s="49"/>
      <c r="E20" s="49"/>
      <c r="F20" s="49"/>
      <c r="G20" s="49"/>
      <c r="H20" s="49"/>
      <c r="I20" s="49"/>
      <c r="J20" s="49"/>
      <c r="K20" s="49"/>
      <c r="L20" s="49"/>
      <c r="M20" s="49"/>
      <c r="N20" s="49"/>
      <c r="O20" s="49"/>
      <c r="P20" s="49"/>
      <c r="Q20" s="49"/>
      <c r="R20" s="49"/>
    </row>
    <row r="21" spans="1:18" ht="14.4">
      <c r="A21" s="24"/>
      <c r="B21" s="49"/>
      <c r="C21" s="49"/>
      <c r="D21" s="49"/>
      <c r="E21" s="49"/>
      <c r="F21" s="49"/>
      <c r="G21" s="49"/>
      <c r="H21" s="49"/>
      <c r="I21" s="49"/>
      <c r="J21" s="49"/>
      <c r="K21" s="49"/>
      <c r="L21" s="49"/>
      <c r="M21" s="49"/>
      <c r="N21" s="49"/>
      <c r="O21" s="49"/>
      <c r="P21" s="49"/>
      <c r="Q21" s="49"/>
      <c r="R21" s="49"/>
    </row>
    <row r="22" spans="1:18" ht="14.4">
      <c r="A22" s="24"/>
      <c r="B22" s="49"/>
      <c r="C22" s="49"/>
      <c r="D22" s="49"/>
      <c r="E22" s="49"/>
      <c r="F22" s="49"/>
      <c r="G22" s="49"/>
      <c r="H22" s="49"/>
      <c r="I22" s="49"/>
      <c r="J22" s="49"/>
      <c r="K22" s="49"/>
      <c r="L22" s="49"/>
      <c r="M22" s="49"/>
      <c r="N22" s="49"/>
      <c r="O22" s="49"/>
      <c r="P22" s="49"/>
      <c r="Q22" s="49"/>
      <c r="R22" s="49"/>
    </row>
    <row r="23" spans="1:18" ht="14.4">
      <c r="A23" s="24" t="s">
        <v>111</v>
      </c>
      <c r="B23" s="49"/>
      <c r="C23" s="49"/>
      <c r="D23" s="49"/>
      <c r="E23" s="49"/>
      <c r="F23" s="49"/>
      <c r="G23" s="49"/>
      <c r="H23" s="49"/>
      <c r="I23" s="49"/>
      <c r="J23" s="49"/>
      <c r="K23" s="49"/>
      <c r="L23" s="49"/>
      <c r="M23" s="49"/>
      <c r="N23" s="49"/>
      <c r="O23" s="49"/>
      <c r="P23" s="49"/>
      <c r="Q23" s="49"/>
      <c r="R23" s="49"/>
    </row>
    <row r="24" spans="1:18" ht="14.4">
      <c r="A24" s="24" t="s">
        <v>112</v>
      </c>
      <c r="B24" s="49"/>
      <c r="C24" s="49"/>
      <c r="D24" s="49"/>
      <c r="E24" s="49"/>
      <c r="F24" s="49"/>
      <c r="G24" s="49"/>
      <c r="H24" s="49"/>
      <c r="I24" s="49"/>
      <c r="J24" s="49"/>
      <c r="K24" s="49"/>
      <c r="L24" s="49"/>
      <c r="M24" s="49"/>
      <c r="N24" s="49"/>
      <c r="O24" s="49"/>
      <c r="P24" s="49"/>
      <c r="Q24" s="49"/>
      <c r="R24" s="49"/>
    </row>
    <row r="25" spans="1:18" ht="14.4">
      <c r="A25" s="24"/>
      <c r="B25" s="49"/>
      <c r="C25" s="49"/>
      <c r="D25" s="49"/>
      <c r="E25" s="49"/>
      <c r="F25" s="49"/>
      <c r="G25" s="49"/>
      <c r="H25" s="49"/>
      <c r="I25" s="49"/>
      <c r="J25" s="49"/>
      <c r="K25" s="49"/>
      <c r="L25" s="49"/>
      <c r="M25" s="49"/>
      <c r="N25" s="49"/>
      <c r="O25" s="49"/>
      <c r="P25" s="49"/>
      <c r="Q25" s="49"/>
      <c r="R25" s="49"/>
    </row>
    <row r="26" spans="1:18" ht="14.4">
      <c r="A26" s="24"/>
      <c r="B26" s="49"/>
      <c r="C26" s="49"/>
      <c r="D26" s="49"/>
      <c r="E26" s="49"/>
      <c r="F26" s="49"/>
      <c r="G26" s="49"/>
      <c r="H26" s="49"/>
      <c r="I26" s="49"/>
      <c r="J26" s="49"/>
      <c r="K26" s="49"/>
      <c r="L26" s="49"/>
      <c r="M26" s="49"/>
      <c r="N26" s="49"/>
      <c r="O26" s="49"/>
      <c r="P26" s="49"/>
      <c r="Q26" s="49"/>
      <c r="R26" s="49"/>
    </row>
    <row r="27" spans="1:18" ht="14.4">
      <c r="A27" s="24"/>
      <c r="B27" s="49"/>
      <c r="C27" s="49"/>
      <c r="D27" s="49"/>
      <c r="E27" s="49"/>
      <c r="F27" s="49"/>
      <c r="G27" s="49"/>
      <c r="H27" s="49"/>
      <c r="I27" s="49"/>
      <c r="J27" s="49"/>
      <c r="K27" s="49"/>
      <c r="L27" s="49"/>
      <c r="M27" s="49"/>
      <c r="N27" s="49"/>
      <c r="O27" s="49"/>
      <c r="P27" s="49"/>
      <c r="Q27" s="49"/>
      <c r="R27" s="49"/>
    </row>
    <row r="28" spans="1:18" ht="14.4">
      <c r="A28" s="24"/>
      <c r="B28" s="49"/>
      <c r="C28" s="49"/>
      <c r="D28" s="49"/>
      <c r="E28" s="49"/>
      <c r="F28" s="49"/>
      <c r="G28" s="49"/>
      <c r="H28" s="49"/>
      <c r="I28" s="49"/>
      <c r="J28" s="49"/>
      <c r="K28" s="49"/>
      <c r="L28" s="49"/>
      <c r="M28" s="49"/>
      <c r="N28" s="49"/>
      <c r="O28" s="49"/>
      <c r="P28" s="49"/>
      <c r="Q28" s="49"/>
      <c r="R28" s="49"/>
    </row>
    <row r="29" spans="1:18" ht="14.4">
      <c r="A29" s="24"/>
      <c r="B29" s="49"/>
      <c r="C29" s="49"/>
      <c r="D29" s="49"/>
      <c r="E29" s="49"/>
      <c r="F29" s="49"/>
      <c r="G29" s="49"/>
      <c r="H29" s="49"/>
      <c r="I29" s="49"/>
      <c r="J29" s="49"/>
      <c r="K29" s="49"/>
      <c r="L29" s="49"/>
      <c r="M29" s="49"/>
      <c r="N29" s="49"/>
      <c r="O29" s="49"/>
      <c r="P29" s="49"/>
      <c r="Q29" s="49"/>
      <c r="R29" s="49"/>
    </row>
    <row r="30" spans="1:18" ht="14.4">
      <c r="A30" s="24"/>
      <c r="B30" s="49"/>
      <c r="C30" s="49"/>
      <c r="D30" s="49"/>
      <c r="E30" s="49"/>
      <c r="F30" s="49"/>
      <c r="G30" s="49"/>
      <c r="H30" s="49"/>
      <c r="I30" s="49"/>
      <c r="J30" s="49"/>
      <c r="K30" s="49"/>
      <c r="L30" s="49"/>
      <c r="M30" s="49"/>
      <c r="N30" s="49"/>
      <c r="O30" s="49"/>
      <c r="P30" s="49"/>
      <c r="Q30" s="49"/>
      <c r="R30" s="49"/>
    </row>
    <row r="31" spans="1:18" ht="14.4">
      <c r="A31" s="24"/>
      <c r="B31" s="49"/>
      <c r="C31" s="49"/>
      <c r="D31" s="49"/>
      <c r="E31" s="49"/>
      <c r="F31" s="49"/>
      <c r="G31" s="49"/>
      <c r="H31" s="49"/>
      <c r="I31" s="49"/>
      <c r="J31" s="49"/>
      <c r="K31" s="49"/>
      <c r="L31" s="49"/>
      <c r="M31" s="49"/>
      <c r="N31" s="49"/>
      <c r="O31" s="49"/>
      <c r="P31" s="49"/>
      <c r="Q31" s="49"/>
      <c r="R31" s="49"/>
    </row>
    <row r="32" spans="1:18" ht="14.4">
      <c r="A32" s="24" t="s">
        <v>116</v>
      </c>
      <c r="B32" s="49"/>
      <c r="C32" s="49"/>
      <c r="D32" s="49"/>
      <c r="E32" s="49"/>
      <c r="F32" s="49"/>
      <c r="G32" s="49"/>
      <c r="H32" s="49"/>
      <c r="I32" s="49"/>
      <c r="J32" s="49"/>
      <c r="K32" s="49"/>
      <c r="L32" s="49"/>
      <c r="M32" s="49"/>
      <c r="N32" s="49"/>
      <c r="O32" s="49"/>
      <c r="P32" s="49"/>
      <c r="Q32" s="49"/>
      <c r="R32" s="49"/>
    </row>
    <row r="33" spans="1:18" ht="14.4">
      <c r="A33" s="24" t="s">
        <v>117</v>
      </c>
      <c r="B33" s="49"/>
      <c r="C33" s="49"/>
      <c r="D33" s="49"/>
      <c r="E33" s="49"/>
      <c r="F33" s="49"/>
      <c r="G33" s="49"/>
      <c r="H33" s="49"/>
      <c r="I33" s="49"/>
      <c r="J33" s="49"/>
      <c r="K33" s="49"/>
      <c r="L33" s="49"/>
      <c r="M33" s="49"/>
      <c r="N33" s="49"/>
      <c r="O33" s="49"/>
      <c r="P33" s="49"/>
      <c r="Q33" s="49"/>
      <c r="R33" s="49"/>
    </row>
    <row r="34" spans="1:18" ht="14.4">
      <c r="A34" s="24"/>
      <c r="B34" s="49"/>
      <c r="C34" s="49"/>
      <c r="D34" s="49"/>
      <c r="E34" s="49"/>
      <c r="F34" s="49"/>
      <c r="G34" s="49"/>
      <c r="H34" s="49"/>
      <c r="I34" s="49"/>
      <c r="J34" s="49"/>
      <c r="K34" s="49"/>
      <c r="L34" s="49"/>
      <c r="M34" s="49"/>
      <c r="N34" s="49"/>
      <c r="O34" s="49"/>
      <c r="P34" s="49"/>
      <c r="Q34" s="49"/>
      <c r="R34" s="49"/>
    </row>
    <row r="35" spans="1:18" ht="14.4">
      <c r="A35" s="24"/>
      <c r="B35" s="49"/>
      <c r="C35" s="49"/>
      <c r="D35" s="49"/>
      <c r="E35" s="49"/>
      <c r="F35" s="49"/>
      <c r="G35" s="49"/>
      <c r="H35" s="49"/>
      <c r="I35" s="49"/>
      <c r="J35" s="49"/>
      <c r="K35" s="49"/>
      <c r="L35" s="49"/>
      <c r="M35" s="49"/>
      <c r="N35" s="49"/>
      <c r="O35" s="49"/>
      <c r="P35" s="49"/>
      <c r="Q35" s="49"/>
      <c r="R35" s="49"/>
    </row>
    <row r="36" spans="1:18" ht="14.4">
      <c r="A36" s="24"/>
      <c r="B36" s="49"/>
      <c r="C36" s="49"/>
      <c r="D36" s="49"/>
      <c r="E36" s="49"/>
      <c r="F36" s="49"/>
      <c r="G36" s="49"/>
      <c r="H36" s="49"/>
      <c r="I36" s="49"/>
      <c r="J36" s="49"/>
      <c r="K36" s="49"/>
      <c r="L36" s="49"/>
      <c r="M36" s="49"/>
      <c r="N36" s="49"/>
      <c r="O36" s="49"/>
      <c r="P36" s="49"/>
      <c r="Q36" s="49"/>
      <c r="R36" s="49"/>
    </row>
    <row r="37" spans="1:18" ht="14.4">
      <c r="A37" s="24"/>
      <c r="B37" s="49"/>
      <c r="C37" s="49"/>
      <c r="D37" s="49"/>
      <c r="E37" s="49"/>
      <c r="F37" s="49"/>
      <c r="G37" s="49"/>
      <c r="H37" s="49"/>
      <c r="I37" s="49"/>
      <c r="J37" s="49"/>
      <c r="K37" s="49"/>
      <c r="L37" s="49"/>
      <c r="M37" s="49"/>
      <c r="N37" s="49"/>
      <c r="O37" s="49"/>
      <c r="P37" s="49"/>
      <c r="Q37" s="49"/>
      <c r="R37" s="49"/>
    </row>
    <row r="38" spans="1:18" ht="14.4">
      <c r="A38" s="24"/>
      <c r="B38" s="49"/>
      <c r="C38" s="49"/>
      <c r="D38" s="49"/>
      <c r="E38" s="49"/>
      <c r="F38" s="49"/>
      <c r="G38" s="49"/>
      <c r="H38" s="49"/>
      <c r="I38" s="49"/>
      <c r="J38" s="49"/>
      <c r="K38" s="49"/>
      <c r="L38" s="49"/>
      <c r="M38" s="49"/>
      <c r="N38" s="49"/>
      <c r="O38" s="49"/>
      <c r="P38" s="49"/>
      <c r="Q38" s="49"/>
      <c r="R38" s="49"/>
    </row>
    <row r="39" spans="1:18" ht="14.4">
      <c r="A39" s="24"/>
      <c r="B39" s="49"/>
      <c r="C39" s="49"/>
      <c r="D39" s="49"/>
      <c r="E39" s="49"/>
      <c r="F39" s="49"/>
      <c r="G39" s="49"/>
      <c r="H39" s="49"/>
      <c r="I39" s="49"/>
      <c r="J39" s="49"/>
      <c r="K39" s="49"/>
      <c r="L39" s="49"/>
      <c r="M39" s="49"/>
      <c r="N39" s="49"/>
      <c r="O39" s="49"/>
      <c r="P39" s="49"/>
      <c r="Q39" s="49"/>
      <c r="R39" s="49"/>
    </row>
    <row r="40" spans="1:18" ht="14.4">
      <c r="A40" s="24"/>
      <c r="B40" s="49"/>
      <c r="C40" s="49"/>
      <c r="D40" s="49"/>
      <c r="E40" s="49"/>
      <c r="F40" s="49"/>
      <c r="G40" s="49"/>
      <c r="H40" s="49"/>
      <c r="I40" s="49"/>
      <c r="J40" s="49"/>
      <c r="K40" s="49"/>
      <c r="L40" s="49"/>
      <c r="M40" s="49"/>
      <c r="N40" s="49"/>
      <c r="O40" s="49"/>
      <c r="P40" s="49"/>
      <c r="Q40" s="49"/>
      <c r="R40" s="49"/>
    </row>
    <row r="41" spans="1:18" ht="14.4">
      <c r="A41" s="24"/>
      <c r="B41" s="49"/>
      <c r="C41" s="49"/>
      <c r="D41" s="49"/>
      <c r="E41" s="49"/>
      <c r="F41" s="49"/>
      <c r="G41" s="49"/>
      <c r="H41" s="49"/>
      <c r="I41" s="49"/>
      <c r="J41" s="49"/>
      <c r="K41" s="49"/>
      <c r="L41" s="49"/>
      <c r="M41" s="49"/>
      <c r="N41" s="49"/>
      <c r="O41" s="49"/>
      <c r="P41" s="49"/>
      <c r="Q41" s="49"/>
      <c r="R41" s="49"/>
    </row>
    <row r="42" spans="1:18" ht="14.4">
      <c r="A42" s="24"/>
      <c r="B42" s="50"/>
      <c r="C42" s="49"/>
      <c r="D42" s="49"/>
      <c r="E42" s="49"/>
      <c r="F42" s="49"/>
      <c r="G42" s="49"/>
      <c r="H42" s="49"/>
      <c r="I42" s="49"/>
      <c r="J42" s="49"/>
      <c r="K42" s="49"/>
      <c r="L42" s="49"/>
      <c r="M42" s="49"/>
      <c r="N42" s="49"/>
      <c r="O42" s="49"/>
      <c r="P42" s="49"/>
      <c r="Q42" s="49"/>
      <c r="R42" s="49"/>
    </row>
    <row r="43" spans="1:18" ht="14.4">
      <c r="A43" s="24" t="s">
        <v>110</v>
      </c>
      <c r="B43" s="50"/>
      <c r="C43" s="49"/>
      <c r="D43" s="49"/>
      <c r="E43" s="49"/>
      <c r="F43" s="49"/>
      <c r="G43" s="49"/>
      <c r="H43" s="49"/>
      <c r="I43" s="49"/>
      <c r="J43" s="49"/>
      <c r="K43" s="49"/>
      <c r="L43" s="49"/>
      <c r="M43" s="49"/>
      <c r="N43" s="49"/>
      <c r="O43" s="49"/>
      <c r="P43" s="49"/>
      <c r="Q43" s="49"/>
      <c r="R43" s="49"/>
    </row>
    <row r="44" spans="1:18" ht="14.4">
      <c r="A44" s="24" t="s">
        <v>106</v>
      </c>
      <c r="B44" s="50"/>
      <c r="C44" s="49"/>
      <c r="D44" s="49"/>
      <c r="E44" s="49"/>
      <c r="F44" s="49"/>
      <c r="G44" s="49"/>
      <c r="H44" s="49"/>
      <c r="I44" s="49"/>
      <c r="J44" s="49"/>
      <c r="K44" s="49"/>
      <c r="L44" s="49"/>
      <c r="M44" s="49"/>
      <c r="N44" s="49"/>
      <c r="O44" s="49"/>
      <c r="P44" s="49"/>
      <c r="Q44" s="49"/>
      <c r="R44" s="49"/>
    </row>
    <row r="45" spans="1:18" ht="14.4">
      <c r="A45" s="24"/>
      <c r="B45" s="50"/>
      <c r="C45" s="49"/>
      <c r="D45" s="49"/>
      <c r="E45" s="49"/>
      <c r="F45" s="49"/>
      <c r="G45" s="49"/>
      <c r="H45" s="49"/>
      <c r="I45" s="49"/>
      <c r="J45" s="49"/>
      <c r="K45" s="49"/>
      <c r="L45" s="49"/>
      <c r="M45" s="49"/>
      <c r="N45" s="49"/>
      <c r="O45" s="49"/>
      <c r="P45" s="49"/>
      <c r="Q45" s="49"/>
      <c r="R45" s="49"/>
    </row>
    <row r="46" spans="1:18" ht="14.4">
      <c r="A46" s="24" t="s">
        <v>153</v>
      </c>
      <c r="B46" s="50"/>
      <c r="C46" s="49"/>
      <c r="D46" s="49"/>
      <c r="E46" s="49"/>
      <c r="F46" s="49"/>
      <c r="G46" s="49"/>
      <c r="H46" s="49"/>
      <c r="I46" s="49"/>
      <c r="J46" s="49"/>
      <c r="K46" s="49"/>
      <c r="L46" s="49"/>
      <c r="M46" s="49"/>
      <c r="N46" s="49"/>
      <c r="O46" s="49"/>
      <c r="P46" s="49"/>
      <c r="Q46" s="49"/>
      <c r="R46" s="49"/>
    </row>
    <row r="47" spans="1:18" ht="14.4">
      <c r="A47" s="24" t="s">
        <v>113</v>
      </c>
      <c r="B47" s="50"/>
      <c r="C47" s="49"/>
      <c r="D47" s="49"/>
      <c r="E47" s="49"/>
      <c r="F47" s="49"/>
      <c r="G47" s="49"/>
      <c r="H47" s="49"/>
      <c r="I47" s="49"/>
      <c r="J47" s="49"/>
      <c r="K47" s="49"/>
      <c r="L47" s="49"/>
      <c r="M47" s="49"/>
      <c r="N47" s="49"/>
      <c r="O47" s="49"/>
      <c r="P47" s="49"/>
      <c r="Q47" s="49"/>
      <c r="R47" s="49"/>
    </row>
    <row r="48" spans="1:18" ht="14.4">
      <c r="A48" s="24"/>
      <c r="B48" s="50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  <c r="O48" s="49"/>
      <c r="P48" s="49"/>
      <c r="Q48" s="49"/>
      <c r="R48" s="49"/>
    </row>
    <row r="49" spans="1:18" ht="14.4">
      <c r="A49" s="24" t="s">
        <v>115</v>
      </c>
      <c r="B49" s="50"/>
      <c r="C49" s="49"/>
      <c r="D49" s="49"/>
      <c r="E49" s="49"/>
      <c r="F49" s="49"/>
      <c r="G49" s="49"/>
      <c r="H49" s="49"/>
      <c r="I49" s="49"/>
      <c r="J49" s="49"/>
      <c r="K49" s="49"/>
      <c r="L49" s="49"/>
      <c r="M49" s="49"/>
      <c r="N49" s="49"/>
      <c r="O49" s="49"/>
      <c r="P49" s="49"/>
      <c r="Q49" s="49"/>
      <c r="R49" s="49"/>
    </row>
    <row r="50" spans="1:18" ht="14.4">
      <c r="A50" s="24" t="s">
        <v>114</v>
      </c>
      <c r="B50" s="50"/>
      <c r="C50" s="49"/>
      <c r="D50" s="49"/>
      <c r="E50" s="49"/>
      <c r="F50" s="49"/>
      <c r="G50" s="49"/>
      <c r="H50" s="49"/>
      <c r="I50" s="49"/>
      <c r="J50" s="49"/>
      <c r="K50" s="49"/>
      <c r="L50" s="49"/>
      <c r="M50" s="49"/>
      <c r="N50" s="49"/>
      <c r="O50" s="49"/>
      <c r="P50" s="49"/>
      <c r="Q50" s="49"/>
      <c r="R50" s="49"/>
    </row>
    <row r="51" spans="1:18" ht="14.4">
      <c r="A51" s="24"/>
      <c r="B51" s="49"/>
      <c r="C51" s="49"/>
      <c r="D51" s="49"/>
      <c r="E51" s="49"/>
      <c r="F51" s="49"/>
      <c r="G51" s="49"/>
      <c r="H51" s="49"/>
      <c r="I51" s="49"/>
      <c r="J51" s="49"/>
      <c r="K51" s="49"/>
      <c r="L51" s="49"/>
      <c r="M51" s="49"/>
      <c r="N51" s="49"/>
      <c r="O51" s="49"/>
      <c r="P51" s="49"/>
      <c r="Q51" s="49"/>
      <c r="R51" s="49"/>
    </row>
    <row r="52" spans="1:18" ht="14.4">
      <c r="A52" s="24"/>
      <c r="B52" s="49"/>
      <c r="C52" s="49"/>
      <c r="D52" s="49"/>
      <c r="E52" s="49"/>
      <c r="F52" s="49"/>
      <c r="G52" s="49"/>
      <c r="H52" s="49"/>
      <c r="I52" s="49"/>
      <c r="J52" s="49"/>
      <c r="K52" s="49"/>
      <c r="L52" s="49"/>
      <c r="M52" s="49"/>
      <c r="N52" s="49"/>
      <c r="O52" s="49"/>
      <c r="P52" s="49"/>
      <c r="Q52" s="49"/>
      <c r="R52" s="49"/>
    </row>
    <row r="53" spans="1:18" ht="14.4">
      <c r="A53" s="24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  <c r="O53" s="49"/>
      <c r="P53" s="49"/>
      <c r="Q53" s="49"/>
      <c r="R53" s="49"/>
    </row>
    <row r="54" spans="1:18" ht="14.4">
      <c r="A54" s="24"/>
      <c r="B54" s="49" t="s">
        <v>119</v>
      </c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  <c r="O54" s="49"/>
      <c r="P54" s="49"/>
      <c r="Q54" s="49"/>
      <c r="R54" s="49"/>
    </row>
    <row r="55" spans="1:18" ht="14.4">
      <c r="A55" s="24"/>
      <c r="B55" s="49"/>
      <c r="C55" s="49" t="s">
        <v>123</v>
      </c>
      <c r="D55" s="49"/>
      <c r="E55" s="49"/>
      <c r="F55" s="49"/>
      <c r="G55" s="49"/>
      <c r="H55" s="49"/>
      <c r="I55" s="49"/>
      <c r="J55" s="49"/>
      <c r="K55" s="49"/>
      <c r="L55" s="49"/>
      <c r="M55" s="49"/>
      <c r="N55" s="49"/>
      <c r="O55" s="49"/>
      <c r="P55" s="49"/>
      <c r="Q55" s="49"/>
      <c r="R55" s="49"/>
    </row>
    <row r="56" spans="1:18" ht="14.4">
      <c r="A56" s="24"/>
      <c r="B56" s="49"/>
      <c r="C56" s="49"/>
      <c r="D56" s="49" t="s">
        <v>124</v>
      </c>
      <c r="E56" s="49"/>
      <c r="F56" s="49"/>
      <c r="G56" s="49"/>
      <c r="H56" s="49"/>
      <c r="I56" s="49"/>
      <c r="J56" s="49"/>
      <c r="K56" s="49"/>
      <c r="L56" s="49"/>
      <c r="M56" s="49"/>
      <c r="N56" s="49"/>
      <c r="O56" s="49"/>
      <c r="P56" s="49"/>
      <c r="Q56" s="49"/>
      <c r="R56" s="49"/>
    </row>
    <row r="57" spans="1:18" ht="14.4">
      <c r="A57" s="24"/>
      <c r="B57" s="49"/>
      <c r="C57" s="49"/>
      <c r="D57" s="49" t="s">
        <v>125</v>
      </c>
      <c r="E57" s="49"/>
      <c r="F57" s="49"/>
      <c r="G57" s="49"/>
      <c r="H57" s="49"/>
      <c r="I57" s="49"/>
      <c r="J57" s="49"/>
      <c r="K57" s="49"/>
      <c r="L57" s="49"/>
      <c r="M57" s="49"/>
      <c r="N57" s="49"/>
      <c r="O57" s="49"/>
      <c r="P57" s="49"/>
      <c r="Q57" s="49"/>
      <c r="R57" s="49"/>
    </row>
    <row r="58" spans="1:18" ht="14.4">
      <c r="A58" s="24"/>
      <c r="B58" s="49"/>
      <c r="C58" s="49" t="s">
        <v>126</v>
      </c>
      <c r="D58" s="49"/>
      <c r="E58" s="49"/>
      <c r="F58" s="49"/>
      <c r="G58" s="49"/>
      <c r="H58" s="49"/>
      <c r="I58" s="49"/>
      <c r="J58" s="49"/>
      <c r="K58" s="49"/>
      <c r="L58" s="49"/>
      <c r="M58" s="49"/>
      <c r="N58" s="49"/>
      <c r="O58" s="49"/>
      <c r="P58" s="49"/>
      <c r="Q58" s="49"/>
      <c r="R58" s="49"/>
    </row>
    <row r="59" spans="1:18" ht="14.4">
      <c r="A59" s="24"/>
      <c r="B59" s="49"/>
      <c r="C59" s="49"/>
      <c r="D59" s="49"/>
      <c r="E59" s="49"/>
      <c r="F59" s="49"/>
      <c r="G59" s="49"/>
      <c r="H59" s="49"/>
      <c r="I59" s="49"/>
      <c r="J59" s="49"/>
      <c r="K59" s="49"/>
      <c r="L59" s="49"/>
      <c r="M59" s="49"/>
      <c r="N59" s="49"/>
      <c r="O59" s="49"/>
      <c r="P59" s="49"/>
      <c r="Q59" s="49"/>
      <c r="R59" s="49"/>
    </row>
  </sheetData>
  <sheetProtection selectLockedCells="1" selectUnlockedCells="1"/>
  <mergeCells count="1">
    <mergeCell ref="A2:R2"/>
  </mergeCells>
  <pageMargins left="0.7" right="0.7" top="0.75" bottom="0.75" header="0.3" footer="0.3"/>
  <pageSetup scale="20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99</v>
      </c>
    </row>
    <row r="2" spans="1:1">
      <c r="A2" t="s">
        <v>97</v>
      </c>
    </row>
    <row r="3" spans="1:1">
      <c r="A3" t="s">
        <v>98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AX2"/>
  <sheetViews>
    <sheetView topLeftCell="CF1" workbookViewId="0">
      <selection activeCell="CM2" sqref="CM2"/>
    </sheetView>
  </sheetViews>
  <sheetFormatPr defaultColWidth="8.77734375" defaultRowHeight="14.4"/>
  <sheetData>
    <row r="1" spans="1:50">
      <c r="A1" t="s">
        <v>149</v>
      </c>
      <c r="B1" t="s">
        <v>88</v>
      </c>
      <c r="C1" t="s">
        <v>122</v>
      </c>
      <c r="D1" t="s">
        <v>136</v>
      </c>
      <c r="E1" t="s">
        <v>137</v>
      </c>
      <c r="F1" t="s">
        <v>88</v>
      </c>
      <c r="G1" t="s">
        <v>66</v>
      </c>
      <c r="H1" t="s">
        <v>67</v>
      </c>
      <c r="I1" t="s">
        <v>88</v>
      </c>
      <c r="J1" t="s">
        <v>132</v>
      </c>
      <c r="K1" t="s">
        <v>157</v>
      </c>
      <c r="L1" t="s">
        <v>158</v>
      </c>
      <c r="M1" t="s">
        <v>71</v>
      </c>
      <c r="N1" t="s">
        <v>74</v>
      </c>
      <c r="O1" t="s">
        <v>72</v>
      </c>
      <c r="P1" t="s">
        <v>73</v>
      </c>
      <c r="Q1" t="s">
        <v>163</v>
      </c>
      <c r="R1" t="s">
        <v>164</v>
      </c>
      <c r="S1" t="s">
        <v>165</v>
      </c>
      <c r="T1" t="s">
        <v>166</v>
      </c>
      <c r="U1" t="s">
        <v>167</v>
      </c>
      <c r="V1" t="s">
        <v>168</v>
      </c>
      <c r="W1" t="s">
        <v>169</v>
      </c>
      <c r="X1" t="s">
        <v>170</v>
      </c>
      <c r="Y1" t="s">
        <v>171</v>
      </c>
      <c r="Z1" t="s">
        <v>172</v>
      </c>
      <c r="AA1" t="s">
        <v>173</v>
      </c>
      <c r="AB1" t="s">
        <v>174</v>
      </c>
      <c r="AC1" t="s">
        <v>175</v>
      </c>
      <c r="AD1" t="s">
        <v>176</v>
      </c>
      <c r="AE1" t="s">
        <v>177</v>
      </c>
      <c r="AF1" t="s">
        <v>178</v>
      </c>
      <c r="AG1" t="s">
        <v>192</v>
      </c>
      <c r="AH1" t="s">
        <v>194</v>
      </c>
      <c r="AI1" t="s">
        <v>196</v>
      </c>
      <c r="AJ1" t="s">
        <v>198</v>
      </c>
      <c r="AK1" t="s">
        <v>200</v>
      </c>
      <c r="AL1" t="s">
        <v>202</v>
      </c>
      <c r="AM1" t="s">
        <v>204</v>
      </c>
      <c r="AN1" t="s">
        <v>206</v>
      </c>
      <c r="AO1" t="s">
        <v>208</v>
      </c>
      <c r="AP1" t="s">
        <v>210</v>
      </c>
      <c r="AQ1" t="s">
        <v>212</v>
      </c>
      <c r="AR1" t="s">
        <v>214</v>
      </c>
      <c r="AS1" t="s">
        <v>88</v>
      </c>
      <c r="AT1" t="s">
        <v>84</v>
      </c>
      <c r="AU1" t="s">
        <v>85</v>
      </c>
      <c r="AV1" t="s">
        <v>88</v>
      </c>
      <c r="AW1" t="s">
        <v>127</v>
      </c>
      <c r="AX1" t="s">
        <v>88</v>
      </c>
    </row>
    <row r="2" spans="1:50">
      <c r="A2">
        <v>0.04</v>
      </c>
      <c r="C2">
        <v>1</v>
      </c>
      <c r="G2">
        <v>1.552E-3</v>
      </c>
      <c r="H2">
        <v>8.0999999999999996E-4</v>
      </c>
      <c r="J2">
        <v>318.14999999999998</v>
      </c>
      <c r="K2">
        <v>0.11122116628742247</v>
      </c>
      <c r="L2">
        <v>0.20345335296479725</v>
      </c>
      <c r="AT2">
        <v>62</v>
      </c>
      <c r="AU2">
        <v>19.7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AX2"/>
  <sheetViews>
    <sheetView topLeftCell="CC1" workbookViewId="0">
      <selection activeCell="CR2" sqref="CR2"/>
    </sheetView>
  </sheetViews>
  <sheetFormatPr defaultColWidth="8.77734375" defaultRowHeight="14.4"/>
  <sheetData>
    <row r="1" spans="1:50">
      <c r="A1" t="s">
        <v>149</v>
      </c>
      <c r="B1" t="s">
        <v>88</v>
      </c>
      <c r="C1" t="s">
        <v>122</v>
      </c>
      <c r="D1" t="s">
        <v>136</v>
      </c>
      <c r="E1" t="s">
        <v>137</v>
      </c>
      <c r="F1" t="s">
        <v>88</v>
      </c>
      <c r="G1" t="s">
        <v>66</v>
      </c>
      <c r="H1" t="s">
        <v>67</v>
      </c>
      <c r="I1" t="s">
        <v>88</v>
      </c>
      <c r="J1" t="s">
        <v>132</v>
      </c>
      <c r="K1" t="s">
        <v>157</v>
      </c>
      <c r="L1" t="s">
        <v>158</v>
      </c>
      <c r="M1" t="s">
        <v>71</v>
      </c>
      <c r="N1" t="s">
        <v>74</v>
      </c>
      <c r="O1" t="s">
        <v>72</v>
      </c>
      <c r="P1" t="s">
        <v>73</v>
      </c>
      <c r="Q1" t="s">
        <v>163</v>
      </c>
      <c r="R1" t="s">
        <v>164</v>
      </c>
      <c r="S1" t="s">
        <v>165</v>
      </c>
      <c r="T1" t="s">
        <v>166</v>
      </c>
      <c r="U1" t="s">
        <v>167</v>
      </c>
      <c r="V1" t="s">
        <v>168</v>
      </c>
      <c r="W1" t="s">
        <v>169</v>
      </c>
      <c r="X1" t="s">
        <v>170</v>
      </c>
      <c r="Y1" t="s">
        <v>171</v>
      </c>
      <c r="Z1" t="s">
        <v>172</v>
      </c>
      <c r="AA1" t="s">
        <v>173</v>
      </c>
      <c r="AB1" t="s">
        <v>174</v>
      </c>
      <c r="AC1" t="s">
        <v>175</v>
      </c>
      <c r="AD1" t="s">
        <v>176</v>
      </c>
      <c r="AE1" t="s">
        <v>177</v>
      </c>
      <c r="AF1" t="s">
        <v>178</v>
      </c>
      <c r="AG1" t="s">
        <v>192</v>
      </c>
      <c r="AH1" t="s">
        <v>194</v>
      </c>
      <c r="AI1" t="s">
        <v>196</v>
      </c>
      <c r="AJ1" t="s">
        <v>198</v>
      </c>
      <c r="AK1" t="s">
        <v>200</v>
      </c>
      <c r="AL1" t="s">
        <v>202</v>
      </c>
      <c r="AM1" t="s">
        <v>204</v>
      </c>
      <c r="AN1" t="s">
        <v>206</v>
      </c>
      <c r="AO1" t="s">
        <v>208</v>
      </c>
      <c r="AP1" t="s">
        <v>210</v>
      </c>
      <c r="AQ1" t="s">
        <v>212</v>
      </c>
      <c r="AR1" t="s">
        <v>214</v>
      </c>
      <c r="AS1" t="s">
        <v>88</v>
      </c>
      <c r="AT1" t="s">
        <v>84</v>
      </c>
      <c r="AU1" t="s">
        <v>85</v>
      </c>
      <c r="AV1" t="s">
        <v>88</v>
      </c>
      <c r="AW1" t="s">
        <v>127</v>
      </c>
      <c r="AX1" t="s">
        <v>88</v>
      </c>
    </row>
    <row r="2" spans="1:50">
      <c r="A2">
        <v>1</v>
      </c>
      <c r="B2">
        <v>0</v>
      </c>
      <c r="C2">
        <v>1</v>
      </c>
      <c r="D2">
        <v>0</v>
      </c>
      <c r="E2">
        <v>0</v>
      </c>
      <c r="F2">
        <v>0</v>
      </c>
      <c r="G2">
        <v>1</v>
      </c>
      <c r="H2">
        <v>1</v>
      </c>
      <c r="I2">
        <v>0</v>
      </c>
      <c r="J2">
        <v>1</v>
      </c>
      <c r="K2">
        <v>1</v>
      </c>
      <c r="L2">
        <v>1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1</v>
      </c>
      <c r="AU2">
        <v>1</v>
      </c>
      <c r="AV2">
        <v>0</v>
      </c>
      <c r="AW2">
        <v>0</v>
      </c>
      <c r="AX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7</vt:i4>
      </vt:variant>
    </vt:vector>
  </HeadingPairs>
  <TitlesOfParts>
    <vt:vector size="19" baseType="lpstr">
      <vt:lpstr>Revision History</vt:lpstr>
      <vt:lpstr>References</vt:lpstr>
      <vt:lpstr>Pellet Geometry</vt:lpstr>
      <vt:lpstr>Void Fractions</vt:lpstr>
      <vt:lpstr>Densities</vt:lpstr>
      <vt:lpstr>Adsorption Isotherm</vt:lpstr>
      <vt:lpstr>Adsorption Kinetics</vt:lpstr>
      <vt:lpstr>Thermodynamic Properties</vt:lpstr>
      <vt:lpstr>Help</vt:lpstr>
      <vt:lpstr>maintenance check list</vt:lpstr>
      <vt:lpstr>Data(Transposed)</vt:lpstr>
      <vt:lpstr>Data(Test)</vt:lpstr>
      <vt:lpstr>'Adsorption Isotherm'!Print_Area</vt:lpstr>
      <vt:lpstr>'Adsorption Kinetics'!Print_Area</vt:lpstr>
      <vt:lpstr>Densities!Print_Area</vt:lpstr>
      <vt:lpstr>'Pellet Geometry'!Print_Area</vt:lpstr>
      <vt:lpstr>'Revision History'!Print_Area</vt:lpstr>
      <vt:lpstr>'Thermodynamic Properties'!Print_Area</vt:lpstr>
      <vt:lpstr>'Void Fractions'!Print_Area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2023-04-12T02:01:16Z</dcterms:modified>
</cp:coreProperties>
</file>