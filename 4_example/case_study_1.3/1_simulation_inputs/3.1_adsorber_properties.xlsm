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3\1_simulation_inputs\"/>
    </mc:Choice>
  </mc:AlternateContent>
  <xr:revisionPtr revIDLastSave="0" documentId="13_ncr:1_{7D5384D5-995E-493E-B70A-9D1CBB9B15AE}" xr6:coauthVersionLast="47" xr6:coauthVersionMax="47" xr10:uidLastSave="{00000000-0000-0000-0000-000000000000}"/>
  <bookViews>
    <workbookView xWindow="-108" yWindow="-108" windowWidth="23256" windowHeight="13176" tabRatio="818" activeTab="6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Initialization!$A$1:$J$11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4" i="43" l="1"/>
  <c r="B13" i="43"/>
  <c r="B11" i="43"/>
  <c r="B10" i="43"/>
  <c r="I12" i="42"/>
  <c r="I10" i="42"/>
  <c r="I9" i="42"/>
  <c r="H10" i="45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<sst xmlns="http://schemas.openxmlformats.org/spreadsheetml/2006/main" count="340" uniqueCount="153">
  <si>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</si>
  <si>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</si>
  <si>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</si>
  <si>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</si>
  <si>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</si>
  <si>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</si>
  <si>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</si>
  <si>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</si>
  <si>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</si>
  <si>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</si>
  <si>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</si>
  <si>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</si>
  <si>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</si>
  <si>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</si>
  <si>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</si>
  <si>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</si>
  <si>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</si>
  <si>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</si>
  <si>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</si>
  <si>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</si>
  <si>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</si>
  <si>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</si>
  <si>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</si>
  <si>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</si>
  <si>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</si>
  <si>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</si>
  <si>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</si>
  <si>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</si>
  <si>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</si>
  <si>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</si>
  <si>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</si>
  <si>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</si>
  <si>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</si>
  <si>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</si>
  <si>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</si>
  <si>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</si>
  <si>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</si>
  <si>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</si>
  <si>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</si>
  <si>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</si>
  <si>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</si>
  <si>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</si>
  <si>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</si>
  <si>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</si>
  <si>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</si>
  <si>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</si>
  <si>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</si>
  <si>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</si>
  <si>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</si>
  <si>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</si>
  <si>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</si>
  <si>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</si>
  <si>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</si>
  <si>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</si>
  <si>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</si>
  <si>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</si>
  <si>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</si>
  <si>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</si>
  <si>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</si>
  <si>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</si>
  <si>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</si>
  <si>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</si>
  <si>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</si>
  <si>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</si>
  <si>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</si>
  <si>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</si>
  <si>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</si>
  <si>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</si>
  <si>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</si>
  <si>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</si>
  <si>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</si>
  <si>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</si>
  <si>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</si>
  <si>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</si>
  <si>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</si>
  <si>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</si>
  <si>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</si>
  <si>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</si>
  <si>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</si>
  <si>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</si>
  <si>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</si>
  <si>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</si>
  <si>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</si>
  <si>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</si>
  <si>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</si>
  <si>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</si>
  <si>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</si>
  <si>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</si>
  <si>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</si>
  <si>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</si>
  <si>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</si>
  <si>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</si>
  <si>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</si>
  <si>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</si>
  <si>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</si>
  <si>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</si>
  <si>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</si>
  <si>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</si>
  <si>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</si>
  <si>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</si>
  <si>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</si>
  <si>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</si>
  <si>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</si>
  <si>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</si>
  <si>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</si>
  <si>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</si>
  <si>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</si>
  <si>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</si>
  <si>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</si>
  <si>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</si>
  <si>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</si>
  <si>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</si>
  <si>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</si>
  <si>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</si>
  <si>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</si>
  <si>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</si>
  <si>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</si>
  <si>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</si>
  <si>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</si>
  <si>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</si>
  <si>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</si>
  <si>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</si>
  <si>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</si>
  <si>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</si>
  <si>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</si>
  <si>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</si>
  <si>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</si>
  <si>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</si>
  <si>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</si>
  <si>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</si>
  <si>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</si>
  <si>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</si>
  <si>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</si>
  <si>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</si>
  <si>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inConBed2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</si>
  <si>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</si>
  <si>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</si>
  <si>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</si>
  <si>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</si>
  <si>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</si>
  <si>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</si>
  <si>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</si>
  <si>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</si>
  <si>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</si>
  <si>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</si>
  <si>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</si>
  <si>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</si>
  <si>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</si>
  <si>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</si>
  <si>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</si>
  <si>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</si>
  <si>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</si>
  <si>
    <t>column wall heat capacity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</si>
</sst>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1" totalsRowShown="0" headerRowDxfId="97" dataDxfId="95" headerRowBorderDxfId="96" tableBorderDxfId="94" totalsRowBorderDxfId="93">
  <autoFilter ref="A8:J11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5" hidden="1" customWidth="1"/>
    <col min="3" max="3" width="2.44140625" style="35" customWidth="1"/>
    <col min="4" max="4" width="13.77734375" style="35" customWidth="1"/>
    <col min="5" max="5" width="51.33203125" style="36" bestFit="1" customWidth="1"/>
    <col min="6" max="6" width="15.77734375" style="37" bestFit="1" customWidth="1"/>
    <col min="7" max="9" width="13.33203125" style="35" customWidth="1"/>
    <col min="10" max="10" width="48.77734375" style="35" customWidth="1"/>
    <col min="11" max="11" width="2.44140625" style="35" customWidth="1"/>
    <col min="12" max="12" width="0" style="35" hidden="1" customWidth="1"/>
    <col min="13" max="16384" width="9" style="35" hidden="1"/>
  </cols>
  <sheetData>
    <row r="3" spans="4:10"/>
    <row r="4" spans="4:10" ht="18">
      <c r="D4" s="49" t="s">
        <v>150</v>
      </c>
      <c r="E4" s="38"/>
      <c r="F4" s="39"/>
      <c r="G4" s="40"/>
      <c r="H4" s="40"/>
      <c r="I4" s="40"/>
      <c r="J4" s="41" t="s">
        <v>94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7" t="s">
        <v>35</v>
      </c>
      <c r="E6" s="47" t="s">
        <v>129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4">
      <c r="D7" s="42">
        <v>1</v>
      </c>
      <c r="E7" s="43" t="s">
        <v>149</v>
      </c>
      <c r="F7" s="44">
        <v>44720</v>
      </c>
      <c r="G7" s="42" t="s">
        <v>42</v>
      </c>
      <c r="H7" s="42"/>
      <c r="I7" s="42"/>
      <c r="J7" s="43"/>
    </row>
    <row r="8" spans="4:10" ht="36">
      <c r="D8" s="42">
        <v>2</v>
      </c>
      <c r="E8" s="43" t="s">
        <v>148</v>
      </c>
      <c r="F8" s="44">
        <v>44818</v>
      </c>
      <c r="G8" s="42" t="s">
        <v>42</v>
      </c>
      <c r="H8" s="42"/>
      <c r="I8" s="42"/>
      <c r="J8" s="43"/>
    </row>
    <row r="9" spans="4:10" ht="18">
      <c r="D9" s="42">
        <v>3</v>
      </c>
      <c r="E9" s="43"/>
      <c r="F9" s="44"/>
      <c r="G9" s="42"/>
      <c r="H9" s="42"/>
      <c r="I9" s="42"/>
      <c r="J9" s="43"/>
    </row>
    <row r="10" spans="4:10" ht="18">
      <c r="D10" s="42">
        <v>4</v>
      </c>
      <c r="E10" s="43"/>
      <c r="F10" s="44"/>
      <c r="G10" s="42"/>
      <c r="H10" s="42"/>
      <c r="I10" s="42"/>
      <c r="J10" s="43"/>
    </row>
    <row r="11" spans="4:10" ht="18">
      <c r="D11" s="42">
        <v>5</v>
      </c>
      <c r="E11" s="43"/>
      <c r="F11" s="44"/>
      <c r="G11" s="42"/>
      <c r="H11" s="42"/>
      <c r="I11" s="42"/>
      <c r="J11" s="43"/>
    </row>
    <row r="12" spans="4:10" ht="18">
      <c r="D12" s="42">
        <v>6</v>
      </c>
      <c r="E12" s="43"/>
      <c r="F12" s="44"/>
      <c r="G12" s="42"/>
      <c r="H12" s="42"/>
      <c r="I12" s="42"/>
      <c r="J12" s="43"/>
    </row>
    <row r="13" spans="4:10" ht="18">
      <c r="D13" s="42">
        <v>7</v>
      </c>
      <c r="E13" s="43"/>
      <c r="F13" s="44"/>
      <c r="G13" s="42"/>
      <c r="H13" s="42"/>
      <c r="I13" s="42"/>
      <c r="J13" s="43"/>
    </row>
    <row r="14" spans="4:10" ht="18">
      <c r="D14" s="42">
        <v>8</v>
      </c>
      <c r="E14" s="43"/>
      <c r="F14" s="44"/>
      <c r="G14" s="42"/>
      <c r="H14" s="42"/>
      <c r="I14" s="42"/>
      <c r="J14" s="43"/>
    </row>
    <row r="15" spans="4:10" ht="18">
      <c r="D15" s="42">
        <v>9</v>
      </c>
      <c r="E15" s="43"/>
      <c r="F15" s="44"/>
      <c r="G15" s="42"/>
      <c r="H15" s="42"/>
      <c r="I15" s="42"/>
      <c r="J15" s="43"/>
    </row>
    <row r="16" spans="4:10" ht="18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109</v>
      </c>
      <c r="S1" t="s">
        <v>110</v>
      </c>
      <c r="T1" t="s">
        <v>119</v>
      </c>
      <c r="U1" t="s">
        <v>120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121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122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123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124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125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126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127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114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115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1"/>
  <sheetViews>
    <sheetView showGridLines="0" zoomScaleNormal="85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59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2</v>
      </c>
      <c r="I9" s="6">
        <v>1</v>
      </c>
      <c r="J9" s="5" t="s">
        <v>151</v>
      </c>
    </row>
    <row r="10" spans="1:10" ht="259.2">
      <c r="A10" s="48" t="s">
        <v>134</v>
      </c>
      <c r="B10" s="31">
        <v>1</v>
      </c>
      <c r="C10" s="2" t="s">
        <v>3</v>
      </c>
      <c r="D10" s="1" t="s">
        <v>31</v>
      </c>
      <c r="E10" s="1" t="s">
        <v>91</v>
      </c>
      <c r="F10" s="2" t="s">
        <v>45</v>
      </c>
      <c r="G10" s="1"/>
      <c r="H10" s="55">
        <f>[1]Initialization!$B$10</f>
        <v>2</v>
      </c>
      <c r="I10" s="6">
        <v>1</v>
      </c>
      <c r="J10" s="5" t="s">
        <v>151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hdW+iJoueFE/5AbfaHreXpkPPrFu5gidiHNB0Tw/UIV2uEN/YxbLM8Y8oAcQ3wmjr1HCJ4v4S1no90pccPj14w==" saltValue="f62kqFTJ6OxCBpXZVohDeg==" spinCount="100000" sheet="1" objects="1" scenarios="1" selectLockedCells="1"/>
  <mergeCells count="2">
    <mergeCell ref="A2:J2"/>
    <mergeCell ref="J3:J7"/>
  </mergeCells>
  <conditionalFormatting sqref="B9 B11">
    <cfRule type="expression" dxfId="105" priority="4">
      <formula>IF(AND($B9&lt;&gt;"",$I9=0),1,0)</formula>
    </cfRule>
    <cfRule type="expression" dxfId="104" priority="5">
      <formula>IF($B9&lt;&gt;"",1,0)</formula>
    </cfRule>
    <cfRule type="expression" dxfId="103" priority="6">
      <formula>$I9=0</formula>
    </cfRule>
  </conditionalFormatting>
  <conditionalFormatting sqref="J3">
    <cfRule type="expression" dxfId="102" priority="2451">
      <formula>IF(COUNTA($B$9:$B$11)&lt;&gt;COUNTIF($I$9:$I$11,1),1,0)</formula>
    </cfRule>
    <cfRule type="expression" dxfId="101" priority="2452">
      <formula>IF(COUNTA($B$9:$B$11)=COUNTIF($I$9:$I$11,1),1,0)</formula>
    </cfRule>
  </conditionalFormatting>
  <conditionalFormatting sqref="B10">
    <cfRule type="expression" dxfId="100" priority="1">
      <formula>IF(AND($B10&lt;&gt;"",$I10=0),1,0)</formula>
    </cfRule>
    <cfRule type="expression" dxfId="99" priority="2">
      <formula>IF($B10&lt;&gt;"",1,0)</formula>
    </cfRule>
    <cfRule type="expression" dxfId="98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B9:B10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E9:E11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F9:F11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A13" sqref="A13:XFD13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8" t="s">
        <v>128</v>
      </c>
      <c r="B9" s="31">
        <v>76.2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3.2">
      <c r="A10" s="48" t="s">
        <v>102</v>
      </c>
      <c r="B10" s="31">
        <v>1.143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28.8">
      <c r="A11" s="4" t="s">
        <v>103</v>
      </c>
      <c r="B11" s="31">
        <v>1.643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4.4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YD4D6ySipXZxjZ/MWZaTnySv0wtUx3aBl5UG+x9vSf6z6oNVWjYOUgpTWJ3XgIXG5xPxZDTma1Cq1NQKH9ODA==" saltValue="ntHAT0Kyk42S2B+149/bXA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A12" sqref="A12:XFD16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" t="s">
        <v>70</v>
      </c>
      <c r="B9" s="31">
        <v>0.48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28.8">
      <c r="A10" s="4" t="s">
        <v>33</v>
      </c>
      <c r="B10" s="31">
        <v>0.25240000000000001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ep4lA/0JiHR72l8ys+6vfEByicf22XyagOTIsxgYRAggr4QiDrJ+Rh8SawR98IHO15b5N+tkx/Hw9SwPItnjyw==" saltValue="pyVUOxF+dShF7rHPnfUM7A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3.2">
      <c r="A9" s="48" t="s">
        <v>142</v>
      </c>
      <c r="B9" s="31">
        <v>3.0856051519999999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136</v>
      </c>
    </row>
    <row r="10" spans="1:10" ht="43.2">
      <c r="A10" s="48" t="s">
        <v>144</v>
      </c>
      <c r="B10" s="31">
        <f>1.05*B9</f>
        <v>3.2398854095999998</v>
      </c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1</v>
      </c>
      <c r="J10" s="5" t="s">
        <v>141</v>
      </c>
    </row>
    <row r="11" spans="1:10" ht="43.2">
      <c r="A11" s="4" t="s">
        <v>147</v>
      </c>
      <c r="B11" s="31">
        <f>B9</f>
        <v>3.0856051519999999</v>
      </c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1</v>
      </c>
      <c r="J11" s="5" t="s">
        <v>138</v>
      </c>
    </row>
    <row r="12" spans="1:10" ht="72">
      <c r="A12" s="48" t="s">
        <v>143</v>
      </c>
      <c r="B12" s="31">
        <v>0.47649581499999999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137</v>
      </c>
    </row>
    <row r="13" spans="1:10" ht="43.2">
      <c r="A13" s="48" t="s">
        <v>145</v>
      </c>
      <c r="B13" s="31">
        <f>0.95*B12</f>
        <v>0.45267102424999994</v>
      </c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1</v>
      </c>
      <c r="J13" s="5" t="s">
        <v>140</v>
      </c>
    </row>
    <row r="14" spans="1:10" ht="43.2">
      <c r="A14" s="4" t="s">
        <v>146</v>
      </c>
      <c r="B14" s="31">
        <f>B12</f>
        <v>0.47649581499999999</v>
      </c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1</v>
      </c>
      <c r="J14" s="5" t="s">
        <v>139</v>
      </c>
    </row>
    <row r="15" spans="1:10" ht="57.6">
      <c r="A15" s="4" t="s">
        <v>116</v>
      </c>
      <c r="B15" s="31">
        <v>318.14999999999998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135</v>
      </c>
    </row>
    <row r="16" spans="1:10" ht="14.4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vIlurNNK29FJ+Jghoyqa+nT4OXe0xmhWBdGFQnW7jnzIsyNzfJMFuDi5fa3oe3Kwr6iDmcPZOkgxJOonkOg2aA==" saltValue="x5sRab4p4UJhvnCaNxIPZQ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tabSelected="1" zoomScaleNormal="100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.8">
      <c r="A9" s="48" t="s">
        <v>112</v>
      </c>
      <c r="B9" s="31">
        <v>10</v>
      </c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1</v>
      </c>
      <c r="J9" s="5" t="s">
        <v>104</v>
      </c>
    </row>
    <row r="10" spans="1:10" ht="28.8">
      <c r="A10" s="48" t="s">
        <v>113</v>
      </c>
      <c r="B10" s="31">
        <v>12</v>
      </c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1</v>
      </c>
      <c r="J10" s="5" t="s">
        <v>105</v>
      </c>
    </row>
    <row r="11" spans="1:10" ht="14.4">
      <c r="A11" s="48" t="s">
        <v>117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4.4">
      <c r="A12" s="48" t="s">
        <v>118</v>
      </c>
      <c r="B12" s="31">
        <v>502.32</v>
      </c>
      <c r="C12" s="34" t="s">
        <v>111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1</v>
      </c>
      <c r="J12" s="5" t="s">
        <v>152</v>
      </c>
    </row>
    <row r="13" spans="1:10" ht="14.4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aEb8JX3TtQ6ra4pPiVLtbWszp4zxSk/dNUrkgGnl/OkucUTIS3OfG1coIBSjtseLza4uc07JscHsXhaXpyQsqA==" saltValue="9Y42bUyUWFaXozulfKINyw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7734375" style="50" customWidth="1"/>
    <col min="3" max="3" width="13.109375" style="50" customWidth="1"/>
    <col min="4" max="4" width="13.44140625" style="50" customWidth="1"/>
    <col min="5" max="6" width="8.77734375" style="50" customWidth="1"/>
    <col min="7" max="7" width="14.7773437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44140625" style="50" customWidth="1"/>
    <col min="12" max="17" width="8.77734375" style="50" customWidth="1"/>
    <col min="18" max="16384" width="8.77734375" style="50" hidden="1"/>
  </cols>
  <sheetData>
    <row r="1" spans="1:17" ht="14.4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4.4">
      <c r="A2" s="63" t="s">
        <v>130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4.4">
      <c r="A4" s="51"/>
      <c r="B4" s="52" t="s">
        <v>131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4.4">
      <c r="A5" s="51"/>
      <c r="B5" s="53"/>
      <c r="C5" s="52" t="s">
        <v>132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4.4">
      <c r="A6" s="51"/>
      <c r="B6" s="52"/>
      <c r="C6" s="52" t="s">
        <v>133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4.4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W2"/>
  <sheetViews>
    <sheetView workbookViewId="0">
      <selection activeCell="P2" sqref="P2"/>
    </sheetView>
  </sheetViews>
  <sheetFormatPr defaultColWidth="8.77734375" defaultRowHeight="14.4"/>
  <cols>
    <col min="7" max="7" width="12" bestFit="1" customWidth="1"/>
    <col min="15" max="15" width="12" bestFit="1" customWidth="1"/>
    <col min="16" max="16" width="13.109375" bestFit="1" customWidth="1"/>
  </cols>
  <sheetData>
    <row r="1" spans="1:23">
      <c r="A1" t="s">
        <v>106</v>
      </c>
      <c r="B1" t="s">
        <v>134</v>
      </c>
      <c r="C1" t="s">
        <v>86</v>
      </c>
      <c r="D1" t="s">
        <v>128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142</v>
      </c>
      <c r="L1" t="s">
        <v>144</v>
      </c>
      <c r="M1" t="s">
        <v>147</v>
      </c>
      <c r="N1" t="s">
        <v>143</v>
      </c>
      <c r="O1" t="s">
        <v>145</v>
      </c>
      <c r="P1" t="s">
        <v>146</v>
      </c>
      <c r="Q1" t="s">
        <v>116</v>
      </c>
      <c r="R1" t="s">
        <v>86</v>
      </c>
      <c r="S1" t="s">
        <v>112</v>
      </c>
      <c r="T1" t="s">
        <v>113</v>
      </c>
      <c r="U1" t="s">
        <v>117</v>
      </c>
      <c r="V1" t="s">
        <v>118</v>
      </c>
      <c r="W1" t="s">
        <v>86</v>
      </c>
    </row>
    <row r="2" spans="1:23">
      <c r="A2">
        <v>5</v>
      </c>
      <c r="B2">
        <v>1</v>
      </c>
      <c r="D2">
        <v>76.2</v>
      </c>
      <c r="E2">
        <v>1.143</v>
      </c>
      <c r="F2">
        <v>1.643</v>
      </c>
      <c r="H2">
        <v>0.48</v>
      </c>
      <c r="I2">
        <v>0.25240000000000001</v>
      </c>
      <c r="K2">
        <v>3.0856051519999999</v>
      </c>
      <c r="L2">
        <v>3.2398854095999998</v>
      </c>
      <c r="M2">
        <v>3.0856051519999999</v>
      </c>
      <c r="N2">
        <v>0.47649581499999999</v>
      </c>
      <c r="O2">
        <v>0.45267102424999994</v>
      </c>
      <c r="P2">
        <v>0.47649581499999999</v>
      </c>
      <c r="Q2">
        <v>318.14999999999998</v>
      </c>
      <c r="S2">
        <v>10</v>
      </c>
      <c r="T2">
        <v>12</v>
      </c>
      <c r="U2">
        <v>7.8300000000000002E-3</v>
      </c>
      <c r="V2">
        <v>502.32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W2"/>
  <sheetViews>
    <sheetView topLeftCell="CC1" workbookViewId="0">
      <selection activeCell="CR2" sqref="CR2"/>
    </sheetView>
  </sheetViews>
  <sheetFormatPr defaultColWidth="8.77734375" defaultRowHeight="14.4"/>
  <sheetData>
    <row r="1" spans="1:23">
      <c r="A1" t="s">
        <v>106</v>
      </c>
      <c r="B1" t="s">
        <v>134</v>
      </c>
      <c r="C1" t="s">
        <v>86</v>
      </c>
      <c r="D1" t="s">
        <v>128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142</v>
      </c>
      <c r="L1" t="s">
        <v>144</v>
      </c>
      <c r="M1" t="s">
        <v>147</v>
      </c>
      <c r="N1" t="s">
        <v>143</v>
      </c>
      <c r="O1" t="s">
        <v>145</v>
      </c>
      <c r="P1" t="s">
        <v>146</v>
      </c>
      <c r="Q1" t="s">
        <v>116</v>
      </c>
      <c r="R1" t="s">
        <v>86</v>
      </c>
      <c r="S1" t="s">
        <v>112</v>
      </c>
      <c r="T1" t="s">
        <v>113</v>
      </c>
      <c r="U1" t="s">
        <v>117</v>
      </c>
      <c r="V1" t="s">
        <v>118</v>
      </c>
      <c r="W1" t="s">
        <v>86</v>
      </c>
    </row>
    <row r="2" spans="1:23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1</v>
      </c>
      <c r="J2">
        <v>0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0</v>
      </c>
      <c r="S2">
        <v>1</v>
      </c>
      <c r="T2">
        <v>1</v>
      </c>
      <c r="U2">
        <v>1</v>
      </c>
      <c r="V2">
        <v>1</v>
      </c>
      <c r="W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2022-11-07T01:52:10Z</dcterms:modified>
</cp:coreProperties>
</file>