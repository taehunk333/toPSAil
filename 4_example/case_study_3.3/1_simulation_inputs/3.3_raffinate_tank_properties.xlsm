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3\1_simulation_inputs\"/>
    </mc:Choice>
  </mc:AlternateContent>
  <xr:revisionPtr revIDLastSave="0" documentId="13_ncr:1_{E6552B02-1EE2-47DF-A16F-8B8F68A27504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B10" i="44"/>
  <c r="B11" i="44"/>
  <c r="I13" i="31"/>
  <c r="I11" i="31"/>
  <c r="I10" i="31"/>
  <c r="I12" i="44"/>
  <c r="I11" i="44"/>
  <c r="I10" i="44"/>
  <c r="J2" i="44" l="1"/>
  <c r="A2" i="44"/>
  <c r="J2" i="31"/>
  <c r="A2" i="31"/>
  <c r="J2" i="43"/>
  <c r="A2" i="43"/>
  <c r="J2" i="40"/>
  <c r="A2" i="40"/>
  <c r="J4" i="43" l="1"/>
  <c r="J4" i="40" l="1"/>
  <c r="J4" i="31"/>
  <c r="J4" i="4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<sst xmlns="http://schemas.openxmlformats.org/spreadsheetml/2006/main" count="281" uniqueCount="140">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</sst>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98" dataDxfId="96" headerRowBorderDxfId="97" tableBorderDxfId="95" totalsRowBorderDxfId="94">
  <autoFilter ref="A9:J13" xr:uid="{B089C5C3-2CCE-4800-96CA-2131BB6E3E4F}"/>
  <tableColumns count="10">
    <tableColumn id="1" xr3:uid="{3E4F27FA-9CCD-488C-9FFE-8189DF89B2B5}" name="Variable" dataDxfId="93"/>
    <tableColumn id="4" xr3:uid="{4D38B92D-B1E9-4DDE-B914-6A4E9DB63C9E}" name="Value" dataDxfId="92"/>
    <tableColumn id="5" xr3:uid="{DE2ACEA5-F459-4C5B-ADEC-6214F75935FA}" name="Unit" dataDxfId="91"/>
    <tableColumn id="6" xr3:uid="{BBE9846A-4956-4FAF-848B-0B1F56311296}" name="Comparisons" dataDxfId="90"/>
    <tableColumn id="7" xr3:uid="{7604F104-935C-4D6C-98BF-97589769DD42}" name="Variable Type" dataDxfId="89"/>
    <tableColumn id="8" xr3:uid="{7D3892CD-8765-4699-977F-B3AA8A9AB120}" name="Dependency" dataDxfId="88"/>
    <tableColumn id="12" xr3:uid="{161D2FD1-7A78-4D8E-8024-885B20FF313F}" name="Test 1" dataDxfId="87"/>
    <tableColumn id="10" xr3:uid="{1AA44E52-6629-487F-B43F-5CEC7D36BB2A}" name="Test 2" dataDxfId="86"/>
    <tableColumn id="2" xr3:uid="{6AF5B301-E925-40CD-B0FD-ED73E5B71C10}" name="Test 3" dataDxfId="85"/>
    <tableColumn id="9" xr3:uid="{29E572B6-C772-4761-B1A5-7C1BBC5A9A8E}" name="Description" dataDxfId="8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83" dataDxfId="81" headerRowBorderDxfId="82" tableBorderDxfId="80" totalsRowBorderDxfId="79">
  <autoFilter ref="A9:J13" xr:uid="{B089C5C3-2CCE-4800-96CA-2131BB6E3E4F}"/>
  <tableColumns count="10">
    <tableColumn id="1" xr3:uid="{33A6A58D-364D-4A35-922C-DE212771E5A3}" name="Variable" dataDxfId="78"/>
    <tableColumn id="4" xr3:uid="{941C2A7D-BF3F-418E-B42D-DD80A4DE2A81}" name="Value" dataDxfId="77"/>
    <tableColumn id="5" xr3:uid="{C4E86D48-03E8-46FA-B8CA-6F5D6C6A2D12}" name="Unit" dataDxfId="76"/>
    <tableColumn id="6" xr3:uid="{665361F6-20BF-415D-BBF1-F45B832A29DE}" name="Comparisons" dataDxfId="75"/>
    <tableColumn id="7" xr3:uid="{F7A189BB-30E4-471C-9393-FF44966433C9}" name="Variable Type" dataDxfId="74"/>
    <tableColumn id="8" xr3:uid="{536CEEB4-5D6D-4FC9-B347-8D4F6CE10C67}" name="Dependency" dataDxfId="73"/>
    <tableColumn id="12" xr3:uid="{41F5DBE5-C5A3-4D63-A4BF-9774F11F14D3}" name="Test 1" dataDxfId="72"/>
    <tableColumn id="10" xr3:uid="{75ACAF5C-BDFE-45DE-AD7B-8EA0171A905D}" name="Test 2" dataDxfId="71"/>
    <tableColumn id="2" xr3:uid="{E0C16DCE-CCB9-4239-B5AF-7F90FE1422EF}" name="Test 3" dataDxfId="70"/>
    <tableColumn id="9" xr3:uid="{11A90378-9784-4E77-9A9A-BDE1BD80CAC4}" name="Description" dataDxfId="6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68" dataDxfId="66" headerRowBorderDxfId="67" tableBorderDxfId="65" totalsRowBorderDxfId="64">
  <autoFilter ref="A9:J14" xr:uid="{B089C5C3-2CCE-4800-96CA-2131BB6E3E4F}"/>
  <tableColumns count="10">
    <tableColumn id="1" xr3:uid="{897C7A45-3F96-4FAD-9D88-64BEDA59EE04}" name="Variable" dataDxfId="63"/>
    <tableColumn id="4" xr3:uid="{AC44F3C7-74B4-4404-BA30-07059568F4CD}" name="Value" dataDxfId="62"/>
    <tableColumn id="5" xr3:uid="{6083DF57-24E4-4D4A-B84A-AB4CE9566C0A}" name="Unit" dataDxfId="61"/>
    <tableColumn id="6" xr3:uid="{7B5B4F38-11BC-48C2-B29A-22FAFA39A76A}" name="Comparisons" dataDxfId="60"/>
    <tableColumn id="7" xr3:uid="{687831A6-7122-45C8-9279-6A017FA30571}" name="Variable Type" dataDxfId="59"/>
    <tableColumn id="8" xr3:uid="{F0D98687-63CA-49F2-A0F5-F43443FEED82}" name="Dependency" dataDxfId="58"/>
    <tableColumn id="12" xr3:uid="{57EFF7D5-281B-4073-9550-73D369BA3603}" name="Test 1" dataDxfId="57"/>
    <tableColumn id="10" xr3:uid="{886EC4A5-54AE-4612-B5FF-8B6E7B32A853}" name="Test 2" dataDxfId="56"/>
    <tableColumn id="2" xr3:uid="{C5B5DD0C-C82D-4FD9-A165-974B4B54478C}" name="Test 3" dataDxfId="55"/>
    <tableColumn id="9" xr3:uid="{E8B12666-0292-4BAB-9166-E185CB24DBFE}" name="Description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53" dataDxfId="51" headerRowBorderDxfId="52" tableBorderDxfId="50" totalsRowBorderDxfId="49">
  <autoFilter ref="A9:J13" xr:uid="{B089C5C3-2CCE-4800-96CA-2131BB6E3E4F}"/>
  <tableColumns count="10">
    <tableColumn id="1" xr3:uid="{7B96E1E5-F914-134F-92CB-11A246CE83CF}" name="Variable" dataDxfId="48"/>
    <tableColumn id="4" xr3:uid="{769FCB14-07FC-C744-854D-32A560D0AF7A}" name="Value" dataDxfId="47">
      <calculatedColumnFormula>500000/101325</calculatedColumnFormula>
    </tableColumn>
    <tableColumn id="5" xr3:uid="{72A57B60-A9BA-AE4D-A8F2-15A7CE6E01F2}" name="Unit" dataDxfId="46"/>
    <tableColumn id="6" xr3:uid="{0B5A6A21-E099-944F-B63D-34DD49049A32}" name="Comparisons" dataDxfId="45"/>
    <tableColumn id="7" xr3:uid="{FA5D9905-FBB3-8046-A15F-70FC367F1300}" name="Variable Type" dataDxfId="44"/>
    <tableColumn id="8" xr3:uid="{B5D6DCA6-6A6D-FF4C-8D65-BCD68325F679}" name="Dependency" dataDxfId="43"/>
    <tableColumn id="12" xr3:uid="{6E9A6F79-99F9-4743-BEFC-2D32C4AC335A}" name="Test 1" dataDxfId="42"/>
    <tableColumn id="10" xr3:uid="{C289927B-FF71-D34E-934B-A67BC094E72F}" name="Test 2" dataDxfId="41"/>
    <tableColumn id="2" xr3:uid="{BB8A802E-BB46-104C-AA29-A71DDC86E102}" name="Test 3" dataDxfId="40"/>
    <tableColumn id="9" xr3:uid="{933A5953-2B8A-914C-A6C0-D1761A99B722}" name="Description" dataDxfId="3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301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2">
        <f>500/100*0.95</f>
        <v>4.75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/MCNbGaGScp3PTaRTOb89aqU0kPxjIUmgvAX0kwnLBoQPTJBECHHmPfwIz/nq5JP48IE99mSo5/TD6ky65v+mA==" saltValue="W8Bh7PYPSAS/yy7+7KqtHw==" spinCount="100000" sheet="1" objects="1" scenarios="1" selectLockedCells="1"/>
  <mergeCells count="2">
    <mergeCell ref="A3:J3"/>
    <mergeCell ref="J4:J8"/>
  </mergeCells>
  <conditionalFormatting sqref="B13">
    <cfRule type="expression" dxfId="38" priority="44">
      <formula>IF(AND($B13&lt;&gt;"",$I13=0),1,0)</formula>
    </cfRule>
    <cfRule type="expression" dxfId="37" priority="45">
      <formula>IF($B13&lt;&gt;"",1,0)</formula>
    </cfRule>
    <cfRule type="expression" dxfId="36" priority="46">
      <formula>$I13=0</formula>
    </cfRule>
  </conditionalFormatting>
  <conditionalFormatting sqref="B10">
    <cfRule type="expression" dxfId="35" priority="35">
      <formula>IF(AND($B10&lt;&gt;"",$I10=0),1,0)</formula>
    </cfRule>
    <cfRule type="expression" dxfId="34" priority="36">
      <formula>IF($B10&lt;&gt;"",1,0)</formula>
    </cfRule>
    <cfRule type="expression" dxfId="33" priority="37">
      <formula>$I10=0</formula>
    </cfRule>
  </conditionalFormatting>
  <conditionalFormatting sqref="B11">
    <cfRule type="expression" dxfId="32" priority="5">
      <formula>IF(AND($B11&lt;&gt;"",$I11=0),1,0)</formula>
    </cfRule>
    <cfRule type="expression" dxfId="31" priority="6">
      <formula>IF($B11&lt;&gt;"",1,0)</formula>
    </cfRule>
    <cfRule type="expression" dxfId="30" priority="7">
      <formula>$I11=0</formula>
    </cfRule>
  </conditionalFormatting>
  <conditionalFormatting sqref="J4">
    <cfRule type="expression" dxfId="29" priority="2250">
      <formula>IF(COUNTA($B$10:$B$13)&lt;&gt;COUNTIF($I$10:$I$13,1),1,0)</formula>
    </cfRule>
    <cfRule type="expression" dxfId="28" priority="2251">
      <formula>IF(COUNTA($B$10:$B$13)=COUNTIF($I$10:$I$13,1),1,0)</formula>
    </cfRule>
  </conditionalFormatting>
  <conditionalFormatting sqref="B12">
    <cfRule type="notContainsBlanks" dxfId="2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100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sCPMZIZyg72Crk6YKl9vsHa70oRt57xwKnRrQa8k5pL7xTOgwTRhF1X31m/rBEo/TEsTJLaxC152cT7gH8ZUow==" saltValue="/T/C6WCZvWRVe7ect++fWg==" spinCount="100000" sheet="1" objects="1" scenarios="1" selectLockedCells="1"/>
  <mergeCells count="2">
    <mergeCell ref="A3:J3"/>
    <mergeCell ref="J4:J8"/>
  </mergeCells>
  <conditionalFormatting sqref="B13">
    <cfRule type="expression" dxfId="26" priority="31">
      <formula>IF(AND($B13&lt;&gt;"",$I13=0),1,0)</formula>
    </cfRule>
    <cfRule type="expression" dxfId="25" priority="32">
      <formula>IF($B13&lt;&gt;"",1,0)</formula>
    </cfRule>
    <cfRule type="expression" dxfId="24" priority="33">
      <formula>$I13=0</formula>
    </cfRule>
  </conditionalFormatting>
  <conditionalFormatting sqref="B10:B12">
    <cfRule type="expression" dxfId="23" priority="1">
      <formula>IF(AND($B10&lt;&gt;"",$I10=0),1,0)</formula>
    </cfRule>
    <cfRule type="expression" dxfId="22" priority="2">
      <formula>IF($B10&lt;&gt;"",1,0)</formula>
    </cfRule>
    <cfRule type="expression" dxfId="21" priority="3">
      <formula>$I10=0</formula>
    </cfRule>
  </conditionalFormatting>
  <conditionalFormatting sqref="J4">
    <cfRule type="expression" dxfId="20" priority="2251">
      <formula>IF(COUNTA($B$10:$B$13)&lt;&gt;COUNTIF($I$10:$I$13,1),1,0)</formula>
    </cfRule>
    <cfRule type="expression" dxfId="19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48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1</v>
      </c>
      <c r="J11" s="5" t="s">
        <v>137</v>
      </c>
    </row>
    <row r="12" spans="1:10" ht="14.4">
      <c r="A12" s="38" t="s">
        <v>121</v>
      </c>
      <c r="B12" s="32"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500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SEuJJ87RqoFZQqxwiUEi7yJ2VM3cxNtNcqL1//E0vzDVYhquMDn9TnoW41dDlbbhXCNdECQdd39TN3gBTezUkA==" saltValue="zMdTgjznKea18njyMfMBfQ==" spinCount="100000" sheet="1" objects="1" scenarios="1" selectLockedCells="1"/>
  <mergeCells count="2">
    <mergeCell ref="A3:J3"/>
    <mergeCell ref="J4:J8"/>
  </mergeCells>
  <conditionalFormatting sqref="B14">
    <cfRule type="expression" dxfId="18" priority="94">
      <formula>IF(AND($B14&lt;&gt;"",$I14=0),1,0)</formula>
    </cfRule>
    <cfRule type="expression" dxfId="17" priority="95">
      <formula>IF($B14&lt;&gt;"",1,0)</formula>
    </cfRule>
    <cfRule type="expression" dxfId="16" priority="96">
      <formula>$I14=0</formula>
    </cfRule>
  </conditionalFormatting>
  <conditionalFormatting sqref="B10:B11">
    <cfRule type="expression" dxfId="15" priority="1">
      <formula>IF(AND($B10&lt;&gt;"",$I10=0),1,0)</formula>
    </cfRule>
    <cfRule type="expression" dxfId="14" priority="2">
      <formula>IF($B10&lt;&gt;"",1,0)</formula>
    </cfRule>
    <cfRule type="expression" dxfId="13" priority="3">
      <formula>$I10=0</formula>
    </cfRule>
  </conditionalFormatting>
  <conditionalFormatting sqref="B12:B13">
    <cfRule type="expression" dxfId="12" priority="4">
      <formula>IF(AND($B12&lt;&gt;"",$I12=0),1,0)</formula>
    </cfRule>
    <cfRule type="expression" dxfId="11" priority="5">
      <formula>IF($B12&lt;&gt;"",1,0)</formula>
    </cfRule>
    <cfRule type="expression" dxfId="10" priority="6">
      <formula>$I12=0</formula>
    </cfRule>
  </conditionalFormatting>
  <conditionalFormatting sqref="J4">
    <cfRule type="expression" dxfId="9" priority="2253">
      <formula>IF(COUNTA($B$10:$B$14)&lt;&gt;COUNTIF($I$10:$I$14,1),1,0)</formula>
    </cfRule>
    <cfRule type="expression" dxfId="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A14" sqref="A14:XFD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7" width="0" style="3" hidden="1" customWidth="1"/>
    <col min="18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f>500000/101325</f>
        <v>4.9346163335800641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1">
        <f>[1]Initialization!$B$12</f>
        <v>1</v>
      </c>
      <c r="J10" s="5" t="s">
        <v>128</v>
      </c>
    </row>
    <row r="11" spans="1:10" ht="14.4">
      <c r="A11" s="38" t="s">
        <v>126</v>
      </c>
      <c r="B11" s="32">
        <f>500000/101325*0.95</f>
        <v>4.6878855169010611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1</v>
      </c>
      <c r="J11" s="5" t="s">
        <v>129</v>
      </c>
    </row>
    <row r="12" spans="1:10" ht="28.8">
      <c r="A12" s="38" t="s">
        <v>125</v>
      </c>
      <c r="B12" s="53">
        <v>5.0000000000000004E-6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1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GEmcQcDiBIAgHd+n7PcnUyhXX5zakKd/KkQgOczTiQFtmgGbsTZQlQCJaKmVmJVxq9Ltxrbyv9hELf2LWiH6UA==" saltValue="XTOKVUZhnBmenTJ4I1lkkA==" spinCount="100000" sheet="1" objects="1" scenarios="1" selectLockedCells="1"/>
  <mergeCells count="2">
    <mergeCell ref="A3:J3"/>
    <mergeCell ref="J4:J8"/>
  </mergeCells>
  <conditionalFormatting sqref="B12:B13">
    <cfRule type="expression" dxfId="7" priority="7">
      <formula>IF(AND($B12&lt;&gt;"",$I12=0),1,0)</formula>
    </cfRule>
    <cfRule type="expression" dxfId="6" priority="8">
      <formula>IF($B12&lt;&gt;"",1,0)</formula>
    </cfRule>
    <cfRule type="expression" dxfId="5" priority="9">
      <formula>$I12=0</formula>
    </cfRule>
  </conditionalFormatting>
  <conditionalFormatting sqref="B10:B11">
    <cfRule type="expression" dxfId="4" priority="1">
      <formula>IF(AND($B10&lt;&gt;"",$I10=0),1,0)</formula>
    </cfRule>
    <cfRule type="expression" dxfId="3" priority="2">
      <formula>IF($B10&lt;&gt;"",1,0)</formula>
    </cfRule>
    <cfRule type="expression" dxfId="2" priority="3">
      <formula>$I10=0</formula>
    </cfRule>
  </conditionalFormatting>
  <conditionalFormatting sqref="J4">
    <cfRule type="expression" dxfId="1" priority="2258">
      <formula>IF(COUNTA($B$10:$B$13)&lt;&gt;COUNTIF($I$10:$I$13,1),1,0)</formula>
    </cfRule>
    <cfRule type="expression" dxfId="0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301</v>
      </c>
      <c r="C2">
        <v>4.75</v>
      </c>
      <c r="E2">
        <v>20</v>
      </c>
      <c r="F2">
        <v>20.5</v>
      </c>
      <c r="G2">
        <v>100</v>
      </c>
      <c r="I2">
        <v>48</v>
      </c>
      <c r="J2">
        <v>1E-4</v>
      </c>
      <c r="K2">
        <v>8.2380000000000005E-3</v>
      </c>
      <c r="L2">
        <v>500</v>
      </c>
      <c r="N2">
        <v>4.9346163335800641</v>
      </c>
      <c r="O2">
        <v>4.6878855169010611</v>
      </c>
      <c r="P2">
        <v>5.0000000000000004E-6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2022-11-24T23:36:47Z</dcterms:modified>
</cp:coreProperties>
</file>