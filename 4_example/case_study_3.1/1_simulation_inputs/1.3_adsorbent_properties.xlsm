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1\1_simulation_inputs\"/>
    </mc:Choice>
  </mc:AlternateContent>
  <xr:revisionPtr revIDLastSave="0" documentId="13_ncr:1_{13199F74-C08B-4CE3-9A13-80478CAF65FA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Isotherm'!$A$2:$J$44</definedName>
    <definedName name="_xlnm.Print_Area" localSheetId="6">'Adsorption Kinetics'!$A$2:$J$13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0" i="53" l="1"/>
  <c r="B21" i="53"/>
  <c r="B22" i="53"/>
  <c r="I16" i="53"/>
  <c r="I15" i="53"/>
  <c r="I14" i="53"/>
  <c r="B12" i="54"/>
  <c r="B11" i="54"/>
  <c r="B10" i="54"/>
  <c r="H12" i="54"/>
  <c r="H11" i="54"/>
  <c r="I13" i="53"/>
  <c r="H13" i="53"/>
  <c r="I12" i="53"/>
  <c r="H12" i="53"/>
  <c r="H16" i="53"/>
  <c r="H15" i="53"/>
  <c r="I19" i="53"/>
  <c r="H19" i="53"/>
  <c r="I18" i="53"/>
  <c r="H18" i="53"/>
  <c r="I22" i="53"/>
  <c r="H22" i="53"/>
  <c r="I21" i="53"/>
  <c r="H21" i="53"/>
  <c r="I25" i="53"/>
  <c r="H25" i="53"/>
  <c r="I24" i="53"/>
  <c r="H24" i="53"/>
  <c r="I28" i="53"/>
  <c r="H28" i="53"/>
  <c r="I27" i="53"/>
  <c r="H27" i="53"/>
  <c r="I31" i="53"/>
  <c r="H31" i="53"/>
  <c r="I30" i="53"/>
  <c r="H30" i="53"/>
  <c r="I34" i="53"/>
  <c r="H34" i="53"/>
  <c r="I33" i="53"/>
  <c r="H33" i="53"/>
  <c r="I37" i="53"/>
  <c r="H37" i="53"/>
  <c r="I36" i="53"/>
  <c r="H36" i="53"/>
  <c r="I40" i="53"/>
  <c r="H40" i="53"/>
  <c r="I39" i="53"/>
  <c r="H39" i="53"/>
  <c r="I43" i="53"/>
  <c r="H43" i="53"/>
  <c r="I42" i="53"/>
  <c r="H42" i="53"/>
  <c r="B11" i="58"/>
  <c r="B10" i="58"/>
  <c r="B10" i="56"/>
  <c r="I11" i="53"/>
  <c r="I41" i="53" l="1"/>
  <c r="H41" i="53"/>
  <c r="I38" i="53"/>
  <c r="H38" i="53"/>
  <c r="I35" i="53"/>
  <c r="H35" i="53"/>
  <c r="I32" i="53"/>
  <c r="H32" i="53"/>
  <c r="I29" i="53"/>
  <c r="H29" i="53"/>
  <c r="I26" i="53"/>
  <c r="H26" i="53"/>
  <c r="I23" i="53"/>
  <c r="H23" i="53"/>
  <c r="I20" i="53"/>
  <c r="H20" i="53"/>
  <c r="I17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4" i="53" l="1"/>
  <c r="H17" i="53" l="1"/>
  <c r="H10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<sst xmlns="http://schemas.openxmlformats.org/spreadsheetml/2006/main" count="583" uniqueCount="205">
  <si>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</si>
  <si>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</si>
  <si>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</si>
  <si>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</si>
  <si>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</si>
  <si>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</si>
  <si>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</si>
  <si>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</si>
  <si>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</si>
  <si>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</si>
  <si>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</si>
  <si>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</si>
  <si>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</si>
  <si>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</si>
  <si>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</si>
  <si>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</si>
  <si>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</si>
  <si>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</si>
  <si>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</si>
  <si>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</si>
  <si>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</si>
  <si>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</si>
  <si>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</si>
  <si>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</si>
  <si>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</si>
  <si>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</si>
  <si>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</si>
  <si>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</si>
  <si>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</si>
  <si>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</si>
  <si>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</si>
  <si>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</si>
  <si>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</si>
  <si>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</si>
  <si>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</si>
  <si>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</si>
  <si>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</si>
  <si>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</si>
  <si>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</si>
  <si>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</si>
  <si>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</si>
  <si>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</si>
  <si>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</si>
  <si>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</si>
  <si>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</si>
  <si>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</si>
  <si>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</si>
  <si>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</si>
  <si>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</si>
  <si>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</si>
  <si>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</si>
  <si>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</si>
  <si>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</si>
  <si>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</si>
  <si>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</si>
  <si>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</si>
  <si>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</si>
  <si>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</si>
  <si>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</si>
  <si>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</si>
  <si>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</si>
  <si>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</si>
  <si>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</si>
  <si>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</si>
  <si>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</si>
  <si>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</si>
  <si>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</si>
  <si>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</si>
  <si>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</si>
  <si>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</si>
  <si>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</si>
  <si>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</si>
  <si>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</si>
  <si>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</si>
  <si>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</si>
  <si>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</si>
  <si>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</si>
  <si>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</si>
  <si>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</si>
  <si>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</si>
  <si>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</si>
  <si>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</si>
  <si>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</si>
  <si>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</si>
  <si>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</si>
  <si>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</si>
  <si>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</si>
  <si>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</si>
  <si>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</si>
  <si>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</si>
  <si>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</si>
  <si>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</si>
  <si>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</si>
  <si>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</si>
  <si>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</si>
  <si>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</si>
  <si>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</si>
  <si>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</si>
  <si>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</si>
  <si>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</si>
  <si>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</si>
  <si>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</si>
  <si>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</si>
  <si>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</si>
  <si>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</si>
  <si>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</si>
  <si>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</si>
  <si>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</si>
  <si>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</si>
  <si>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</si>
  <si>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</si>
  <si>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</si>
  <si>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</si>
  <si>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</si>
  <si>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</si>
  <si>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</si>
  <si>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</si>
  <si>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</si>
  <si>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</si>
  <si>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</si>
  <si>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</si>
  <si>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</si>
  <si>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</si>
  <si>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</si>
  <si>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</si>
  <si>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</si>
  <si>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</si>
  <si>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</si>
  <si>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</si>
  <si>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</si>
  <si>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</si>
  <si>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</si>
  <si>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</si>
  <si>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</si>
  <si>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</si>
  <si>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</si>
  <si>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</si>
  <si>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</si>
  <si>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</si>
  <si>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</si>
  <si>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</si>
  <si>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</si>
  <si>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</si>
  <si>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</si>
  <si>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</si>
  <si>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</si>
  <si>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</si>
  <si>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</si>
  <si>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</si>
  <si>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</si>
  <si>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</si>
  <si>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</si>
  <si>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</si>
  <si>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</si>
  <si>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</si>
  <si>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</si>
  <si>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</si>
  <si>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</si>
  <si>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</si>
  <si>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</si>
  <si>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</si>
  <si>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</si>
  <si>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</si>
  <si>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</si>
  <si>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</si>
  <si>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</si>
  <si>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</si>
  <si>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</si>
  <si>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</si>
  <si>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</si>
  <si>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</si>
  <si>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</si>
  <si>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</si>
  <si>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</si>
  <si>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</si>
  <si>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</si>
  <si>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</si>
  <si>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</si>
  <si>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</si>
  <si>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</si>
  <si>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</si>
  <si>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</si>
  <si>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</si>
  <si>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</si>
  <si>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</si>
  <si>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</si>
  <si>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</si>
  <si>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</si>
  <si>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</si>
  <si>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kSixC3</t>
  </si>
  <si>
    <t>kFivC3</t>
  </si>
  <si>
    <t>kFouC3</t>
  </si>
  <si>
    <t>kThrC3</t>
  </si>
  <si>
    <t>kTwoC3</t>
  </si>
  <si>
    <t>kOneC3</t>
  </si>
  <si>
    <t>aC3</t>
  </si>
  <si>
    <t>KC3</t>
  </si>
  <si>
    <t>qSatC3</t>
  </si>
  <si>
    <t>bC3</t>
  </si>
  <si>
    <t>henryC3</t>
  </si>
  <si>
    <t>ldfMtc3</t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</si>
  <si>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</si>
  <si>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</si>
  <si>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</si>
  <si>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bar^{-n_i}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</si>
</sst>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65" dataDxfId="163" headerRowBorderDxfId="164" tableBorderDxfId="162" totalsRowBorderDxfId="161">
  <autoFilter ref="A9:J11" xr:uid="{B089C5C3-2CCE-4800-96CA-2131BB6E3E4F}"/>
  <tableColumns count="10">
    <tableColumn id="1" xr3:uid="{A63D443C-23FA-C546-879B-699C109A0CA2}" name="Variable" dataDxfId="160"/>
    <tableColumn id="4" xr3:uid="{1A5FFB41-EB4E-E74A-8922-4B34B9316DE5}" name="Value" dataDxfId="159">
      <calculatedColumnFormula>0.0008*100</calculatedColumnFormula>
    </tableColumn>
    <tableColumn id="5" xr3:uid="{BF7F7945-F7EF-9B43-BD77-AD1154395D6F}" name="Unit" dataDxfId="158"/>
    <tableColumn id="6" xr3:uid="{97B66A41-BCC9-AB4A-9001-73F9BCD59411}" name="Comparisons" dataDxfId="157"/>
    <tableColumn id="7" xr3:uid="{0CC57FA7-D6D5-D04B-8A50-C681928970E3}" name="Variable Type" dataDxfId="156"/>
    <tableColumn id="8" xr3:uid="{793541F2-DD76-C241-9A02-11BCAFDBFB73}" name="Dependency" dataDxfId="155"/>
    <tableColumn id="12" xr3:uid="{77D37813-222C-3645-B2B0-7C5CE186734F}" name="Test 1" dataDxfId="154"/>
    <tableColumn id="10" xr3:uid="{705C6C59-C9FA-CF40-8C63-CC7BAA8D5513}" name="Test 2" dataDxfId="153"/>
    <tableColumn id="2" xr3:uid="{3CCF3320-E3BD-5A4C-926A-DD0EC2697FB0}" name="Test 3" dataDxfId="152"/>
    <tableColumn id="9" xr3:uid="{DFCD7E77-6792-EC4A-8937-7BD5661A57E7}" name="Description" dataDxfId="1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42" dataDxfId="140" headerRowBorderDxfId="141" tableBorderDxfId="139" totalsRowBorderDxfId="138">
  <autoFilter ref="A9:J13" xr:uid="{B089C5C3-2CCE-4800-96CA-2131BB6E3E4F}"/>
  <tableColumns count="10">
    <tableColumn id="1" xr3:uid="{20310A95-CEA4-0E46-A375-D38774A1331C}" name="Variable" dataDxfId="137"/>
    <tableColumn id="4" xr3:uid="{677D6E7A-ABBB-7F47-BEBA-202C00329494}" name="Value" dataDxfId="136"/>
    <tableColumn id="5" xr3:uid="{4C9D6E28-38C2-434B-8F96-F002277F8DF6}" name="Unit" dataDxfId="135"/>
    <tableColumn id="6" xr3:uid="{14421855-DDE0-1B4F-9E2F-0DCEAE184349}" name="Comparisons" dataDxfId="134"/>
    <tableColumn id="7" xr3:uid="{B52A6C11-F701-BB42-BCC5-C034770E9DBB}" name="Variable Type" dataDxfId="133"/>
    <tableColumn id="8" xr3:uid="{7995AC5C-141D-1241-85F4-ED670AA6D852}" name="Dependency" dataDxfId="132"/>
    <tableColumn id="12" xr3:uid="{36F66342-4897-3D48-B96B-71B0734889A5}" name="Test 1" dataDxfId="131"/>
    <tableColumn id="10" xr3:uid="{7FE5DC9B-6534-0E47-9DE7-3B926E4C9E93}" name="Test 2" dataDxfId="130"/>
    <tableColumn id="2" xr3:uid="{B9967632-3249-EA4A-A375-C9085B3EE56A}" name="Test 3" dataDxfId="129"/>
    <tableColumn id="9" xr3:uid="{A656D5B2-43BE-D144-B69B-B013AE6BC6D4}" name="Description" dataDxfId="1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22" dataDxfId="120" headerRowBorderDxfId="121" tableBorderDxfId="119" totalsRowBorderDxfId="118">
  <autoFilter ref="A9:J12" xr:uid="{B089C5C3-2CCE-4800-96CA-2131BB6E3E4F}"/>
  <tableColumns count="10">
    <tableColumn id="1" xr3:uid="{29F8658A-9F09-7042-A7EC-353D08C08D34}" name="Variable" dataDxfId="117"/>
    <tableColumn id="4" xr3:uid="{0AC5C09B-7B5C-9640-A6C7-5BA8E05A9F0D}" name="Value" dataDxfId="116"/>
    <tableColumn id="5" xr3:uid="{4A165AEE-D3E0-DB4C-9890-DA2D18843B58}" name="Unit" dataDxfId="115"/>
    <tableColumn id="6" xr3:uid="{23F62B44-EB3B-FD48-85F1-55541D28F146}" name="Comparisons" dataDxfId="114"/>
    <tableColumn id="7" xr3:uid="{24641755-61AF-6C44-A79C-0EC6F77B3090}" name="Variable Type" dataDxfId="113"/>
    <tableColumn id="8" xr3:uid="{8EB70C81-0937-1548-8A36-195915CD1F99}" name="Dependency" dataDxfId="112"/>
    <tableColumn id="12" xr3:uid="{636C1BEE-1088-1842-B84F-652A0A7EFF6A}" name="Test 1" dataDxfId="111"/>
    <tableColumn id="10" xr3:uid="{611EFDE4-0DDB-044D-8690-A970063DA108}" name="Test 2" dataDxfId="110"/>
    <tableColumn id="2" xr3:uid="{2E2B9EE9-BE3C-354D-8E63-B39DE80C44A0}" name="Test 3" dataDxfId="109"/>
    <tableColumn id="9" xr3:uid="{F8DFB1CD-985B-4E45-BA3D-DD47F4100DAE}" name="Description" dataDxfId="10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4" totalsRowShown="0" headerRowDxfId="60" dataDxfId="58" headerRowBorderDxfId="59" tableBorderDxfId="57" totalsRowBorderDxfId="56">
  <autoFilter ref="A9:J44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3" totalsRowShown="0" headerRowDxfId="37" dataDxfId="35" headerRowBorderDxfId="36" tableBorderDxfId="34" totalsRowBorderDxfId="33">
  <autoFilter ref="A9:J13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>
      <calculatedColumnFormula>0.0147*8</calculatedColumnFormula>
    </tableColumn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f t="shared" ref="B10" si="0">0.0008*100</f>
        <v>0.08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73" priority="7">
      <formula>IF(AND($B11&lt;&gt;"",$I11=0),1,0)</formula>
    </cfRule>
    <cfRule type="expression" dxfId="172" priority="8">
      <formula>IF($B11&lt;&gt;"",1,0)</formula>
    </cfRule>
    <cfRule type="expression" dxfId="171" priority="9">
      <formula>$I11=0</formula>
    </cfRule>
  </conditionalFormatting>
  <conditionalFormatting sqref="B10">
    <cfRule type="expression" dxfId="170" priority="1">
      <formula>IF(AND($B10&lt;&gt;"",$I10=0),1,0)</formula>
    </cfRule>
    <cfRule type="expression" dxfId="169" priority="2">
      <formula>IF($B10&lt;&gt;"",1,0)</formula>
    </cfRule>
    <cfRule type="expression" dxfId="168" priority="3">
      <formula>$I10=0</formula>
    </cfRule>
  </conditionalFormatting>
  <conditionalFormatting sqref="J4">
    <cfRule type="expression" dxfId="167" priority="2056">
      <formula>IF(COUNTA($B$10:$B$11)&lt;&gt;COUNTIF($I$10:$I$11,1),1,0)</formula>
    </cfRule>
    <cfRule type="expression" dxfId="166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50" priority="7">
      <formula>IF(AND($B11&lt;&gt;"",$I11=0),1,0)</formula>
    </cfRule>
    <cfRule type="expression" dxfId="149" priority="8">
      <formula>IF($B11&lt;&gt;"",1,0)</formula>
    </cfRule>
    <cfRule type="expression" dxfId="148" priority="9">
      <formula>$I11=0</formula>
    </cfRule>
  </conditionalFormatting>
  <conditionalFormatting sqref="B10">
    <cfRule type="expression" dxfId="147" priority="1">
      <formula>IF(AND($B10&lt;&gt;"",$I10=0),1,0)</formula>
    </cfRule>
    <cfRule type="expression" dxfId="146" priority="2">
      <formula>IF($B10&lt;&gt;"",1,0)</formula>
    </cfRule>
    <cfRule type="expression" dxfId="145" priority="3">
      <formula>$I10=0</formula>
    </cfRule>
  </conditionalFormatting>
  <conditionalFormatting sqref="J4">
    <cfRule type="expression" dxfId="144" priority="2058">
      <formula>IF(COUNTA($B$10:$B$13)&lt;&gt;COUNTIF($I$10:$I$13,1),1,0)</formula>
    </cfRule>
    <cfRule type="expression" dxfId="143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1130/1000000</f>
        <v>1.1299999999999999E-3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756.46/1000000</f>
        <v>7.5646000000000003E-4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127" priority="7">
      <formula>IF(AND($B10&lt;&gt;"",$I10=0),1,0)</formula>
    </cfRule>
    <cfRule type="expression" dxfId="126" priority="8">
      <formula>IF($B10&lt;&gt;"",1,0)</formula>
    </cfRule>
    <cfRule type="expression" dxfId="125" priority="9">
      <formula>$I10=0</formula>
    </cfRule>
  </conditionalFormatting>
  <conditionalFormatting sqref="J4">
    <cfRule type="expression" dxfId="124" priority="2062">
      <formula>IF(COUNTA($B$10:$B$12)&lt;&gt;COUNTIF($I$10:$I$12,1),1,0)</formula>
    </cfRule>
    <cfRule type="expression" dxfId="123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4"/>
  <sheetViews>
    <sheetView showGridLines="0" tabSelected="1" topLeftCell="A2" zoomScaleNormal="100" zoomScaleSheetLayoutView="85" workbookViewId="0">
      <pane ySplit="8" topLeftCell="A39" activePane="bottomLeft" state="frozen"/>
      <selection activeCell="A10" sqref="A10:J10"/>
      <selection pane="bottomLeft" activeCell="B42" sqref="B4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299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3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3</v>
      </c>
      <c r="I12" s="61">
        <f>IF('[2]Model Selection'!$B$10=1,1,0)</f>
        <v>0</v>
      </c>
      <c r="J12" s="60" t="s">
        <v>180</v>
      </c>
    </row>
    <row r="13" spans="1:10" ht="87.6">
      <c r="A13" s="59" t="s">
        <v>199</v>
      </c>
      <c r="B13" s="33"/>
      <c r="C13" s="57" t="s">
        <v>159</v>
      </c>
      <c r="D13" s="1" t="s">
        <v>24</v>
      </c>
      <c r="E13" s="1" t="s">
        <v>7</v>
      </c>
      <c r="F13" s="2" t="s">
        <v>5</v>
      </c>
      <c r="G13" s="56"/>
      <c r="H13" s="58">
        <f>[1]Initialization!$B$10</f>
        <v>3</v>
      </c>
      <c r="I13" s="61">
        <f>IF('[2]Model Selection'!$B$10=1,1,0)</f>
        <v>0</v>
      </c>
      <c r="J13" s="60" t="s">
        <v>180</v>
      </c>
    </row>
    <row r="14" spans="1:10" ht="58.8">
      <c r="A14" s="4" t="s">
        <v>71</v>
      </c>
      <c r="B14" s="33">
        <v>28.870999999999999</v>
      </c>
      <c r="C14" s="57" t="s">
        <v>161</v>
      </c>
      <c r="D14" s="1" t="s">
        <v>24</v>
      </c>
      <c r="E14" s="1" t="s">
        <v>7</v>
      </c>
      <c r="F14" s="2" t="s">
        <v>5</v>
      </c>
      <c r="G14" s="1">
        <v>1</v>
      </c>
      <c r="H14" s="55">
        <f>[1]Initialization!$B$10</f>
        <v>3</v>
      </c>
      <c r="I14" s="44">
        <f>IF(OR('[2]Model Selection'!$B$10=2,'[2]Model Selection'!$B$10=3),1,0)</f>
        <v>1</v>
      </c>
      <c r="J14" s="5" t="s">
        <v>201</v>
      </c>
    </row>
    <row r="15" spans="1:10" ht="58.8">
      <c r="A15" s="4" t="s">
        <v>74</v>
      </c>
      <c r="B15" s="33">
        <v>29.675999999999998</v>
      </c>
      <c r="C15" s="57" t="s">
        <v>161</v>
      </c>
      <c r="D15" s="1" t="s">
        <v>24</v>
      </c>
      <c r="E15" s="1" t="s">
        <v>7</v>
      </c>
      <c r="F15" s="2" t="s">
        <v>5</v>
      </c>
      <c r="G15" s="1"/>
      <c r="H15" s="55">
        <f>[1]Initialization!$B$10</f>
        <v>3</v>
      </c>
      <c r="I15" s="44">
        <f>IF(OR('[2]Model Selection'!$B$10=2,'[2]Model Selection'!$B$10=3),1,0)</f>
        <v>1</v>
      </c>
      <c r="J15" s="5" t="s">
        <v>201</v>
      </c>
    </row>
    <row r="16" spans="1:10" ht="58.8">
      <c r="A16" s="4" t="s">
        <v>197</v>
      </c>
      <c r="B16" s="33">
        <v>17.901</v>
      </c>
      <c r="C16" s="57" t="s">
        <v>161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3</v>
      </c>
      <c r="I16" s="44">
        <f>IF(OR('[2]Model Selection'!$B$10=2,'[2]Model Selection'!$B$10=3),1,0)</f>
        <v>1</v>
      </c>
      <c r="J16" s="5" t="s">
        <v>181</v>
      </c>
    </row>
    <row r="17" spans="1:10" ht="58.8">
      <c r="A17" s="4" t="s">
        <v>72</v>
      </c>
      <c r="B17" s="33"/>
      <c r="C17" s="2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3</v>
      </c>
      <c r="I17" s="44">
        <f>IF('[2]Model Selection'!$B$10=2,1,0)</f>
        <v>0</v>
      </c>
      <c r="J17" s="5" t="s">
        <v>182</v>
      </c>
    </row>
    <row r="18" spans="1:10" ht="58.8">
      <c r="A18" s="4" t="s">
        <v>73</v>
      </c>
      <c r="B18" s="33"/>
      <c r="C18" s="2" t="s">
        <v>160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3</v>
      </c>
      <c r="I18" s="44">
        <f>IF('[2]Model Selection'!$B$10=2,1,0)</f>
        <v>0</v>
      </c>
      <c r="J18" s="5" t="s">
        <v>182</v>
      </c>
    </row>
    <row r="19" spans="1:10" ht="58.8">
      <c r="A19" s="4" t="s">
        <v>198</v>
      </c>
      <c r="B19" s="33"/>
      <c r="C19" s="2" t="s">
        <v>160</v>
      </c>
      <c r="D19" s="1" t="s">
        <v>24</v>
      </c>
      <c r="E19" s="1" t="s">
        <v>7</v>
      </c>
      <c r="F19" s="2" t="s">
        <v>5</v>
      </c>
      <c r="G19" s="1"/>
      <c r="H19" s="55">
        <f>[1]Initialization!$B$10</f>
        <v>3</v>
      </c>
      <c r="I19" s="44">
        <f>IF('[2]Model Selection'!$B$10=2,1,0)</f>
        <v>0</v>
      </c>
      <c r="J19" s="5" t="s">
        <v>182</v>
      </c>
    </row>
    <row r="20" spans="1:10" ht="102">
      <c r="A20" s="59" t="s">
        <v>163</v>
      </c>
      <c r="B20" s="33">
        <f>0.0000434*EXP(15675/(8.314*301))</f>
        <v>2.2791903977044045E-2</v>
      </c>
      <c r="C20" s="57" t="s">
        <v>160</v>
      </c>
      <c r="D20" s="1" t="s">
        <v>24</v>
      </c>
      <c r="E20" s="1" t="s">
        <v>7</v>
      </c>
      <c r="F20" s="2" t="s">
        <v>5</v>
      </c>
      <c r="G20" s="1">
        <v>1</v>
      </c>
      <c r="H20" s="55">
        <f>[1]Initialization!$B$10</f>
        <v>3</v>
      </c>
      <c r="I20" s="44">
        <f>IF('[2]Model Selection'!$B$10=3,1,0)</f>
        <v>1</v>
      </c>
      <c r="J20" s="60" t="s">
        <v>183</v>
      </c>
    </row>
    <row r="21" spans="1:10" ht="102">
      <c r="A21" s="59" t="s">
        <v>164</v>
      </c>
      <c r="B21" s="33">
        <f>0.0000179*EXP(15716/(8.314*301))</f>
        <v>9.5556268567581707E-3</v>
      </c>
      <c r="C21" s="57" t="s">
        <v>160</v>
      </c>
      <c r="D21" s="1" t="s">
        <v>24</v>
      </c>
      <c r="E21" s="1" t="s">
        <v>7</v>
      </c>
      <c r="F21" s="2" t="s">
        <v>5</v>
      </c>
      <c r="G21" s="1"/>
      <c r="H21" s="55">
        <f>[1]Initialization!$B$10</f>
        <v>3</v>
      </c>
      <c r="I21" s="44">
        <f>IF('[2]Model Selection'!$B$10=3,1,0)</f>
        <v>1</v>
      </c>
      <c r="J21" s="60" t="s">
        <v>183</v>
      </c>
    </row>
    <row r="22" spans="1:10" ht="102">
      <c r="A22" s="59" t="s">
        <v>196</v>
      </c>
      <c r="B22" s="62">
        <f>0.0000000032*EXP(54729/(8.314*301))</f>
        <v>10.069317160362226</v>
      </c>
      <c r="C22" s="57" t="s">
        <v>160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3</v>
      </c>
      <c r="I22" s="44">
        <f>IF('[2]Model Selection'!$B$10=3,1,0)</f>
        <v>1</v>
      </c>
      <c r="J22" s="60" t="s">
        <v>183</v>
      </c>
    </row>
    <row r="23" spans="1:10" ht="58.8">
      <c r="A23" s="59" t="s">
        <v>165</v>
      </c>
      <c r="B23" s="33">
        <v>8.1359999999999992</v>
      </c>
      <c r="C23" s="57" t="s">
        <v>3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3</v>
      </c>
      <c r="I23" s="44">
        <f>IF('[2]Model Selection'!$B$10=3,1,0)</f>
        <v>1</v>
      </c>
      <c r="J23" s="60" t="s">
        <v>184</v>
      </c>
    </row>
    <row r="24" spans="1:10" ht="58.8">
      <c r="A24" s="59" t="s">
        <v>166</v>
      </c>
      <c r="B24" s="33">
        <v>7.9169999999999998</v>
      </c>
      <c r="C24" s="57" t="s">
        <v>3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3</v>
      </c>
      <c r="I24" s="44">
        <f>IF('[2]Model Selection'!$B$10=3,1,0)</f>
        <v>1</v>
      </c>
      <c r="J24" s="60" t="s">
        <v>184</v>
      </c>
    </row>
    <row r="25" spans="1:10" ht="58.8">
      <c r="A25" s="59" t="s">
        <v>195</v>
      </c>
      <c r="B25" s="33">
        <v>13.12</v>
      </c>
      <c r="C25" s="57" t="s">
        <v>3</v>
      </c>
      <c r="D25" s="1" t="s">
        <v>24</v>
      </c>
      <c r="E25" s="1" t="s">
        <v>7</v>
      </c>
      <c r="F25" s="2" t="s">
        <v>5</v>
      </c>
      <c r="G25" s="1"/>
      <c r="H25" s="55">
        <f>[1]Initialization!$B$10</f>
        <v>3</v>
      </c>
      <c r="I25" s="44">
        <f>IF('[2]Model Selection'!$B$10=3,1,0)</f>
        <v>1</v>
      </c>
      <c r="J25" s="60" t="s">
        <v>184</v>
      </c>
    </row>
    <row r="26" spans="1:10" ht="58.8">
      <c r="A26" s="59" t="s">
        <v>167</v>
      </c>
      <c r="B26" s="33"/>
      <c r="C26" s="57" t="s">
        <v>161</v>
      </c>
      <c r="D26" s="1" t="s">
        <v>24</v>
      </c>
      <c r="E26" s="1" t="s">
        <v>7</v>
      </c>
      <c r="F26" s="2" t="s">
        <v>5</v>
      </c>
      <c r="G26" s="1">
        <v>1</v>
      </c>
      <c r="H26" s="55">
        <f>[1]Initialization!$B$10</f>
        <v>3</v>
      </c>
      <c r="I26" s="44">
        <f>IF('[2]Model Selection'!$B$10=4,1,0)</f>
        <v>0</v>
      </c>
      <c r="J26" s="60" t="s">
        <v>185</v>
      </c>
    </row>
    <row r="27" spans="1:10" ht="58.8">
      <c r="A27" s="59" t="s">
        <v>168</v>
      </c>
      <c r="B27" s="33"/>
      <c r="C27" s="57" t="s">
        <v>161</v>
      </c>
      <c r="D27" s="1" t="s">
        <v>24</v>
      </c>
      <c r="E27" s="1" t="s">
        <v>7</v>
      </c>
      <c r="F27" s="2" t="s">
        <v>5</v>
      </c>
      <c r="G27" s="1"/>
      <c r="H27" s="55">
        <f>[1]Initialization!$B$10</f>
        <v>3</v>
      </c>
      <c r="I27" s="44">
        <f>IF('[2]Model Selection'!$B$10=4,1,0)</f>
        <v>0</v>
      </c>
      <c r="J27" s="60" t="s">
        <v>185</v>
      </c>
    </row>
    <row r="28" spans="1:10" ht="58.8">
      <c r="A28" s="59" t="s">
        <v>194</v>
      </c>
      <c r="B28" s="33"/>
      <c r="C28" s="57" t="s">
        <v>161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3</v>
      </c>
      <c r="I28" s="44">
        <f>IF('[2]Model Selection'!$B$10=4,1,0)</f>
        <v>0</v>
      </c>
      <c r="J28" s="60" t="s">
        <v>185</v>
      </c>
    </row>
    <row r="29" spans="1:10" ht="58.8">
      <c r="A29" s="59" t="s">
        <v>169</v>
      </c>
      <c r="B29" s="33"/>
      <c r="C29" s="57" t="s">
        <v>179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3</v>
      </c>
      <c r="I29" s="44">
        <f>IF('[2]Model Selection'!$B$10=4,1,0)</f>
        <v>0</v>
      </c>
      <c r="J29" s="60" t="s">
        <v>186</v>
      </c>
    </row>
    <row r="30" spans="1:10" ht="58.8">
      <c r="A30" s="59" t="s">
        <v>170</v>
      </c>
      <c r="B30" s="33"/>
      <c r="C30" s="57" t="s">
        <v>179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3</v>
      </c>
      <c r="I30" s="44">
        <f>IF('[2]Model Selection'!$B$10=4,1,0)</f>
        <v>0</v>
      </c>
      <c r="J30" s="60" t="s">
        <v>186</v>
      </c>
    </row>
    <row r="31" spans="1:10" ht="58.8">
      <c r="A31" s="59" t="s">
        <v>193</v>
      </c>
      <c r="B31" s="33"/>
      <c r="C31" s="57" t="s">
        <v>179</v>
      </c>
      <c r="D31" s="1" t="s">
        <v>24</v>
      </c>
      <c r="E31" s="1" t="s">
        <v>7</v>
      </c>
      <c r="F31" s="2" t="s">
        <v>5</v>
      </c>
      <c r="G31" s="1"/>
      <c r="H31" s="55">
        <f>[1]Initialization!$B$10</f>
        <v>3</v>
      </c>
      <c r="I31" s="44">
        <f>IF('[2]Model Selection'!$B$10=4,1,0)</f>
        <v>0</v>
      </c>
      <c r="J31" s="60" t="s">
        <v>186</v>
      </c>
    </row>
    <row r="32" spans="1:10" ht="58.8">
      <c r="A32" s="59" t="s">
        <v>171</v>
      </c>
      <c r="B32" s="33"/>
      <c r="C32" s="57" t="s">
        <v>204</v>
      </c>
      <c r="D32" s="1" t="s">
        <v>24</v>
      </c>
      <c r="E32" s="1" t="s">
        <v>7</v>
      </c>
      <c r="F32" s="2" t="s">
        <v>5</v>
      </c>
      <c r="G32" s="1">
        <v>1</v>
      </c>
      <c r="H32" s="55">
        <f>[1]Initialization!$B$10</f>
        <v>3</v>
      </c>
      <c r="I32" s="44">
        <f>IF('[2]Model Selection'!$B$10=4,1,0)</f>
        <v>0</v>
      </c>
      <c r="J32" s="60" t="s">
        <v>187</v>
      </c>
    </row>
    <row r="33" spans="1:10" ht="58.8">
      <c r="A33" s="59" t="s">
        <v>172</v>
      </c>
      <c r="B33" s="33"/>
      <c r="C33" s="57" t="s">
        <v>204</v>
      </c>
      <c r="D33" s="1" t="s">
        <v>24</v>
      </c>
      <c r="E33" s="1" t="s">
        <v>7</v>
      </c>
      <c r="F33" s="2" t="s">
        <v>5</v>
      </c>
      <c r="G33" s="1"/>
      <c r="H33" s="55">
        <f>[1]Initialization!$B$10</f>
        <v>3</v>
      </c>
      <c r="I33" s="44">
        <f>IF('[2]Model Selection'!$B$10=4,1,0)</f>
        <v>0</v>
      </c>
      <c r="J33" s="60" t="s">
        <v>187</v>
      </c>
    </row>
    <row r="34" spans="1:10" ht="58.8">
      <c r="A34" s="59" t="s">
        <v>192</v>
      </c>
      <c r="B34" s="33"/>
      <c r="C34" s="57" t="s">
        <v>204</v>
      </c>
      <c r="D34" s="1" t="s">
        <v>24</v>
      </c>
      <c r="E34" s="1" t="s">
        <v>7</v>
      </c>
      <c r="F34" s="2" t="s">
        <v>5</v>
      </c>
      <c r="G34" s="1"/>
      <c r="H34" s="55">
        <f>[1]Initialization!$B$10</f>
        <v>3</v>
      </c>
      <c r="I34" s="44">
        <f>IF('[2]Model Selection'!$B$10=4,1,0)</f>
        <v>0</v>
      </c>
      <c r="J34" s="60" t="s">
        <v>187</v>
      </c>
    </row>
    <row r="35" spans="1:10" ht="58.8">
      <c r="A35" s="59" t="s">
        <v>173</v>
      </c>
      <c r="B35" s="33"/>
      <c r="C35" s="57" t="s">
        <v>20</v>
      </c>
      <c r="D35" s="1" t="s">
        <v>24</v>
      </c>
      <c r="E35" s="1" t="s">
        <v>7</v>
      </c>
      <c r="F35" s="2" t="s">
        <v>5</v>
      </c>
      <c r="G35" s="1">
        <v>1</v>
      </c>
      <c r="H35" s="55">
        <f>[1]Initialization!$B$10</f>
        <v>3</v>
      </c>
      <c r="I35" s="44">
        <f>IF('[2]Model Selection'!$B$10=4,1,0)</f>
        <v>0</v>
      </c>
      <c r="J35" s="60" t="s">
        <v>188</v>
      </c>
    </row>
    <row r="36" spans="1:10" ht="58.8">
      <c r="A36" s="59" t="s">
        <v>174</v>
      </c>
      <c r="B36" s="33"/>
      <c r="C36" s="57" t="s">
        <v>20</v>
      </c>
      <c r="D36" s="1" t="s">
        <v>24</v>
      </c>
      <c r="E36" s="1" t="s">
        <v>7</v>
      </c>
      <c r="F36" s="2" t="s">
        <v>5</v>
      </c>
      <c r="G36" s="1"/>
      <c r="H36" s="55">
        <f>[1]Initialization!$B$10</f>
        <v>3</v>
      </c>
      <c r="I36" s="44">
        <f>IF('[2]Model Selection'!$B$10=4,1,0)</f>
        <v>0</v>
      </c>
      <c r="J36" s="60" t="s">
        <v>188</v>
      </c>
    </row>
    <row r="37" spans="1:10" ht="58.8">
      <c r="A37" s="59" t="s">
        <v>191</v>
      </c>
      <c r="B37" s="33"/>
      <c r="C37" s="57" t="s">
        <v>20</v>
      </c>
      <c r="D37" s="1" t="s">
        <v>24</v>
      </c>
      <c r="E37" s="1" t="s">
        <v>7</v>
      </c>
      <c r="F37" s="2" t="s">
        <v>5</v>
      </c>
      <c r="G37" s="1"/>
      <c r="H37" s="55">
        <f>[1]Initialization!$B$10</f>
        <v>3</v>
      </c>
      <c r="I37" s="44">
        <f>IF('[2]Model Selection'!$B$10=4,1,0)</f>
        <v>0</v>
      </c>
      <c r="J37" s="60" t="s">
        <v>188</v>
      </c>
    </row>
    <row r="38" spans="1:10" ht="87.6">
      <c r="A38" s="59" t="s">
        <v>175</v>
      </c>
      <c r="B38" s="33"/>
      <c r="C38" s="57" t="s">
        <v>3</v>
      </c>
      <c r="D38" s="1" t="s">
        <v>24</v>
      </c>
      <c r="E38" s="1" t="s">
        <v>7</v>
      </c>
      <c r="F38" s="2" t="s">
        <v>5</v>
      </c>
      <c r="G38" s="1">
        <v>1</v>
      </c>
      <c r="H38" s="55">
        <f>[1]Initialization!$B$10</f>
        <v>3</v>
      </c>
      <c r="I38" s="44">
        <f>IF('[2]Model Selection'!$B$10=4,1,0)</f>
        <v>0</v>
      </c>
      <c r="J38" s="60" t="s">
        <v>202</v>
      </c>
    </row>
    <row r="39" spans="1:10" ht="87.6">
      <c r="A39" s="59" t="s">
        <v>176</v>
      </c>
      <c r="B39" s="33"/>
      <c r="C39" s="57" t="s">
        <v>3</v>
      </c>
      <c r="D39" s="1" t="s">
        <v>24</v>
      </c>
      <c r="E39" s="1" t="s">
        <v>7</v>
      </c>
      <c r="F39" s="2" t="s">
        <v>5</v>
      </c>
      <c r="G39" s="1"/>
      <c r="H39" s="55">
        <f>[1]Initialization!$B$10</f>
        <v>3</v>
      </c>
      <c r="I39" s="44">
        <f>IF('[2]Model Selection'!$B$10=4,1,0)</f>
        <v>0</v>
      </c>
      <c r="J39" s="60" t="s">
        <v>202</v>
      </c>
    </row>
    <row r="40" spans="1:10" ht="87.6">
      <c r="A40" s="59" t="s">
        <v>190</v>
      </c>
      <c r="B40" s="33"/>
      <c r="C40" s="57" t="s">
        <v>3</v>
      </c>
      <c r="D40" s="1" t="s">
        <v>24</v>
      </c>
      <c r="E40" s="1" t="s">
        <v>7</v>
      </c>
      <c r="F40" s="2" t="s">
        <v>5</v>
      </c>
      <c r="G40" s="1"/>
      <c r="H40" s="55">
        <f>[1]Initialization!$B$10</f>
        <v>3</v>
      </c>
      <c r="I40" s="44">
        <f>IF('[2]Model Selection'!$B$10=4,1,0)</f>
        <v>0</v>
      </c>
      <c r="J40" s="60" t="s">
        <v>202</v>
      </c>
    </row>
    <row r="41" spans="1:10" ht="58.8">
      <c r="A41" s="59" t="s">
        <v>177</v>
      </c>
      <c r="B41" s="33"/>
      <c r="C41" s="57" t="s">
        <v>20</v>
      </c>
      <c r="D41" s="1" t="s">
        <v>24</v>
      </c>
      <c r="E41" s="1" t="s">
        <v>7</v>
      </c>
      <c r="F41" s="2" t="s">
        <v>5</v>
      </c>
      <c r="G41" s="1">
        <v>1</v>
      </c>
      <c r="H41" s="55">
        <f>[1]Initialization!$B$10</f>
        <v>3</v>
      </c>
      <c r="I41" s="44">
        <f>IF('[2]Model Selection'!$B$10=4,1,0)</f>
        <v>0</v>
      </c>
      <c r="J41" s="60" t="s">
        <v>203</v>
      </c>
    </row>
    <row r="42" spans="1:10" ht="58.8">
      <c r="A42" s="59" t="s">
        <v>178</v>
      </c>
      <c r="B42" s="33"/>
      <c r="C42" s="57" t="s">
        <v>20</v>
      </c>
      <c r="D42" s="1" t="s">
        <v>24</v>
      </c>
      <c r="E42" s="1" t="s">
        <v>7</v>
      </c>
      <c r="F42" s="2" t="s">
        <v>5</v>
      </c>
      <c r="G42" s="1"/>
      <c r="H42" s="55">
        <f>[1]Initialization!$B$10</f>
        <v>3</v>
      </c>
      <c r="I42" s="44">
        <f>IF('[2]Model Selection'!$B$10=4,1,0)</f>
        <v>0</v>
      </c>
      <c r="J42" s="60" t="s">
        <v>203</v>
      </c>
    </row>
    <row r="43" spans="1:10" ht="58.8">
      <c r="A43" s="59" t="s">
        <v>189</v>
      </c>
      <c r="B43" s="33"/>
      <c r="C43" s="57" t="s">
        <v>20</v>
      </c>
      <c r="D43" s="1" t="s">
        <v>24</v>
      </c>
      <c r="E43" s="1" t="s">
        <v>7</v>
      </c>
      <c r="F43" s="2" t="s">
        <v>5</v>
      </c>
      <c r="G43" s="1"/>
      <c r="H43" s="55">
        <f>[1]Initialization!$B$10</f>
        <v>3</v>
      </c>
      <c r="I43" s="44">
        <f>IF('[2]Model Selection'!$B$10=4,1,0)</f>
        <v>0</v>
      </c>
      <c r="J43" s="60" t="s">
        <v>203</v>
      </c>
    </row>
    <row r="44" spans="1:10" ht="14.4">
      <c r="A44" s="8" t="s">
        <v>88</v>
      </c>
      <c r="B44" s="34"/>
      <c r="C44" s="9"/>
      <c r="D44" s="10"/>
      <c r="E44" s="10"/>
      <c r="F44" s="9"/>
      <c r="G44" s="10">
        <v>1</v>
      </c>
      <c r="H44" s="10">
        <v>1</v>
      </c>
      <c r="I44" s="11">
        <v>0</v>
      </c>
      <c r="J44" s="12" t="s">
        <v>89</v>
      </c>
    </row>
  </sheetData>
  <sheetProtection algorithmName="SHA-512" hashValue="7jnAH6FKDqaNZVB+U2mEpxyrJy1PetE4UQhI+HLGufUgmdj+IGaGj2yfNEjrD1TFAqOzVZBCpANRTAxFaVxLfQ==" saltValue="56vt0aXDjD+E9Q/p6puWIg==" spinCount="100000" sheet="1" objects="1" scenarios="1" selectLockedCells="1"/>
  <mergeCells count="2">
    <mergeCell ref="A3:J3"/>
    <mergeCell ref="J4:J8"/>
  </mergeCells>
  <conditionalFormatting sqref="B10:B11 B41 B38 B35 B32 B29 B26 B23 B20 B17 B14 B44:B1048576">
    <cfRule type="expression" dxfId="107" priority="61">
      <formula>IF(AND($B10&lt;&gt;"",$I10=0),1,0)</formula>
    </cfRule>
    <cfRule type="expression" dxfId="106" priority="62">
      <formula>IF($B10&lt;&gt;"",1,0)</formula>
    </cfRule>
    <cfRule type="expression" dxfId="105" priority="63">
      <formula>$I10=0</formula>
    </cfRule>
  </conditionalFormatting>
  <conditionalFormatting sqref="B14">
    <cfRule type="expression" dxfId="104" priority="52">
      <formula>IF(AND($B14&lt;&gt;"",$I14=0),1,0)</formula>
    </cfRule>
    <cfRule type="expression" dxfId="103" priority="53">
      <formula>IF($B14&lt;&gt;"",1,0)</formula>
    </cfRule>
    <cfRule type="expression" dxfId="102" priority="54">
      <formula>$I14=0</formula>
    </cfRule>
  </conditionalFormatting>
  <conditionalFormatting sqref="B10">
    <cfRule type="expression" dxfId="101" priority="49">
      <formula>IF(AND($B10&lt;&gt;"",$I10=0),1,0)</formula>
    </cfRule>
    <cfRule type="expression" dxfId="100" priority="50">
      <formula>IF($B10&lt;&gt;"",1,0)</formula>
    </cfRule>
    <cfRule type="expression" dxfId="99" priority="51">
      <formula>$I10=0</formula>
    </cfRule>
  </conditionalFormatting>
  <conditionalFormatting sqref="B42:B43">
    <cfRule type="expression" dxfId="98" priority="40">
      <formula>IF(AND($B42&lt;&gt;"",$I42=0),1,0)</formula>
    </cfRule>
    <cfRule type="expression" dxfId="97" priority="41">
      <formula>IF($B42&lt;&gt;"",1,0)</formula>
    </cfRule>
    <cfRule type="expression" dxfId="96" priority="42">
      <formula>$I42=0</formula>
    </cfRule>
  </conditionalFormatting>
  <conditionalFormatting sqref="B39:B40">
    <cfRule type="expression" dxfId="95" priority="37">
      <formula>IF(AND($B39&lt;&gt;"",$I39=0),1,0)</formula>
    </cfRule>
    <cfRule type="expression" dxfId="94" priority="38">
      <formula>IF($B39&lt;&gt;"",1,0)</formula>
    </cfRule>
    <cfRule type="expression" dxfId="93" priority="39">
      <formula>$I39=0</formula>
    </cfRule>
  </conditionalFormatting>
  <conditionalFormatting sqref="B36:B37">
    <cfRule type="expression" dxfId="92" priority="34">
      <formula>IF(AND($B36&lt;&gt;"",$I36=0),1,0)</formula>
    </cfRule>
    <cfRule type="expression" dxfId="91" priority="35">
      <formula>IF($B36&lt;&gt;"",1,0)</formula>
    </cfRule>
    <cfRule type="expression" dxfId="90" priority="36">
      <formula>$I36=0</formula>
    </cfRule>
  </conditionalFormatting>
  <conditionalFormatting sqref="B33:B34">
    <cfRule type="expression" dxfId="89" priority="31">
      <formula>IF(AND($B33&lt;&gt;"",$I33=0),1,0)</formula>
    </cfRule>
    <cfRule type="expression" dxfId="88" priority="32">
      <formula>IF($B33&lt;&gt;"",1,0)</formula>
    </cfRule>
    <cfRule type="expression" dxfId="87" priority="33">
      <formula>$I33=0</formula>
    </cfRule>
  </conditionalFormatting>
  <conditionalFormatting sqref="B30:B31">
    <cfRule type="expression" dxfId="86" priority="28">
      <formula>IF(AND($B30&lt;&gt;"",$I30=0),1,0)</formula>
    </cfRule>
    <cfRule type="expression" dxfId="85" priority="29">
      <formula>IF($B30&lt;&gt;"",1,0)</formula>
    </cfRule>
    <cfRule type="expression" dxfId="84" priority="30">
      <formula>$I30=0</formula>
    </cfRule>
  </conditionalFormatting>
  <conditionalFormatting sqref="B27:B28">
    <cfRule type="expression" dxfId="83" priority="25">
      <formula>IF(AND($B27&lt;&gt;"",$I27=0),1,0)</formula>
    </cfRule>
    <cfRule type="expression" dxfId="82" priority="26">
      <formula>IF($B27&lt;&gt;"",1,0)</formula>
    </cfRule>
    <cfRule type="expression" dxfId="81" priority="27">
      <formula>$I27=0</formula>
    </cfRule>
  </conditionalFormatting>
  <conditionalFormatting sqref="B24:B25">
    <cfRule type="expression" dxfId="80" priority="22">
      <formula>IF(AND($B24&lt;&gt;"",$I24=0),1,0)</formula>
    </cfRule>
    <cfRule type="expression" dxfId="79" priority="23">
      <formula>IF($B24&lt;&gt;"",1,0)</formula>
    </cfRule>
    <cfRule type="expression" dxfId="78" priority="24">
      <formula>$I24=0</formula>
    </cfRule>
  </conditionalFormatting>
  <conditionalFormatting sqref="B21:B22">
    <cfRule type="expression" dxfId="77" priority="19">
      <formula>IF(AND($B21&lt;&gt;"",$I21=0),1,0)</formula>
    </cfRule>
    <cfRule type="expression" dxfId="76" priority="20">
      <formula>IF($B21&lt;&gt;"",1,0)</formula>
    </cfRule>
    <cfRule type="expression" dxfId="75" priority="21">
      <formula>$I21=0</formula>
    </cfRule>
  </conditionalFormatting>
  <conditionalFormatting sqref="B18:B19">
    <cfRule type="expression" dxfId="74" priority="10">
      <formula>IF(AND($B18&lt;&gt;"",$I18=0),1,0)</formula>
    </cfRule>
    <cfRule type="expression" dxfId="73" priority="11">
      <formula>IF($B18&lt;&gt;"",1,0)</formula>
    </cfRule>
    <cfRule type="expression" dxfId="72" priority="12">
      <formula>$I18=0</formula>
    </cfRule>
  </conditionalFormatting>
  <conditionalFormatting sqref="B15:B16">
    <cfRule type="expression" dxfId="71" priority="7">
      <formula>IF(AND($B15&lt;&gt;"",$I15=0),1,0)</formula>
    </cfRule>
    <cfRule type="expression" dxfId="70" priority="8">
      <formula>IF($B15&lt;&gt;"",1,0)</formula>
    </cfRule>
    <cfRule type="expression" dxfId="69" priority="9">
      <formula>$I15=0</formula>
    </cfRule>
  </conditionalFormatting>
  <conditionalFormatting sqref="B15:B16">
    <cfRule type="expression" dxfId="68" priority="4">
      <formula>IF(AND($B15&lt;&gt;"",$I15=0),1,0)</formula>
    </cfRule>
    <cfRule type="expression" dxfId="67" priority="5">
      <formula>IF($B15&lt;&gt;"",1,0)</formula>
    </cfRule>
    <cfRule type="expression" dxfId="66" priority="6">
      <formula>$I15=0</formula>
    </cfRule>
  </conditionalFormatting>
  <conditionalFormatting sqref="B12:B13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IF(COUNTA($B$10:$B$44)&lt;&gt;COUNTIF($I$10:$I$44,1),1,0)</formula>
    </cfRule>
    <cfRule type="expression" dxfId="61" priority="2244">
      <formula>IF(COUNTA($B$10:$B$44)=COUNTIF($I$10:$I$44,1),1,0)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E10:E44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F10:F44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f t="shared" ref="B10" si="0">0.0147*8</f>
        <v>0.1176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3</v>
      </c>
      <c r="I10" s="6">
        <v>1</v>
      </c>
      <c r="J10" s="5" t="s">
        <v>76</v>
      </c>
    </row>
    <row r="11" spans="1:10" ht="43.2">
      <c r="A11" s="4" t="s">
        <v>85</v>
      </c>
      <c r="B11" s="33">
        <f>0.0176*8</f>
        <v>0.14080000000000001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3</v>
      </c>
      <c r="I11" s="6">
        <v>1</v>
      </c>
      <c r="J11" s="5" t="s">
        <v>76</v>
      </c>
    </row>
    <row r="12" spans="1:10" ht="43.2">
      <c r="A12" s="4" t="s">
        <v>200</v>
      </c>
      <c r="B12" s="33">
        <f>0.0123*8</f>
        <v>9.8400000000000001E-2</v>
      </c>
      <c r="C12" s="2" t="s">
        <v>22</v>
      </c>
      <c r="D12" s="1" t="s">
        <v>23</v>
      </c>
      <c r="E12" s="1" t="s">
        <v>7</v>
      </c>
      <c r="F12" s="2" t="s">
        <v>5</v>
      </c>
      <c r="G12" s="1"/>
      <c r="H12" s="55">
        <f>[1]Initialization!$B$10</f>
        <v>3</v>
      </c>
      <c r="I12" s="6">
        <v>1</v>
      </c>
      <c r="J12" s="5" t="s">
        <v>76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V0/tq5rfCsxPfhTUiC/pBOoBbhmOdBafzG6inPhDCgnuE3Bvzkx6dLhXNC+kaGeUf/N8zvG4bRzPYQs9BBsDgg==" saltValue="Wf9uQU/bzA8GFaddEB9y4g==" spinCount="100000" sheet="1" objects="1" scenarios="1" selectLockedCells="1"/>
  <mergeCells count="2">
    <mergeCell ref="A3:J3"/>
    <mergeCell ref="J4:J8"/>
  </mergeCells>
  <conditionalFormatting sqref="B10 B13">
    <cfRule type="expression" dxfId="45" priority="13">
      <formula>IF(AND($B10&lt;&gt;"",$I10=0),1,0)</formula>
    </cfRule>
    <cfRule type="expression" dxfId="44" priority="14">
      <formula>IF($B10&lt;&gt;"",1,0)</formula>
    </cfRule>
    <cfRule type="expression" dxfId="43" priority="15">
      <formula>$I10=0</formula>
    </cfRule>
  </conditionalFormatting>
  <conditionalFormatting sqref="J4">
    <cfRule type="expression" dxfId="42" priority="2235">
      <formula>IF(COUNTA($B$10:$B$13)&lt;&gt;COUNTIF($I$10:$I$13,1),1,0)</formula>
    </cfRule>
    <cfRule type="expression" dxfId="41" priority="2236">
      <formula>IF(COUNTA($B$10:$B$13)=COUNTIF($I$10:$I$13,1),1,0)</formula>
    </cfRule>
  </conditionalFormatting>
  <conditionalFormatting sqref="B11:B12">
    <cfRule type="expression" dxfId="40" priority="1">
      <formula>IF(AND($B11&lt;&gt;"",$I11=0),1,0)</formula>
    </cfRule>
    <cfRule type="expression" dxfId="39" priority="2">
      <formula>IF($B11&lt;&gt;"",1,0)</formula>
    </cfRule>
    <cfRule type="expression" dxfId="38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D10:D13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F10:F13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yymk2eYduS+lHx47W+kf1xeLlFVhkQaEAy3p67AxL+A9p2lZ81d3UzytiKYnU52Bpjq/MwqxSuIsfTTL4ATiVg==" saltValue="la5j6KQSU0pmgQcXqx5BRQ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199</v>
      </c>
      <c r="N1" t="s">
        <v>71</v>
      </c>
      <c r="O1" t="s">
        <v>74</v>
      </c>
      <c r="P1" t="s">
        <v>197</v>
      </c>
      <c r="Q1" t="s">
        <v>72</v>
      </c>
      <c r="R1" t="s">
        <v>73</v>
      </c>
      <c r="S1" t="s">
        <v>198</v>
      </c>
      <c r="T1" t="s">
        <v>163</v>
      </c>
      <c r="U1" t="s">
        <v>164</v>
      </c>
      <c r="V1" t="s">
        <v>196</v>
      </c>
      <c r="W1" t="s">
        <v>165</v>
      </c>
      <c r="X1" t="s">
        <v>166</v>
      </c>
      <c r="Y1" t="s">
        <v>195</v>
      </c>
      <c r="Z1" t="s">
        <v>167</v>
      </c>
      <c r="AA1" t="s">
        <v>168</v>
      </c>
      <c r="AB1" t="s">
        <v>194</v>
      </c>
      <c r="AC1" t="s">
        <v>169</v>
      </c>
      <c r="AD1" t="s">
        <v>170</v>
      </c>
      <c r="AE1" t="s">
        <v>193</v>
      </c>
      <c r="AF1" t="s">
        <v>171</v>
      </c>
      <c r="AG1" t="s">
        <v>172</v>
      </c>
      <c r="AH1" t="s">
        <v>192</v>
      </c>
      <c r="AI1" t="s">
        <v>173</v>
      </c>
      <c r="AJ1" t="s">
        <v>174</v>
      </c>
      <c r="AK1" t="s">
        <v>191</v>
      </c>
      <c r="AL1" t="s">
        <v>175</v>
      </c>
      <c r="AM1" t="s">
        <v>176</v>
      </c>
      <c r="AN1" t="s">
        <v>190</v>
      </c>
      <c r="AO1" t="s">
        <v>177</v>
      </c>
      <c r="AP1" t="s">
        <v>178</v>
      </c>
      <c r="AQ1" t="s">
        <v>189</v>
      </c>
      <c r="AR1" t="s">
        <v>88</v>
      </c>
      <c r="AS1" t="s">
        <v>84</v>
      </c>
      <c r="AT1" t="s">
        <v>85</v>
      </c>
      <c r="AU1" t="s">
        <v>200</v>
      </c>
      <c r="AV1" t="s">
        <v>88</v>
      </c>
      <c r="AW1" t="s">
        <v>127</v>
      </c>
      <c r="AX1" t="s">
        <v>88</v>
      </c>
    </row>
    <row r="2" spans="1:50">
      <c r="A2">
        <v>0.08</v>
      </c>
      <c r="C2">
        <v>1</v>
      </c>
      <c r="G2">
        <v>1.1299999999999999E-3</v>
      </c>
      <c r="H2">
        <v>7.5646000000000003E-4</v>
      </c>
      <c r="J2">
        <v>299</v>
      </c>
      <c r="N2">
        <v>28.870999999999999</v>
      </c>
      <c r="O2">
        <v>29.675999999999998</v>
      </c>
      <c r="P2">
        <v>17.901</v>
      </c>
      <c r="T2">
        <v>2.2791903977044045E-2</v>
      </c>
      <c r="U2">
        <v>9.5556268567581707E-3</v>
      </c>
      <c r="V2">
        <v>10.069317160362226</v>
      </c>
      <c r="W2">
        <v>8.1359999999999992</v>
      </c>
      <c r="X2">
        <v>7.9169999999999998</v>
      </c>
      <c r="Y2">
        <v>13.12</v>
      </c>
      <c r="AS2">
        <v>0.1176</v>
      </c>
      <c r="AT2">
        <v>0.14080000000000001</v>
      </c>
      <c r="AU2">
        <v>9.8400000000000001E-2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199</v>
      </c>
      <c r="N1" t="s">
        <v>71</v>
      </c>
      <c r="O1" t="s">
        <v>74</v>
      </c>
      <c r="P1" t="s">
        <v>197</v>
      </c>
      <c r="Q1" t="s">
        <v>72</v>
      </c>
      <c r="R1" t="s">
        <v>73</v>
      </c>
      <c r="S1" t="s">
        <v>198</v>
      </c>
      <c r="T1" t="s">
        <v>163</v>
      </c>
      <c r="U1" t="s">
        <v>164</v>
      </c>
      <c r="V1" t="s">
        <v>196</v>
      </c>
      <c r="W1" t="s">
        <v>165</v>
      </c>
      <c r="X1" t="s">
        <v>166</v>
      </c>
      <c r="Y1" t="s">
        <v>195</v>
      </c>
      <c r="Z1" t="s">
        <v>167</v>
      </c>
      <c r="AA1" t="s">
        <v>168</v>
      </c>
      <c r="AB1" t="s">
        <v>194</v>
      </c>
      <c r="AC1" t="s">
        <v>169</v>
      </c>
      <c r="AD1" t="s">
        <v>170</v>
      </c>
      <c r="AE1" t="s">
        <v>193</v>
      </c>
      <c r="AF1" t="s">
        <v>171</v>
      </c>
      <c r="AG1" t="s">
        <v>172</v>
      </c>
      <c r="AH1" t="s">
        <v>192</v>
      </c>
      <c r="AI1" t="s">
        <v>173</v>
      </c>
      <c r="AJ1" t="s">
        <v>174</v>
      </c>
      <c r="AK1" t="s">
        <v>191</v>
      </c>
      <c r="AL1" t="s">
        <v>175</v>
      </c>
      <c r="AM1" t="s">
        <v>176</v>
      </c>
      <c r="AN1" t="s">
        <v>190</v>
      </c>
      <c r="AO1" t="s">
        <v>177</v>
      </c>
      <c r="AP1" t="s">
        <v>178</v>
      </c>
      <c r="AQ1" t="s">
        <v>189</v>
      </c>
      <c r="AR1" t="s">
        <v>88</v>
      </c>
      <c r="AS1" t="s">
        <v>84</v>
      </c>
      <c r="AT1" t="s">
        <v>85</v>
      </c>
      <c r="AU1" t="s">
        <v>200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1</v>
      </c>
      <c r="AT2">
        <v>1</v>
      </c>
      <c r="AU2">
        <v>1</v>
      </c>
      <c r="AV2">
        <v>0</v>
      </c>
      <c r="AW2">
        <v>0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2022-11-08T17:19:32Z</dcterms:modified>
</cp:coreProperties>
</file>