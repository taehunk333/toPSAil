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1_kayser\2_event_driven\1-col_isothermal_no_axial_pressure_drop\1_simulation_inputs\"/>
    </mc:Choice>
  </mc:AlternateContent>
  <xr:revisionPtr revIDLastSave="0" documentId="13_ncr:1_{12356743-5349-4F1C-8A39-8B97E59938F4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Initialization!$A$1:$J$11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3" i="43" l="1" a="1"/>
  <c r="I13" i="43" s="1"/>
  <c r="A1" i="44"/>
  <c r="H10" i="45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<sst xmlns="http://schemas.openxmlformats.org/spreadsheetml/2006/main" count="340" uniqueCount="153">
  <si>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</si>
  <si>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</si>
  <si>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</si>
  <si>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</si>
  <si>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</si>
  <si>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</si>
  <si>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</si>
  <si>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</si>
  <si>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</si>
  <si>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</si>
  <si>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</si>
  <si>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</si>
  <si>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</si>
  <si>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</si>
  <si>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</si>
  <si>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</si>
  <si>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</si>
  <si>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</si>
  <si>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</si>
  <si>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</si>
  <si>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</si>
  <si>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</si>
  <si>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</si>
  <si>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</si>
  <si>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</si>
  <si>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</si>
  <si>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</si>
  <si>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</si>
  <si>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</si>
  <si>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</si>
  <si>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</si>
  <si>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</si>
  <si>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</si>
  <si>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</si>
  <si>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</si>
  <si>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</si>
  <si>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</si>
  <si>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</si>
  <si>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</si>
  <si>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</si>
  <si>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</si>
  <si>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</si>
  <si>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</si>
  <si>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</si>
  <si>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</si>
  <si>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</si>
  <si>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</si>
  <si>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</si>
  <si>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</si>
  <si>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</si>
  <si>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</si>
  <si>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</si>
  <si>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</si>
  <si>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</si>
  <si>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</si>
  <si>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</si>
  <si>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</si>
  <si>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</si>
  <si>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</si>
  <si>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</si>
  <si>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</si>
  <si>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</si>
  <si>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</si>
  <si>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</si>
  <si>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</si>
  <si>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</si>
  <si>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</si>
  <si>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</si>
  <si>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</si>
  <si>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</si>
  <si>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</si>
  <si>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</si>
  <si>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</si>
  <si>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</si>
  <si>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</si>
  <si>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</si>
  <si>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</si>
  <si>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</si>
  <si>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</si>
  <si>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</si>
  <si>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</si>
  <si>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</si>
  <si>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</si>
  <si>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</si>
  <si>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</si>
  <si>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</si>
  <si>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</si>
  <si>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</si>
  <si>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</si>
  <si>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</si>
  <si>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</si>
  <si>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</si>
  <si>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</si>
  <si>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</si>
  <si>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</si>
  <si>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</si>
  <si>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</si>
  <si>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</si>
  <si>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</si>
  <si>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</si>
  <si>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</si>
  <si>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</si>
  <si>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</si>
  <si>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</si>
  <si>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</si>
  <si>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</si>
  <si>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</si>
  <si>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</si>
  <si>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</si>
  <si>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column heat capacity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</si>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</sst>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1" totalsRowShown="0" headerRowDxfId="97" dataDxfId="95" headerRowBorderDxfId="96" tableBorderDxfId="94" totalsRowBorderDxfId="93">
  <autoFilter ref="A8:J11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151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130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150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149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110</v>
      </c>
      <c r="S1" t="s">
        <v>111</v>
      </c>
      <c r="T1" t="s">
        <v>120</v>
      </c>
      <c r="U1" t="s">
        <v>121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122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123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124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125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126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127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128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115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116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1"/>
  <sheetViews>
    <sheetView showGridLines="0" tabSelected="1" zoomScaleNormal="85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152</v>
      </c>
    </row>
    <row r="10" spans="1:10" ht="259.2">
      <c r="A10" s="48" t="s">
        <v>135</v>
      </c>
      <c r="B10" s="31">
        <v>1</v>
      </c>
      <c r="C10" s="2" t="s">
        <v>3</v>
      </c>
      <c r="D10" s="1" t="s">
        <v>31</v>
      </c>
      <c r="E10" s="1" t="s">
        <v>91</v>
      </c>
      <c r="F10" s="2" t="s">
        <v>45</v>
      </c>
      <c r="G10" s="1"/>
      <c r="H10" s="55">
        <f>[1]Initialization!$B$10</f>
        <v>1</v>
      </c>
      <c r="I10" s="6">
        <v>1</v>
      </c>
      <c r="J10" s="5" t="s">
        <v>152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o7GKP1oVOsWmQVSM3XldQmMbXICsoGbsIK+6H7PoicVP5L5YJafvEsgaIwdImJkCwf1UOb7yCbrhAmDjQDM/Dg==" saltValue="6pF3s5unY/1LsTrVeRlGbw==" spinCount="100000" sheet="1" objects="1" scenarios="1" selectLockedCells="1"/>
  <mergeCells count="2">
    <mergeCell ref="A2:J2"/>
    <mergeCell ref="J3:J7"/>
  </mergeCells>
  <conditionalFormatting sqref="B9:B11">
    <cfRule type="expression" dxfId="102" priority="1">
      <formula>IF(AND($B9&lt;&gt;"",$I9=0),1,0)</formula>
    </cfRule>
    <cfRule type="expression" dxfId="101" priority="2">
      <formula>IF($B9&lt;&gt;"",1,0)</formula>
    </cfRule>
    <cfRule type="expression" dxfId="100" priority="3">
      <formula>$I9=0</formula>
    </cfRule>
  </conditionalFormatting>
  <conditionalFormatting sqref="J3">
    <cfRule type="expression" dxfId="99" priority="2419">
      <formula>IF(COUNTA($B$9:$B$11)&lt;&gt;COUNTIF($I$9:$I$11,1),1,0)</formula>
    </cfRule>
    <cfRule type="expression" dxfId="98" priority="2420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E1E429C-3115-1646-8F42-2753DDEB9857}">
          <x14:formula1>
            <xm:f>Reference!$A$2:$A$8</xm:f>
          </x14:formula1>
          <xm:sqref>E9:E11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F9:F11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D9:D11</xm:sqref>
        </x14:dataValidation>
        <x14:dataValidation type="list" allowBlank="1" showInputMessage="1" showErrorMessage="1" xr:uid="{313CFFBF-30BA-DA4D-B8D6-78737161F645}">
          <x14:formula1>
            <xm:f>Reference!$J$2:$J$11</xm:f>
          </x14:formula1>
          <xm:sqref>B9:B10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3" sqref="A13:XFD13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129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2" sqref="A12:XFD16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143</v>
      </c>
      <c r="B9" s="31">
        <v>3.0856051519999999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137</v>
      </c>
    </row>
    <row r="10" spans="1:10" ht="43.2">
      <c r="A10" s="48" t="s">
        <v>145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142</v>
      </c>
    </row>
    <row r="11" spans="1:10" ht="43.2">
      <c r="A11" s="4" t="s">
        <v>148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139</v>
      </c>
    </row>
    <row r="12" spans="1:10" ht="72">
      <c r="A12" s="48" t="s">
        <v>144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138</v>
      </c>
    </row>
    <row r="13" spans="1:10" ht="43.2">
      <c r="A13" s="48" t="s">
        <v>146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141</v>
      </c>
    </row>
    <row r="14" spans="1:10" ht="43.2">
      <c r="A14" s="4" t="s">
        <v>147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140</v>
      </c>
    </row>
    <row r="15" spans="1:10" ht="57.6">
      <c r="A15" s="4" t="s">
        <v>117</v>
      </c>
      <c r="B15" s="31">
        <v>318.14999999999998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136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NI2Q8jHPMnNhg8dZS6ixo1p/sK5e3dB6hT/qAwejrxKjHL3f7R76YeBvYRlhFlRyDWQh0M4U9SLs+GujrQqjhw==" saltValue="QG/a3c09ZUe85ODrIH3e1w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113</v>
      </c>
      <c r="B9" s="31">
        <v>10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6">
        <v>1</v>
      </c>
      <c r="J9" s="5" t="s">
        <v>104</v>
      </c>
    </row>
    <row r="10" spans="1:10" ht="28.8">
      <c r="A10" s="48" t="s">
        <v>114</v>
      </c>
      <c r="B10" s="31">
        <v>12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6">
        <v>1</v>
      </c>
      <c r="J10" s="5" t="s">
        <v>105</v>
      </c>
    </row>
    <row r="11" spans="1:10" ht="14.4">
      <c r="A11" s="48" t="s">
        <v>118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119</v>
      </c>
      <c r="B12" s="31">
        <v>502.32</v>
      </c>
      <c r="C12" s="34" t="s">
        <v>112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6">
        <v>1</v>
      </c>
      <c r="J12" s="5" t="s">
        <v>109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uAoYiGCjHP7BMvyu7qeRDs0ZjKIVCWaljIIc4jLvTOfBz7G5/OOfx15umAG83cNOKUl0nV3Dg+UarXRc5sIgnA==" saltValue="Mc4SE7SQIssAX1j2HUf/Cw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131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132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133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134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3">
      <c r="A1" t="s">
        <v>106</v>
      </c>
      <c r="B1" t="s">
        <v>135</v>
      </c>
      <c r="C1" t="s">
        <v>86</v>
      </c>
      <c r="D1" t="s">
        <v>129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143</v>
      </c>
      <c r="L1" t="s">
        <v>145</v>
      </c>
      <c r="M1" t="s">
        <v>148</v>
      </c>
      <c r="N1" t="s">
        <v>144</v>
      </c>
      <c r="O1" t="s">
        <v>146</v>
      </c>
      <c r="P1" t="s">
        <v>147</v>
      </c>
      <c r="Q1" t="s">
        <v>117</v>
      </c>
      <c r="R1" t="s">
        <v>86</v>
      </c>
      <c r="S1" t="s">
        <v>113</v>
      </c>
      <c r="T1" t="s">
        <v>114</v>
      </c>
      <c r="U1" t="s">
        <v>118</v>
      </c>
      <c r="V1" t="s">
        <v>119</v>
      </c>
      <c r="W1" t="s">
        <v>86</v>
      </c>
    </row>
    <row r="2" spans="1:23">
      <c r="A2">
        <v>5</v>
      </c>
      <c r="B2">
        <v>1</v>
      </c>
      <c r="D2">
        <v>76.2</v>
      </c>
      <c r="E2">
        <v>1.143</v>
      </c>
      <c r="F2">
        <v>1.643</v>
      </c>
      <c r="H2">
        <v>0.48</v>
      </c>
      <c r="I2">
        <v>0.25240000000000001</v>
      </c>
      <c r="K2">
        <v>3.0856051519999999</v>
      </c>
      <c r="N2">
        <v>0.47649581499999999</v>
      </c>
      <c r="Q2">
        <v>318.14999999999998</v>
      </c>
      <c r="S2">
        <v>10</v>
      </c>
      <c r="T2">
        <v>12</v>
      </c>
      <c r="U2">
        <v>7.8300000000000002E-3</v>
      </c>
      <c r="V2">
        <v>502.32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CC1" workbookViewId="0">
      <selection activeCell="CR2" sqref="CR2"/>
    </sheetView>
  </sheetViews>
  <sheetFormatPr defaultColWidth="8.77734375" defaultRowHeight="14.4"/>
  <sheetData>
    <row r="1" spans="1:23">
      <c r="A1" t="s">
        <v>106</v>
      </c>
      <c r="B1" t="s">
        <v>135</v>
      </c>
      <c r="C1" t="s">
        <v>86</v>
      </c>
      <c r="D1" t="s">
        <v>129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143</v>
      </c>
      <c r="L1" t="s">
        <v>145</v>
      </c>
      <c r="M1" t="s">
        <v>148</v>
      </c>
      <c r="N1" t="s">
        <v>144</v>
      </c>
      <c r="O1" t="s">
        <v>146</v>
      </c>
      <c r="P1" t="s">
        <v>147</v>
      </c>
      <c r="Q1" t="s">
        <v>117</v>
      </c>
      <c r="R1" t="s">
        <v>86</v>
      </c>
      <c r="S1" t="s">
        <v>113</v>
      </c>
      <c r="T1" t="s">
        <v>114</v>
      </c>
      <c r="U1" t="s">
        <v>118</v>
      </c>
      <c r="V1" t="s">
        <v>119</v>
      </c>
      <c r="W1" t="s">
        <v>86</v>
      </c>
    </row>
    <row r="2" spans="1:23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0</v>
      </c>
      <c r="M2">
        <v>0</v>
      </c>
      <c r="N2">
        <v>1</v>
      </c>
      <c r="O2">
        <v>0</v>
      </c>
      <c r="P2">
        <v>0</v>
      </c>
      <c r="Q2">
        <v>1</v>
      </c>
      <c r="R2">
        <v>0</v>
      </c>
      <c r="S2">
        <v>1</v>
      </c>
      <c r="T2">
        <v>1</v>
      </c>
      <c r="U2">
        <v>1</v>
      </c>
      <c r="V2">
        <v>1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2022-10-13T15:20:08Z</dcterms:modified>
</cp:coreProperties>
</file>