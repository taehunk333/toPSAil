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75C03DC7-D598-47CE-A7F6-E2A706E93F41}" xr6:coauthVersionLast="47" xr6:coauthVersionMax="47" xr10:uidLastSave="{00000000-0000-0000-0000-000000000000}"/>
  <bookViews>
    <workbookView xWindow="3120" yWindow="330" windowWidth="21600" windowHeight="14175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44" l="1"/>
  <c r="B18" i="44"/>
  <c r="B16" i="44"/>
  <c r="I12" i="44"/>
  <c r="H12" i="44"/>
  <c r="I11" i="44"/>
  <c r="H11" i="44"/>
  <c r="H15" i="44"/>
  <c r="H14" i="44"/>
  <c r="H18" i="44"/>
  <c r="H17" i="44"/>
  <c r="H21" i="44"/>
  <c r="H20" i="44"/>
  <c r="H12" i="48"/>
  <c r="H11" i="48"/>
  <c r="H14" i="40"/>
  <c r="H13" i="40"/>
  <c r="H10" i="48" l="1"/>
  <c r="J4" i="48"/>
  <c r="J2" i="48"/>
  <c r="A2" i="48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<sst xmlns="http://schemas.openxmlformats.org/spreadsheetml/2006/main" count="335" uniqueCount="147">
  <si>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</si>
  <si>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</si>
  <si>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</si>
  <si>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</si>
  <si>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</si>
  <si>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</si>
  <si>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</si>
  <si>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</si>
  <si>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</si>
  <si>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</si>
  <si>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</si>
  <si>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</si>
  <si>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</si>
  <si>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</si>
  <si>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</si>
  <si>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</si>
  <si>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</si>
  <si>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</si>
  <si>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</si>
  <si>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</si>
  <si>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</si>
  <si>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</si>
  <si>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</si>
  <si>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</si>
  <si>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</si>
  <si>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</si>
  <si>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</si>
  <si>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</si>
  <si>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</si>
  <si>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</si>
  <si>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</si>
  <si>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</si>
  <si>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</si>
  <si>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</si>
  <si>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</si>
  <si>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</si>
  <si>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</si>
  <si>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</si>
  <si>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</si>
  <si>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</si>
  <si>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</si>
  <si>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</si>
  <si>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</si>
  <si>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</si>
  <si>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</si>
  <si>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</si>
  <si>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</si>
  <si>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</si>
  <si>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</si>
  <si>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</si>
  <si>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</si>
  <si>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</si>
  <si>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</si>
  <si>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</si>
  <si>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</si>
  <si>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</si>
  <si>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</si>
  <si>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</si>
  <si>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</si>
  <si>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</si>
  <si>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</si>
  <si>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</si>
  <si>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</si>
  <si>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</si>
  <si>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</si>
  <si>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</si>
  <si>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</si>
  <si>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</si>
  <si>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</si>
  <si>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</si>
  <si>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</si>
  <si>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</si>
  <si>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</si>
  <si>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</si>
  <si>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</si>
  <si>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</si>
  <si>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</si>
  <si>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</si>
  <si>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</si>
  <si>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</si>
  <si>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</si>
  <si>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</si>
  <si>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</si>
  <si>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</si>
  <si>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</si>
  <si>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</si>
  <si>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</si>
  <si>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</si>
  <si>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</si>
  <si>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</si>
  <si>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</si>
  <si>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</si>
  <si>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</si>
  <si>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</si>
  <si>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</si>
  <si>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</si>
  <si>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</si>
  <si>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</si>
  <si>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</si>
  <si>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</si>
  <si>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</si>
  <si>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</si>
  <si>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</si>
  <si>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</si>
  <si>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</si>
  <si>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</si>
  <si>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</si>
  <si>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</si>
  <si>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</si>
  <si>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</si>
  <si>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</si>
  <si>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</si>
  <si>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</si>
  <si>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</si>
  <si>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</si>
  <si>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</si>
  <si>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</si>
  <si>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</si>
  <si>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</si>
  <si>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</si>
  <si>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</si>
  <si>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</si>
  <si>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</si>
  <si>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</si>
  <si>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</si>
  <si>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</si>
  <si>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</si>
  <si>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</si>
  <si>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</si>
  <si>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</si>
  <si>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</si>
  <si>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</si>
  <si>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</si>
  <si>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</si>
  <si>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</si>
  <si>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</si>
  <si>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</si>
  <si>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</si>
  <si>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N2</t>
  </si>
  <si>
    <t>CO2</t>
  </si>
  <si>
    <t>sCom3</t>
  </si>
  <si>
    <t>molecWtC3</t>
  </si>
  <si>
    <t>compFacC3</t>
  </si>
  <si>
    <t>htCapCvC3</t>
  </si>
  <si>
    <t>htCapCpC3</t>
  </si>
  <si>
    <t>isoStHtC3</t>
  </si>
  <si>
    <t>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</si>
</sst>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F0083DBC-BA3F-499A-AB41-58DC14E7EC9B}" name="Variable" dataDxfId="55"/>
    <tableColumn id="4" xr3:uid="{2D9C78CB-0A98-4E06-A17A-328F6643A2AB}" name="Value" dataDxfId="54"/>
    <tableColumn id="5" xr3:uid="{2D40A785-0BF0-4D20-A6A3-606AF3EAEA1D}" name="Unit" dataDxfId="53"/>
    <tableColumn id="6" xr3:uid="{47E47CE1-84EE-4BBF-AF16-7CD09E32C8D5}" name="Comparisons" dataDxfId="52"/>
    <tableColumn id="7" xr3:uid="{1E01755C-F10B-47AF-87D2-261FE9E5C304}" name="Variable Type" dataDxfId="51"/>
    <tableColumn id="8" xr3:uid="{A1508BC9-F251-4C78-AFE1-9780568F4570}" name="Dependency" dataDxfId="50"/>
    <tableColumn id="12" xr3:uid="{483B9187-B663-438A-A6C2-F92DD2C5981E}" name="Test 1" dataDxfId="49"/>
    <tableColumn id="10" xr3:uid="{B0989B53-E4FA-42D2-AC40-B81EF1952308}" name="Test 2" dataDxfId="48"/>
    <tableColumn id="2" xr3:uid="{3B51E6F8-78E0-4FDA-AE7D-0D8F50BB7A78}" name="Test 3" dataDxfId="47"/>
    <tableColumn id="9" xr3:uid="{87AE414E-FFE1-4067-A57C-04659EEE8430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D4652DE0-AD05-4BC4-B7DC-B91D6E15B5B2}" name="Variable" dataDxfId="35"/>
    <tableColumn id="4" xr3:uid="{2F59C491-C7E1-4257-A250-2EA854EB6288}" name="Value" dataDxfId="34"/>
    <tableColumn id="5" xr3:uid="{34876DE5-AC85-42AE-9A77-1A7DBC37EA9C}" name="Unit" dataDxfId="33"/>
    <tableColumn id="6" xr3:uid="{16522C00-28AB-414D-9B4E-DF5790D96FB0}" name="Comparisons" dataDxfId="32"/>
    <tableColumn id="7" xr3:uid="{A1C9D628-05B1-4FEF-97C7-8DAC16591D17}" name="Variable Type" dataDxfId="31"/>
    <tableColumn id="8" xr3:uid="{21ED6E86-E0CA-4EA6-8452-7E8EC49D47E9}" name="Dependency" dataDxfId="30"/>
    <tableColumn id="12" xr3:uid="{833F4E3C-8288-4E33-9D60-BB141BA16440}" name="Test 1" dataDxfId="29"/>
    <tableColumn id="10" xr3:uid="{B5ACF3FF-F7B5-4328-AF7F-9A1641C64EBC}" name="Test 2" dataDxfId="28"/>
    <tableColumn id="2" xr3:uid="{69651FF2-E47D-4C8B-88C9-DEAB4746E36D}" name="Test 3" dataDxfId="27"/>
    <tableColumn id="9" xr3:uid="{7323C7D4-0CE9-41A5-811B-0D3D008EC15F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3" hidden="1" customWidth="1"/>
    <col min="3" max="3" width="2.42578125" style="33" customWidth="1"/>
    <col min="4" max="4" width="13.7109375" style="33" customWidth="1"/>
    <col min="5" max="5" width="51.28515625" style="34" bestFit="1" customWidth="1"/>
    <col min="6" max="6" width="15.7109375" style="35" bestFit="1" customWidth="1"/>
    <col min="7" max="9" width="13.28515625" style="33" customWidth="1"/>
    <col min="10" max="10" width="48.7109375" style="33" customWidth="1"/>
    <col min="11" max="11" width="2.42578125" style="33" customWidth="1"/>
    <col min="12" max="12" width="0" style="33" hidden="1" customWidth="1"/>
    <col min="13" max="16384" width="9" style="33" hidden="1"/>
  </cols>
  <sheetData>
    <row r="3" spans="4:10"/>
    <row r="4" spans="4:10" ht="18.75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5.25">
      <c r="D5" s="60" t="s">
        <v>36</v>
      </c>
      <c r="E5" s="60"/>
      <c r="F5" s="60"/>
      <c r="G5" s="60"/>
      <c r="H5" s="60"/>
      <c r="I5" s="60"/>
      <c r="J5" s="60"/>
    </row>
    <row r="6" spans="4:10" ht="18.75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6.25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7.5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.75">
      <c r="D9" s="37">
        <v>3</v>
      </c>
      <c r="E9" s="38"/>
      <c r="F9" s="39"/>
      <c r="G9" s="37"/>
      <c r="H9" s="37"/>
      <c r="I9" s="37"/>
      <c r="J9" s="38"/>
    </row>
    <row r="10" spans="4:10" ht="18.75">
      <c r="D10" s="37">
        <v>4</v>
      </c>
      <c r="E10" s="38"/>
      <c r="F10" s="39"/>
      <c r="G10" s="37"/>
      <c r="H10" s="37"/>
      <c r="I10" s="37"/>
      <c r="J10" s="38"/>
    </row>
    <row r="11" spans="4:10" ht="18.75">
      <c r="D11" s="37">
        <v>5</v>
      </c>
      <c r="E11" s="38"/>
      <c r="F11" s="39"/>
      <c r="G11" s="37"/>
      <c r="H11" s="37"/>
      <c r="I11" s="37"/>
      <c r="J11" s="38"/>
    </row>
    <row r="12" spans="4:10" ht="18.75">
      <c r="D12" s="37">
        <v>6</v>
      </c>
      <c r="E12" s="38"/>
      <c r="F12" s="39"/>
      <c r="G12" s="37"/>
      <c r="H12" s="37"/>
      <c r="I12" s="37"/>
      <c r="J12" s="38"/>
    </row>
    <row r="13" spans="4:10" ht="18.75">
      <c r="D13" s="37">
        <v>7</v>
      </c>
      <c r="E13" s="38"/>
      <c r="F13" s="39"/>
      <c r="G13" s="37"/>
      <c r="H13" s="37"/>
      <c r="I13" s="37"/>
      <c r="J13" s="38"/>
    </row>
    <row r="14" spans="4:10" ht="18.75">
      <c r="D14" s="37">
        <v>8</v>
      </c>
      <c r="E14" s="38"/>
      <c r="F14" s="39"/>
      <c r="G14" s="37"/>
      <c r="H14" s="37"/>
      <c r="I14" s="37"/>
      <c r="J14" s="38"/>
    </row>
    <row r="15" spans="4:10" ht="18.75">
      <c r="D15" s="37">
        <v>9</v>
      </c>
      <c r="E15" s="38"/>
      <c r="F15" s="39"/>
      <c r="G15" s="37"/>
      <c r="H15" s="37"/>
      <c r="I15" s="37"/>
      <c r="J15" s="38"/>
    </row>
    <row r="16" spans="4:10" ht="18.75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6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5" sqref="B15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60">
      <c r="A11" s="47" t="s">
        <v>134</v>
      </c>
      <c r="B11" s="30">
        <v>2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136</v>
      </c>
    </row>
    <row r="12" spans="1:10" ht="45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130</v>
      </c>
    </row>
    <row r="13" spans="1:10" ht="45">
      <c r="A13" s="4" t="s">
        <v>63</v>
      </c>
      <c r="B13" s="30" t="s">
        <v>146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130</v>
      </c>
    </row>
    <row r="14" spans="1:10" ht="45">
      <c r="A14" s="4" t="s">
        <v>140</v>
      </c>
      <c r="B14" s="30" t="s">
        <v>139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130</v>
      </c>
    </row>
    <row r="15" spans="1:10" ht="15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  <row r="16" spans="1:10" ht="14.65" hidden="1" customHeight="1"/>
  </sheetData>
  <sheetProtection algorithmName="SHA-512" hashValue="C1rTqhL49dzWQaWXZI69MZ/WBt3Utp5JT29nDQKwlTNKFoWAmAwqGLjln0xZXi5cVV0HOLG09rN/JzydbuDXIg==" saltValue="JcFLSuxhf9HCyVdRvRHpnA==" spinCount="100000" sheet="1" objects="1" scenarios="1" selectLockedCells="1"/>
  <mergeCells count="2">
    <mergeCell ref="A3:J3"/>
    <mergeCell ref="J4:J8"/>
  </mergeCells>
  <conditionalFormatting sqref="B10:B15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554">
      <formula>IF(COUNTA($B$10:$B$15)&lt;&gt;COUNTIF($I$10:$I$15,1),1,0)</formula>
    </cfRule>
    <cfRule type="expression" dxfId="61" priority="555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4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5">
      <c r="A10" s="4" t="s">
        <v>122</v>
      </c>
      <c r="B10" s="30">
        <v>28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3</v>
      </c>
      <c r="I10" s="6">
        <v>1</v>
      </c>
      <c r="J10" s="5" t="s">
        <v>124</v>
      </c>
    </row>
    <row r="11" spans="1:10" ht="15">
      <c r="A11" s="4" t="s">
        <v>125</v>
      </c>
      <c r="B11" s="30">
        <v>16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3</v>
      </c>
      <c r="I11" s="6">
        <v>1</v>
      </c>
      <c r="J11" s="5" t="s">
        <v>124</v>
      </c>
    </row>
    <row r="12" spans="1:10" ht="15">
      <c r="A12" s="4" t="s">
        <v>141</v>
      </c>
      <c r="B12" s="30">
        <v>44</v>
      </c>
      <c r="C12" s="2" t="s">
        <v>123</v>
      </c>
      <c r="D12" s="1" t="s">
        <v>22</v>
      </c>
      <c r="E12" s="1" t="s">
        <v>7</v>
      </c>
      <c r="F12" s="2" t="s">
        <v>5</v>
      </c>
      <c r="G12" s="1"/>
      <c r="H12" s="59">
        <f>Initialization!B$10</f>
        <v>3</v>
      </c>
      <c r="I12" s="6">
        <v>1</v>
      </c>
      <c r="J12" s="5" t="s">
        <v>124</v>
      </c>
    </row>
    <row r="13" spans="1:10" ht="15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  <row r="14" spans="1:10" ht="14.65" hidden="1" customHeight="1"/>
  </sheetData>
  <sheetProtection selectLockedCells="1"/>
  <mergeCells count="2">
    <mergeCell ref="A3:J3"/>
    <mergeCell ref="J4:J8"/>
  </mergeCells>
  <conditionalFormatting sqref="B10:B13">
    <cfRule type="expression" dxfId="45" priority="16">
      <formula>IF(AND($B10&lt;&gt;"",$I10=0),1,0)</formula>
    </cfRule>
    <cfRule type="expression" dxfId="44" priority="17">
      <formula>IF($B10&lt;&gt;"",1,0)</formula>
    </cfRule>
    <cfRule type="expression" dxfId="43" priority="18">
      <formula>$I10=0</formula>
    </cfRule>
  </conditionalFormatting>
  <conditionalFormatting sqref="J4">
    <cfRule type="expression" dxfId="42" priority="556">
      <formula>IF(COUNTA($B$10:$B$13)&lt;&gt;COUNTIF($I$10:$I$13,1),1,0)</formula>
    </cfRule>
    <cfRule type="expression" dxfId="41" priority="557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E10:E13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D10:D13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6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3" sqref="B13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92</v>
      </c>
      <c r="B10" s="30">
        <v>10000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58">
        <f>[1]Initialization!$B$14</f>
        <v>1</v>
      </c>
      <c r="J10" s="5" t="s">
        <v>137</v>
      </c>
    </row>
    <row r="11" spans="1:10" ht="30">
      <c r="A11" s="4" t="s">
        <v>93</v>
      </c>
      <c r="B11" s="30">
        <v>12000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58">
        <f>[1]Initialization!$B$14</f>
        <v>1</v>
      </c>
      <c r="J11" s="5" t="s">
        <v>137</v>
      </c>
    </row>
    <row r="12" spans="1:10" ht="30">
      <c r="A12" s="4" t="s">
        <v>145</v>
      </c>
      <c r="B12" s="30">
        <v>30000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58">
        <f>[1]Initialization!$B$14</f>
        <v>1</v>
      </c>
      <c r="J12" s="5" t="s">
        <v>137</v>
      </c>
    </row>
    <row r="13" spans="1:10" ht="30">
      <c r="A13" s="4" t="s">
        <v>104</v>
      </c>
      <c r="B13" s="30">
        <v>29.1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102</v>
      </c>
    </row>
    <row r="14" spans="1:10" ht="30">
      <c r="A14" s="4" t="s">
        <v>105</v>
      </c>
      <c r="B14" s="30">
        <v>29.4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102</v>
      </c>
    </row>
    <row r="15" spans="1:10" ht="30">
      <c r="A15" s="4" t="s">
        <v>144</v>
      </c>
      <c r="B15" s="30">
        <v>37.1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102</v>
      </c>
    </row>
    <row r="16" spans="1:10" ht="30">
      <c r="A16" s="47" t="s">
        <v>106</v>
      </c>
      <c r="B16" s="30">
        <f>B13-8.314</f>
        <v>20.786000000000001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103</v>
      </c>
    </row>
    <row r="17" spans="1:10" ht="30">
      <c r="A17" s="47" t="s">
        <v>107</v>
      </c>
      <c r="B17" s="30">
        <f t="shared" ref="B17:B18" si="0">B14-8.314</f>
        <v>21.085999999999999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103</v>
      </c>
    </row>
    <row r="18" spans="1:10" ht="30">
      <c r="A18" s="47" t="s">
        <v>143</v>
      </c>
      <c r="B18" s="30">
        <f t="shared" si="0"/>
        <v>28.786000000000001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103</v>
      </c>
    </row>
    <row r="19" spans="1:10" ht="30">
      <c r="A19" s="47" t="s">
        <v>109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108</v>
      </c>
    </row>
    <row r="20" spans="1:10" ht="30">
      <c r="A20" s="47" t="s">
        <v>110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108</v>
      </c>
    </row>
    <row r="21" spans="1:10" ht="30">
      <c r="A21" s="47" t="s">
        <v>142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108</v>
      </c>
    </row>
    <row r="22" spans="1:10" ht="15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  <row r="23" spans="1:10" ht="14.65" hidden="1" customHeight="1"/>
    <row r="24" spans="1:10" ht="14.65" hidden="1" customHeight="1"/>
    <row r="25" spans="1:10" ht="14.65" hidden="1" customHeight="1"/>
    <row r="26" spans="1:10" ht="14.65" hidden="1" customHeight="1"/>
  </sheetData>
  <sheetProtection algorithmName="SHA-512" hashValue="A5woB8qxrDC18+l9R6vh8qj/C/dHIBVNwRbjJd5l4edHY7E1QS+OdJrI9TTxv/IFhxWijhjbDLQ+m6vUQkDZtw==" saltValue="KsqEye0VG2MmUWMf+PxTEA==" spinCount="100000" sheet="1" objects="1" scenarios="1" selectLockedCells="1"/>
  <mergeCells count="2">
    <mergeCell ref="A3:J3"/>
    <mergeCell ref="J4:J8"/>
  </mergeCells>
  <conditionalFormatting sqref="B13:B22">
    <cfRule type="expression" dxfId="25" priority="43">
      <formula>IF(AND($B13&lt;&gt;"",$I13=0),1,0)</formula>
    </cfRule>
    <cfRule type="expression" dxfId="24" priority="44">
      <formula>IF($B13&lt;&gt;"",1,0)</formula>
    </cfRule>
    <cfRule type="expression" dxfId="23" priority="45">
      <formula>$I13=0</formula>
    </cfRule>
  </conditionalFormatting>
  <conditionalFormatting sqref="B10:B12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564">
      <formula>IF(COUNTA($B$10:$B$22)&lt;&gt;COUNTIF($I$10:$I$22,1),1,0)</formula>
    </cfRule>
    <cfRule type="expression" dxfId="15" priority="56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109375" style="56" customWidth="1"/>
    <col min="3" max="3" width="13.140625" style="56" customWidth="1"/>
    <col min="4" max="4" width="13.42578125" style="56" customWidth="1"/>
    <col min="5" max="6" width="8.7109375" style="56" customWidth="1"/>
    <col min="7" max="7" width="14.7109375" style="56" customWidth="1"/>
    <col min="8" max="8" width="11.7109375" style="56" customWidth="1"/>
    <col min="9" max="9" width="10.28515625" style="56" customWidth="1"/>
    <col min="10" max="10" width="5.7109375" style="56" customWidth="1"/>
    <col min="11" max="11" width="10.42578125" style="56" customWidth="1"/>
    <col min="12" max="17" width="8.7109375" style="56" customWidth="1"/>
    <col min="18" max="16384" width="8.7109375" style="56" hidden="1"/>
  </cols>
  <sheetData>
    <row r="1" spans="1:17" ht="15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>
      <c r="A2" s="65" t="s">
        <v>127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109375" defaultRowHeight="15"/>
  <sheetData>
    <row r="1" spans="1:23">
      <c r="A1" t="s">
        <v>5</v>
      </c>
      <c r="B1" t="s">
        <v>134</v>
      </c>
      <c r="C1" t="s">
        <v>62</v>
      </c>
      <c r="D1" t="s">
        <v>63</v>
      </c>
      <c r="E1" t="s">
        <v>140</v>
      </c>
      <c r="F1" t="s">
        <v>77</v>
      </c>
      <c r="G1" t="s">
        <v>122</v>
      </c>
      <c r="H1" t="s">
        <v>125</v>
      </c>
      <c r="I1" t="s">
        <v>141</v>
      </c>
      <c r="J1" t="s">
        <v>77</v>
      </c>
      <c r="K1" t="s">
        <v>92</v>
      </c>
      <c r="L1" t="s">
        <v>93</v>
      </c>
      <c r="M1" t="s">
        <v>145</v>
      </c>
      <c r="N1" t="s">
        <v>104</v>
      </c>
      <c r="O1" t="s">
        <v>105</v>
      </c>
      <c r="P1" t="s">
        <v>144</v>
      </c>
      <c r="Q1" t="s">
        <v>106</v>
      </c>
      <c r="R1" t="s">
        <v>107</v>
      </c>
      <c r="S1" t="s">
        <v>143</v>
      </c>
      <c r="T1" t="s">
        <v>109</v>
      </c>
      <c r="U1" t="s">
        <v>110</v>
      </c>
      <c r="V1" t="s">
        <v>142</v>
      </c>
      <c r="W1" t="s">
        <v>77</v>
      </c>
    </row>
    <row r="2" spans="1:23">
      <c r="A2">
        <v>3</v>
      </c>
      <c r="B2">
        <v>2</v>
      </c>
      <c r="C2" t="s">
        <v>138</v>
      </c>
      <c r="D2" t="s">
        <v>146</v>
      </c>
      <c r="E2" t="s">
        <v>139</v>
      </c>
      <c r="G2">
        <v>28</v>
      </c>
      <c r="H2">
        <v>16</v>
      </c>
      <c r="I2">
        <v>44</v>
      </c>
      <c r="K2">
        <v>10000</v>
      </c>
      <c r="L2">
        <v>12000</v>
      </c>
      <c r="M2">
        <v>30000</v>
      </c>
      <c r="N2">
        <v>29.1</v>
      </c>
      <c r="O2">
        <v>29.4</v>
      </c>
      <c r="P2">
        <v>37.1</v>
      </c>
      <c r="Q2">
        <v>20.786000000000001</v>
      </c>
      <c r="R2">
        <v>21.085999999999999</v>
      </c>
      <c r="S2">
        <v>28.786000000000001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109375" defaultRowHeight="15"/>
  <sheetData>
    <row r="1" spans="1:23">
      <c r="A1" t="s">
        <v>5</v>
      </c>
      <c r="B1" t="s">
        <v>134</v>
      </c>
      <c r="C1" t="s">
        <v>62</v>
      </c>
      <c r="D1" t="s">
        <v>63</v>
      </c>
      <c r="E1" t="s">
        <v>140</v>
      </c>
      <c r="F1" t="s">
        <v>77</v>
      </c>
      <c r="G1" t="s">
        <v>122</v>
      </c>
      <c r="H1" t="s">
        <v>125</v>
      </c>
      <c r="I1" t="s">
        <v>141</v>
      </c>
      <c r="J1" t="s">
        <v>77</v>
      </c>
      <c r="K1" t="s">
        <v>92</v>
      </c>
      <c r="L1" t="s">
        <v>93</v>
      </c>
      <c r="M1" t="s">
        <v>145</v>
      </c>
      <c r="N1" t="s">
        <v>104</v>
      </c>
      <c r="O1" t="s">
        <v>105</v>
      </c>
      <c r="P1" t="s">
        <v>144</v>
      </c>
      <c r="Q1" t="s">
        <v>106</v>
      </c>
      <c r="R1" t="s">
        <v>107</v>
      </c>
      <c r="S1" t="s">
        <v>143</v>
      </c>
      <c r="T1" t="s">
        <v>109</v>
      </c>
      <c r="U1" t="s">
        <v>110</v>
      </c>
      <c r="V1" t="s">
        <v>142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2024-11-17T02:08:52Z</dcterms:modified>
</cp:coreProperties>
</file>