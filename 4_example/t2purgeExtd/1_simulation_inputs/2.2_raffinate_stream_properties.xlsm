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t2purge\1_simulation_inputs\"/>
    </mc:Choice>
  </mc:AlternateContent>
  <xr:revisionPtr revIDLastSave="0" documentId="13_ncr:1_{58F69FA0-A39D-43D3-B4B2-9065C84A343F}" xr6:coauthVersionLast="47" xr6:coauthVersionMax="47" xr10:uidLastSave="{00000000-0000-0000-0000-000000000000}"/>
  <bookViews>
    <workbookView xWindow="1170" yWindow="1170" windowWidth="21600" windowHeight="1353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<sst xmlns="http://schemas.openxmlformats.org/spreadsheetml/2006/main" count="156" uniqueCount="111">
  <si>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</si>
  <si>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</si>
  <si>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</si>
  <si>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</si>
  <si>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</si>
  <si>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</si>
  <si>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</si>
  <si>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</si>
  <si>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</si>
  <si>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</si>
  <si>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</si>
  <si>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</si>
  <si>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</si>
  <si>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</si>
  <si>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</si>
  <si>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</si>
  <si>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</si>
  <si>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</si>
  <si>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</si>
  <si>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</si>
  <si>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</si>
  <si>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</si>
  <si>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</si>
  <si>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</si>
  <si>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</si>
  <si>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</si>
  <si>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</si>
  <si>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</si>
  <si>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</si>
  <si>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</si>
  <si>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</si>
  <si>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</si>
  <si>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</si>
  <si>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</si>
  <si>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</si>
  <si>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</si>
  <si>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</si>
  <si>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</si>
  <si>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</si>
  <si>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</si>
  <si>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</si>
  <si>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</si>
  <si>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</si>
  <si>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</si>
  <si>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</si>
  <si>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</si>
  <si>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</si>
  <si>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</si>
  <si>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</si>
  <si>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</si>
  <si>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</si>
  <si>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</si>
  <si>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</si>
  <si>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</si>
  <si>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</si>
  <si>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</si>
  <si>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</si>
  <si>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</si>
  <si>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</si>
  <si>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</si>
  <si>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</si>
  <si>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</si>
  <si>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</si>
  <si>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</si>
  <si>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</si>
  <si>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</si>
  <si>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</si>
  <si>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</si>
  <si>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</si>
  <si>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</si>
  <si>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</si>
  <si>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</si>
  <si>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</si>
  <si>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</si>
  <si>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</si>
  <si>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</si>
  <si>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</si>
  <si>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</si>
  <si>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</si>
  <si>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</si>
  <si>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</si>
  <si>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</si>
  <si>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</si>
  <si>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</si>
  <si>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</si>
  <si>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</si>
  <si>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</si>
  <si>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</si>
  <si>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</si>
  <si>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</si>
  <si>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</si>
  <si>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</si>
  <si>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</si>
  <si>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</si>
  <si>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</si>
  <si>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</si>
  <si>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</si>
  <si>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</si>
  <si>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</si>
  <si>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</si>
  <si>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</si>
  <si>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</si>
  <si>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</si>
  <si>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</si>
  <si>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</si>
  <si>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</si>
  <si>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</si>
  <si>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</si>
  <si>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</si>
  <si>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</si>
  <si>
    <t>yRaC3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</si>
</sst>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%20Wien%20Arbeit\MATLAB\2024Aug\toPSAil\4_example\desorp_lowflow2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0" hidden="1" customWidth="1"/>
    <col min="3" max="3" width="2.42578125" style="30" customWidth="1"/>
    <col min="4" max="4" width="13.7109375" style="30" customWidth="1"/>
    <col min="5" max="5" width="51.28515625" style="31" bestFit="1" customWidth="1"/>
    <col min="6" max="6" width="15.7109375" style="32" bestFit="1" customWidth="1"/>
    <col min="7" max="9" width="13.28515625" style="30" customWidth="1"/>
    <col min="10" max="10" width="48.7109375" style="30" customWidth="1"/>
    <col min="11" max="11" width="2.42578125" style="30" customWidth="1"/>
    <col min="12" max="12" width="0" style="30" hidden="1" customWidth="1"/>
    <col min="13" max="16384" width="9" style="30" hidden="1"/>
  </cols>
  <sheetData>
    <row r="3" spans="4:10"/>
    <row r="4" spans="4:10" ht="18.75">
      <c r="D4" s="43" t="s">
        <v>108</v>
      </c>
      <c r="E4" s="44"/>
      <c r="F4" s="45"/>
      <c r="G4" s="46"/>
      <c r="H4" s="46"/>
      <c r="I4" s="46"/>
      <c r="J4" s="33" t="s">
        <v>82</v>
      </c>
    </row>
    <row r="5" spans="4:10" ht="35.25">
      <c r="D5" s="48" t="s">
        <v>36</v>
      </c>
      <c r="E5" s="48"/>
      <c r="F5" s="48"/>
      <c r="G5" s="48"/>
      <c r="H5" s="48"/>
      <c r="I5" s="48"/>
      <c r="J5" s="48"/>
    </row>
    <row r="6" spans="4:10" ht="18.75">
      <c r="D6" s="41" t="s">
        <v>30</v>
      </c>
      <c r="E6" s="41" t="s">
        <v>105</v>
      </c>
      <c r="F6" s="41" t="s">
        <v>31</v>
      </c>
      <c r="G6" s="41" t="s">
        <v>32</v>
      </c>
      <c r="H6" s="41" t="s">
        <v>33</v>
      </c>
      <c r="I6" s="41" t="s">
        <v>34</v>
      </c>
      <c r="J6" s="41" t="s">
        <v>35</v>
      </c>
    </row>
    <row r="7" spans="4:10" ht="56.25">
      <c r="D7" s="34">
        <v>1</v>
      </c>
      <c r="E7" s="35" t="s">
        <v>107</v>
      </c>
      <c r="F7" s="36">
        <v>44720</v>
      </c>
      <c r="G7" s="34" t="s">
        <v>37</v>
      </c>
      <c r="H7" s="34"/>
      <c r="I7" s="34"/>
      <c r="J7" s="35"/>
    </row>
    <row r="8" spans="4:10" ht="37.5">
      <c r="D8" s="34">
        <v>2</v>
      </c>
      <c r="E8" s="35" t="s">
        <v>106</v>
      </c>
      <c r="F8" s="36">
        <v>44818</v>
      </c>
      <c r="G8" s="34" t="s">
        <v>37</v>
      </c>
      <c r="H8" s="34"/>
      <c r="I8" s="34"/>
      <c r="J8" s="35"/>
    </row>
    <row r="9" spans="4:10" ht="18.75">
      <c r="D9" s="34">
        <v>3</v>
      </c>
      <c r="E9" s="35"/>
      <c r="F9" s="36"/>
      <c r="G9" s="34"/>
      <c r="H9" s="34"/>
      <c r="I9" s="34"/>
      <c r="J9" s="35"/>
    </row>
    <row r="10" spans="4:10" ht="18.75">
      <c r="D10" s="34">
        <v>4</v>
      </c>
      <c r="E10" s="35"/>
      <c r="F10" s="36"/>
      <c r="G10" s="34"/>
      <c r="H10" s="34"/>
      <c r="I10" s="34"/>
      <c r="J10" s="35"/>
    </row>
    <row r="11" spans="4:10" ht="18.75">
      <c r="D11" s="34">
        <v>5</v>
      </c>
      <c r="E11" s="35"/>
      <c r="F11" s="36"/>
      <c r="G11" s="34"/>
      <c r="H11" s="34"/>
      <c r="I11" s="34"/>
      <c r="J11" s="35"/>
    </row>
    <row r="12" spans="4:10" ht="18.75">
      <c r="D12" s="34">
        <v>6</v>
      </c>
      <c r="E12" s="35"/>
      <c r="F12" s="36"/>
      <c r="G12" s="34"/>
      <c r="H12" s="34"/>
      <c r="I12" s="34"/>
      <c r="J12" s="35"/>
    </row>
    <row r="13" spans="4:10" ht="18.75">
      <c r="D13" s="34">
        <v>7</v>
      </c>
      <c r="E13" s="35"/>
      <c r="F13" s="36"/>
      <c r="G13" s="34"/>
      <c r="H13" s="34"/>
      <c r="I13" s="34"/>
      <c r="J13" s="35"/>
    </row>
    <row r="14" spans="4:10" ht="18.75">
      <c r="D14" s="34">
        <v>8</v>
      </c>
      <c r="E14" s="35"/>
      <c r="F14" s="36"/>
      <c r="G14" s="34"/>
      <c r="H14" s="34"/>
      <c r="I14" s="34"/>
      <c r="J14" s="35"/>
    </row>
    <row r="15" spans="4:10" ht="18.75">
      <c r="D15" s="34">
        <v>9</v>
      </c>
      <c r="E15" s="35"/>
      <c r="F15" s="36"/>
      <c r="G15" s="34"/>
      <c r="H15" s="34"/>
      <c r="I15" s="34"/>
      <c r="J15" s="35"/>
    </row>
    <row r="16" spans="4:10" ht="18.75">
      <c r="D16" s="34">
        <v>10</v>
      </c>
      <c r="E16" s="35"/>
      <c r="F16" s="36"/>
      <c r="G16" s="34"/>
      <c r="H16" s="34"/>
      <c r="I16" s="34"/>
      <c r="J16" s="37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38" t="str">
        <f>'Revision History'!$D$4</f>
        <v>REV. NO.2 (9/14/2022)</v>
      </c>
      <c r="B2" s="39"/>
      <c r="C2" s="39"/>
      <c r="D2" s="39"/>
      <c r="E2" s="39"/>
      <c r="F2" s="39"/>
      <c r="G2" s="39"/>
      <c r="H2" s="39"/>
      <c r="I2" s="39"/>
      <c r="J2" s="40" t="str">
        <f>'Revision History'!$J$4</f>
        <v>Scott Research Group (jkscottresearchgroup.com)</v>
      </c>
    </row>
    <row r="3" spans="1:10" ht="18.75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0" t="str">
        <f>IF(COUNTIF(Table11082[Test 3],1)=COUNTA(Table11082[Value]),"Ready","Not Ready")</f>
        <v>Ready</v>
      </c>
    </row>
    <row r="5" spans="1:10" ht="14.65" customHeight="1">
      <c r="A5" s="17"/>
      <c r="B5" s="18"/>
      <c r="C5" s="42"/>
      <c r="D5" s="42"/>
      <c r="E5" s="42"/>
      <c r="F5" s="42"/>
      <c r="G5" s="19"/>
      <c r="H5" s="42"/>
      <c r="I5" s="42"/>
      <c r="J5" s="51"/>
    </row>
    <row r="6" spans="1:10" ht="14.65" customHeight="1">
      <c r="A6" s="17"/>
      <c r="B6" s="18"/>
      <c r="C6" s="42"/>
      <c r="D6" s="42"/>
      <c r="E6" s="42"/>
      <c r="F6" s="42"/>
      <c r="G6" s="19"/>
      <c r="H6" s="42"/>
      <c r="I6" s="42"/>
      <c r="J6" s="51"/>
    </row>
    <row r="7" spans="1:10" ht="14.65" customHeight="1">
      <c r="A7" s="17"/>
      <c r="B7" s="18"/>
      <c r="C7" s="42"/>
      <c r="D7" s="42"/>
      <c r="E7" s="42"/>
      <c r="F7" s="42"/>
      <c r="G7" s="19"/>
      <c r="H7" s="42"/>
      <c r="I7" s="42"/>
      <c r="J7" s="51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2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60">
      <c r="A10" s="4" t="s">
        <v>92</v>
      </c>
      <c r="B10" s="29">
        <v>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7">
        <f>[1]Initialization!$B$10</f>
        <v>3</v>
      </c>
      <c r="I10" s="6">
        <v>1</v>
      </c>
      <c r="J10" s="5" t="s">
        <v>109</v>
      </c>
    </row>
    <row r="11" spans="1:10" ht="60">
      <c r="A11" s="4" t="s">
        <v>93</v>
      </c>
      <c r="B11" s="29">
        <v>0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7">
        <f>[1]Initialization!$B$10</f>
        <v>3</v>
      </c>
      <c r="I11" s="6">
        <v>1</v>
      </c>
      <c r="J11" s="5" t="s">
        <v>109</v>
      </c>
    </row>
    <row r="12" spans="1:10" ht="60">
      <c r="A12" s="4" t="s">
        <v>110</v>
      </c>
      <c r="B12" s="29">
        <v>0</v>
      </c>
      <c r="C12" s="2" t="s">
        <v>3</v>
      </c>
      <c r="D12" s="1" t="s">
        <v>22</v>
      </c>
      <c r="E12" s="1" t="s">
        <v>7</v>
      </c>
      <c r="F12" s="2" t="s">
        <v>39</v>
      </c>
      <c r="G12" s="1"/>
      <c r="H12" s="47">
        <f>[1]Initialization!$B$10</f>
        <v>3</v>
      </c>
      <c r="I12" s="6">
        <v>1</v>
      </c>
      <c r="J12" s="5" t="s">
        <v>109</v>
      </c>
    </row>
    <row r="13" spans="1:10" ht="15">
      <c r="A13" s="8" t="s">
        <v>75</v>
      </c>
      <c r="B13" s="29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  <row r="14" spans="1:10" ht="14.65" hidden="1" customHeight="1"/>
    <row r="15" spans="1:10" ht="14.65" hidden="1" customHeight="1"/>
  </sheetData>
  <sheetProtection algorithmName="SHA-512" hashValue="zjnPh/XdJunT4wSj1uYWz0wNbs/UY+5krOky5t/W4srqKPgADYSBlm1EfiBQwKeHQPAy7pt3Xr4DslHjv6sFYw==" saltValue="SYHe7eamp+eL6SdF3Cm3yQ==" spinCount="100000" sheet="1" objects="1" scenarios="1" selectLockedCells="1"/>
  <mergeCells count="2">
    <mergeCell ref="A3:J3"/>
    <mergeCell ref="J4:J8"/>
  </mergeCells>
  <conditionalFormatting sqref="B10:B12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B13">
    <cfRule type="expression" dxfId="19" priority="137">
      <formula>IF(AND($B13&lt;&gt;"",#REF!=0),1,0)</formula>
    </cfRule>
    <cfRule type="expression" dxfId="18" priority="138">
      <formula>IF($B13&lt;&gt;"",1,0)</formula>
    </cfRule>
    <cfRule type="expression" dxfId="17" priority="139">
      <formula>#REF!=0</formula>
    </cfRule>
  </conditionalFormatting>
  <conditionalFormatting sqref="J4">
    <cfRule type="expression" dxfId="16" priority="169">
      <formula>IF(COUNTA($B$10:$B$13)&lt;&gt;COUNTIF($I$10:$I$13,1),1,0)</formula>
    </cfRule>
    <cfRule type="expression" dxfId="15" priority="170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E10:E13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D10:D13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D2"/>
  <sheetViews>
    <sheetView topLeftCell="CF1" workbookViewId="0">
      <selection activeCell="CM2" sqref="CM2"/>
    </sheetView>
  </sheetViews>
  <sheetFormatPr defaultColWidth="8.7109375" defaultRowHeight="15"/>
  <sheetData>
    <row r="1" spans="1:4">
      <c r="A1" t="s">
        <v>92</v>
      </c>
      <c r="B1" t="s">
        <v>93</v>
      </c>
      <c r="C1" t="s">
        <v>110</v>
      </c>
      <c r="D1" t="s">
        <v>75</v>
      </c>
    </row>
    <row r="2" spans="1:4">
      <c r="A2">
        <v>1</v>
      </c>
      <c r="B2">
        <v>0</v>
      </c>
      <c r="C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D2"/>
  <sheetViews>
    <sheetView topLeftCell="CC1" workbookViewId="0">
      <selection activeCell="CR2" sqref="CR2"/>
    </sheetView>
  </sheetViews>
  <sheetFormatPr defaultColWidth="8.7109375" defaultRowHeight="15"/>
  <sheetData>
    <row r="1" spans="1:4">
      <c r="A1" t="s">
        <v>92</v>
      </c>
      <c r="B1" t="s">
        <v>93</v>
      </c>
      <c r="C1" t="s">
        <v>110</v>
      </c>
      <c r="D1" t="s">
        <v>75</v>
      </c>
    </row>
    <row r="2" spans="1:4">
      <c r="A2">
        <v>1</v>
      </c>
      <c r="B2">
        <v>1</v>
      </c>
      <c r="C2">
        <v>1</v>
      </c>
      <c r="D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2024-10-22T20:32:21Z</dcterms:modified>
</cp:coreProperties>
</file>