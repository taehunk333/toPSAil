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\1_simulation_inputs\"/>
    </mc:Choice>
  </mc:AlternateContent>
  <xr:revisionPtr revIDLastSave="0" documentId="13_ncr:1_{9C017CEE-67C1-478F-ACA7-8F8D7F99E10E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B11" i="44"/>
  <c r="B12" i="40"/>
  <c r="I13" i="3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<sst xmlns="http://schemas.openxmlformats.org/spreadsheetml/2006/main" count="281" uniqueCount="140">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</sst>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>
      <calculatedColumnFormula>11*1.01325</calculatedColumnFormula>
    </tableColumn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11*1.01325</f>
        <v>11.14575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75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mnqoWn/S3pCi62ArKDtlAIpA206Lsc8ZFc1RTvbNFADfVj3wEC7Nv+ftksiL/+PgndTs54XhGW4P/xUJX9ml+A==" saltValue="rLXA2Yi70GYzbDAmRlZOu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0.5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1E-3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502.08000000000004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bXytERibhI7fvy1YVlOyiyOvDMs+qhDyxtr+bdh1p5jV8l0kjktZnsm4c/t0D3zrwSKM6dB0FMDi9aY7+3C0hQ==" saltValue="WSRdHIVBOzeD/g51+HSo/A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v>11.5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60">
        <f>[1]Initialization!$B$12</f>
        <v>1</v>
      </c>
      <c r="J10" s="5" t="s">
        <v>125</v>
      </c>
    </row>
    <row r="11" spans="1:10" ht="14.4">
      <c r="A11" s="38" t="s">
        <v>129</v>
      </c>
      <c r="B11" s="32">
        <f t="shared" ref="B11" si="0">11*1.01325</f>
        <v>11.14575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1</v>
      </c>
      <c r="J11" s="5" t="s">
        <v>126</v>
      </c>
    </row>
    <row r="12" spans="1:10" ht="28.8">
      <c r="A12" s="38" t="s">
        <v>130</v>
      </c>
      <c r="B12" s="52">
        <v>1.0000000000000001E-5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1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4s4sWHf0p1OKSCEtQY9tnj8zNdbTaVdB3CZ9DHDQEhmiWmOKsGAxQgICbAnCn/CIawBClLBjHGX7fed1BKMKw==" saltValue="OzlzwiocqKY35+EqbwwQzQ==" spinCount="100000" sheet="1" objects="1" scenarios="1" selectLockedCells="1"/>
  <mergeCells count="2">
    <mergeCell ref="A3:J3"/>
    <mergeCell ref="J4:J8"/>
  </mergeCells>
  <conditionalFormatting sqref="B12:B13">
    <cfRule type="expression" dxfId="25" priority="13">
      <formula>IF(AND($B12&lt;&gt;"",$I12=0),1,0)</formula>
    </cfRule>
    <cfRule type="expression" dxfId="24" priority="14">
      <formula>IF($B12&lt;&gt;"",1,0)</formula>
    </cfRule>
    <cfRule type="expression" dxfId="23" priority="15">
      <formula>$I12=0</formula>
    </cfRule>
  </conditionalFormatting>
  <conditionalFormatting sqref="J4">
    <cfRule type="expression" dxfId="22" priority="2261">
      <formula>IF(COUNTA($B$10:$B$13)&lt;&gt;COUNTIF($I$10:$I$13,1),1,0)</formula>
    </cfRule>
    <cfRule type="expression" dxfId="21" priority="2262">
      <formula>IF(COUNTA($B$10:$B$13)=COUNTIF($I$10:$I$13,1),1,0)</formula>
    </cfRule>
  </conditionalFormatting>
  <conditionalFormatting sqref="B10">
    <cfRule type="expression" dxfId="20" priority="4">
      <formula>IF(AND($B10&lt;&gt;"",$I10=0),1,0)</formula>
    </cfRule>
    <cfRule type="expression" dxfId="19" priority="5">
      <formula>IF($B10&lt;&gt;"",1,0)</formula>
    </cfRule>
    <cfRule type="expression" dxfId="18" priority="6">
      <formula>$I10=0</formula>
    </cfRule>
  </conditionalFormatting>
  <conditionalFormatting sqref="B11">
    <cfRule type="expression" dxfId="17" priority="1">
      <formula>IF(AND($B11&lt;&gt;"",$I11=0),1,0)</formula>
    </cfRule>
    <cfRule type="expression" dxfId="16" priority="2">
      <formula>IF($B11&lt;&gt;"",1,0)</formula>
    </cfRule>
    <cfRule type="expression" dxfId="1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293.14999999999998</v>
      </c>
      <c r="C2">
        <v>11.14575</v>
      </c>
      <c r="E2">
        <v>20</v>
      </c>
      <c r="F2">
        <v>20.5</v>
      </c>
      <c r="G2">
        <v>75</v>
      </c>
      <c r="I2">
        <v>0.5</v>
      </c>
      <c r="J2">
        <v>1E-3</v>
      </c>
      <c r="K2">
        <v>7.8300000000000002E-3</v>
      </c>
      <c r="L2">
        <v>502.08000000000004</v>
      </c>
      <c r="N2">
        <v>11.5</v>
      </c>
      <c r="O2">
        <v>11.14575</v>
      </c>
      <c r="P2">
        <v>1.0000000000000001E-5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2022-12-06T16:27:19Z</dcterms:modified>
</cp:coreProperties>
</file>