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\1_simulation_inputs\"/>
    </mc:Choice>
  </mc:AlternateContent>
  <xr:revisionPtr revIDLastSave="0" documentId="13_ncr:1_{6782AC5E-B16A-43BD-94BA-0B811CD7A953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" i="44" l="1"/>
  <c r="B14" i="44"/>
  <c r="H11" i="48"/>
  <c r="H10" i="48"/>
  <c r="J4" i="48"/>
  <c r="J2" i="48"/>
  <c r="A2" i="48"/>
  <c r="I11" i="44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3" i="40" l="1"/>
  <c r="H12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tc={7EBF7926-6C73-47A6-A1EF-B94FF37C4E60}</author>
    <author>tc={E1493B8E-39D1-401F-ABC5-2989713708F1}</author>
    <author>tc={D1F3ECE5-8CBA-4E15-A7E0-8B06BFBD14E1}</author>
  </authors>
  <commentList>
    <comment ref="G9" authorId="0" shapeId="0" xr:uid="{7EBF7926-6C73-47A6-A1EF-B94FF37C4E6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E1493B8E-39D1-401F-ABC5-2989713708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1F3ECE5-8CBA-4E15-A7E0-8B06BFBD14E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<sst xmlns="http://schemas.openxmlformats.org/spreadsheetml/2006/main" count="285" uniqueCount="140">
  <si>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</si>
  <si>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</si>
  <si>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</si>
  <si>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</si>
  <si>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</si>
  <si>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</si>
  <si>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</si>
  <si>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</si>
  <si>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</si>
  <si>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</si>
  <si>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</si>
  <si>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</si>
  <si>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</si>
  <si>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</si>
  <si>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</si>
  <si>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</si>
  <si>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</si>
  <si>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</si>
  <si>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</si>
  <si>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</si>
  <si>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</si>
  <si>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</si>
  <si>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</si>
  <si>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</si>
  <si>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</si>
  <si>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</si>
  <si>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</si>
  <si>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</si>
  <si>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</si>
  <si>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</si>
  <si>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</si>
  <si>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</si>
  <si>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</si>
  <si>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</si>
  <si>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</si>
  <si>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</si>
  <si>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</si>
  <si>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</si>
  <si>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</si>
  <si>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</si>
  <si>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</si>
  <si>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</si>
  <si>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</si>
  <si>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</si>
  <si>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</si>
  <si>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</si>
  <si>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</si>
  <si>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</si>
  <si>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</si>
  <si>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</si>
  <si>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</si>
  <si>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</si>
  <si>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</si>
  <si>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</si>
  <si>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</si>
  <si>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</si>
  <si>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</si>
  <si>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</si>
  <si>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</si>
  <si>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</si>
  <si>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</si>
  <si>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</si>
  <si>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</si>
  <si>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</si>
  <si>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</si>
  <si>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</si>
  <si>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</si>
  <si>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</si>
  <si>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</si>
  <si>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</si>
  <si>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</si>
  <si>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</si>
  <si>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</si>
  <si>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</si>
  <si>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</si>
  <si>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</si>
  <si>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</si>
  <si>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</si>
  <si>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</si>
  <si>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</si>
  <si>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</si>
  <si>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</si>
  <si>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</si>
  <si>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</si>
  <si>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</si>
  <si>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</si>
  <si>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</si>
  <si>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</si>
  <si>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</si>
  <si>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</si>
  <si>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</si>
  <si>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</si>
  <si>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</si>
  <si>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</si>
  <si>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</si>
  <si>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</si>
  <si>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</si>
  <si>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</si>
  <si>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</si>
  <si>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</si>
  <si>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</si>
  <si>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</si>
  <si>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</si>
  <si>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</si>
  <si>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</si>
  <si>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</si>
  <si>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</si>
  <si>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</si>
  <si>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</si>
  <si>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</si>
  <si>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</si>
  <si>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</si>
  <si>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</si>
  <si>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</si>
  <si>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</si>
  <si>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</si>
  <si>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</si>
  <si>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</si>
  <si>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</si>
  <si>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</si>
  <si>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</si>
  <si>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</si>
  <si>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</si>
  <si>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</si>
  <si>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</si>
  <si>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</si>
  <si>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</si>
  <si>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</si>
  <si>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</si>
  <si>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</si>
  <si>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</si>
  <si>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</si>
  <si>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</si>
  <si>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</si>
  <si>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</si>
  <si>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</si>
  <si>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</si>
  <si>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</si>
  <si>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H2</t>
  </si>
  <si>
    <t>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</si>
</sst>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87" dataDxfId="85" headerRowBorderDxfId="86" tableBorderDxfId="84" totalsRowBorderDxfId="83">
  <autoFilter ref="A9:J14" xr:uid="{B089C5C3-2CCE-4800-96CA-2131BB6E3E4F}"/>
  <tableColumns count="10">
    <tableColumn id="1" xr3:uid="{F0083DBC-BA3F-499A-AB41-58DC14E7EC9B}" name="Variable" dataDxfId="82"/>
    <tableColumn id="4" xr3:uid="{2D9C78CB-0A98-4E06-A17A-328F6643A2AB}" name="Value" dataDxfId="81"/>
    <tableColumn id="5" xr3:uid="{2D40A785-0BF0-4D20-A6A3-606AF3EAEA1D}" name="Unit" dataDxfId="80"/>
    <tableColumn id="6" xr3:uid="{47E47CE1-84EE-4BBF-AF16-7CD09E32C8D5}" name="Comparisons" dataDxfId="79"/>
    <tableColumn id="7" xr3:uid="{1E01755C-F10B-47AF-87D2-261FE9E5C304}" name="Variable Type" dataDxfId="78"/>
    <tableColumn id="8" xr3:uid="{A1508BC9-F251-4C78-AFE1-9780568F4570}" name="Dependency" dataDxfId="77"/>
    <tableColumn id="12" xr3:uid="{483B9187-B663-438A-A6C2-F92DD2C5981E}" name="Test 1" dataDxfId="76"/>
    <tableColumn id="10" xr3:uid="{B0989B53-E4FA-42D2-AC40-B81EF1952308}" name="Test 2" dataDxfId="75"/>
    <tableColumn id="2" xr3:uid="{3B51E6F8-78E0-4FDA-AE7D-0D8F50BB7A78}" name="Test 3" dataDxfId="74"/>
    <tableColumn id="9" xr3:uid="{87AE414E-FFE1-4067-A57C-04659EEE8430}" name="Description" dataDxfId="7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64" dataDxfId="62" headerRowBorderDxfId="63" tableBorderDxfId="61" totalsRowBorderDxfId="60">
  <autoFilter ref="A9:J12" xr:uid="{B089C5C3-2CCE-4800-96CA-2131BB6E3E4F}"/>
  <tableColumns count="10">
    <tableColumn id="1" xr3:uid="{D4652DE0-AD05-4BC4-B7DC-B91D6E15B5B2}" name="Variable" dataDxfId="59"/>
    <tableColumn id="4" xr3:uid="{2F59C491-C7E1-4257-A250-2EA854EB6288}" name="Value" dataDxfId="58"/>
    <tableColumn id="5" xr3:uid="{34876DE5-AC85-42AE-9A77-1A7DBC37EA9C}" name="Unit" dataDxfId="57"/>
    <tableColumn id="6" xr3:uid="{16522C00-28AB-414D-9B4E-DF5790D96FB0}" name="Comparisons" dataDxfId="56"/>
    <tableColumn id="7" xr3:uid="{A1C9D628-05B1-4FEF-97C7-8DAC16591D17}" name="Variable Type" dataDxfId="55"/>
    <tableColumn id="8" xr3:uid="{21ED6E86-E0CA-4EA6-8452-7E8EC49D47E9}" name="Dependency" dataDxfId="54"/>
    <tableColumn id="12" xr3:uid="{833F4E3C-8288-4E33-9D60-BB141BA16440}" name="Test 1" dataDxfId="53"/>
    <tableColumn id="10" xr3:uid="{B5ACF3FF-F7B5-4328-AF7F-9A1641C64EBC}" name="Test 2" dataDxfId="52"/>
    <tableColumn id="2" xr3:uid="{69651FF2-E47D-4C8B-88C9-DEAB4746E36D}" name="Test 3" dataDxfId="51"/>
    <tableColumn id="9" xr3:uid="{7323C7D4-0CE9-41A5-811B-0D3D008EC15F}" name="Description" dataDxfId="5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EBF7926-6C73-47A6-A1EF-B94FF37C4E60}">
    <text>place 1 if we want to keep the row when re-initializing. Otherwise, leave it as a blank.</text>
  </threadedComment>
  <threadedComment ref="H9" dT="2020-11-26T18:35:03.27" personId="{7F98AE94-13FB-49E1-9262-339C11E0EDB4}" id="{E1493B8E-39D1-401F-ABC5-2989713708F1}">
    <text>supply a value greater than 1 if you want to duplicate the row</text>
  </threadedComment>
  <threadedComment ref="I9" dT="2020-11-28T01:53:47.29" personId="{7F98AE94-13FB-49E1-9262-339C11E0EDB4}" id="{D1F3ECE5-8CBA-4E15-A7E0-8B06BFBD14E1}">
    <text>1 means we need to have the variable specified; 0 means we need not have the variable specified</text>
  </threadedComment>
  <threadedComment ref="I9" dT="2020-11-28T01:56:42.32" personId="{7F98AE94-13FB-49E1-9262-339C11E0EDB4}" id="{D1809EFE-FC18-42C2-9175-CACB75A04ED7}" parentId="{D1F3ECE5-8CBA-4E15-A7E0-8B06BFBD14E1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132</v>
      </c>
      <c r="E4" s="50"/>
      <c r="F4" s="51"/>
      <c r="G4" s="52"/>
      <c r="H4" s="52"/>
      <c r="I4" s="52"/>
      <c r="J4" s="36" t="s">
        <v>84</v>
      </c>
    </row>
    <row r="5" spans="4:10" ht="36">
      <c r="D5" s="63" t="s">
        <v>36</v>
      </c>
      <c r="E5" s="63"/>
      <c r="F5" s="63"/>
      <c r="G5" s="63"/>
      <c r="H5" s="63"/>
      <c r="I5" s="63"/>
      <c r="J5" s="63"/>
    </row>
    <row r="6" spans="4:10" ht="18">
      <c r="D6" s="46" t="s">
        <v>30</v>
      </c>
      <c r="E6" s="46" t="s">
        <v>126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131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129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68</v>
      </c>
      <c r="F1" t="s">
        <v>69</v>
      </c>
      <c r="G1" s="1" t="s">
        <v>70</v>
      </c>
      <c r="H1" s="1" t="s">
        <v>71</v>
      </c>
      <c r="I1" s="1" t="s">
        <v>72</v>
      </c>
      <c r="J1" s="7" t="s">
        <v>74</v>
      </c>
      <c r="K1" s="7" t="s">
        <v>6</v>
      </c>
      <c r="L1" t="s">
        <v>82</v>
      </c>
      <c r="M1" t="s">
        <v>79</v>
      </c>
      <c r="N1" t="s">
        <v>80</v>
      </c>
      <c r="O1" t="s">
        <v>83</v>
      </c>
      <c r="P1" t="s">
        <v>88</v>
      </c>
      <c r="Q1" t="s">
        <v>91</v>
      </c>
      <c r="R1" t="s">
        <v>100</v>
      </c>
      <c r="S1" t="s">
        <v>101</v>
      </c>
      <c r="T1" t="s">
        <v>113</v>
      </c>
      <c r="U1" t="s">
        <v>114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75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115</v>
      </c>
    </row>
    <row r="4" spans="1:21">
      <c r="A4" t="s">
        <v>81</v>
      </c>
      <c r="B4" t="s">
        <v>21</v>
      </c>
      <c r="C4" t="s">
        <v>43</v>
      </c>
      <c r="D4" t="s">
        <v>76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116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117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118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119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120</v>
      </c>
    </row>
    <row r="9" spans="1:21">
      <c r="B9" t="s">
        <v>89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121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111</v>
      </c>
    </row>
    <row r="12" spans="1:21">
      <c r="B12" t="s">
        <v>90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112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135</v>
      </c>
    </row>
    <row r="11" spans="1:10" ht="57.6">
      <c r="A11" s="58" t="s">
        <v>134</v>
      </c>
      <c r="B11" s="30">
        <v>1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136</v>
      </c>
    </row>
    <row r="12" spans="1:10" ht="43.2">
      <c r="A12" s="4" t="s">
        <v>62</v>
      </c>
      <c r="B12" s="30" t="s">
        <v>138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130</v>
      </c>
    </row>
    <row r="13" spans="1:10" ht="43.2">
      <c r="A13" s="4" t="s">
        <v>63</v>
      </c>
      <c r="B13" s="30" t="s">
        <v>139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130</v>
      </c>
    </row>
    <row r="14" spans="1:10" ht="14.4">
      <c r="A14" s="8" t="s">
        <v>77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78</v>
      </c>
    </row>
  </sheetData>
  <sheetProtection algorithmName="SHA-512" hashValue="q29oRYguTUmPxuHFo7cmfktyibrudVyjIuWJbv0Zp3GOXJQZY9WUy7YjErnqSKakrTI/8UOZVPGWxJ2chCkHmQ==" saltValue="r3YQjXD7Y5Bo2M+O2UZ7cw==" spinCount="100000" sheet="1" objects="1" scenarios="1" selectLockedCells="1"/>
  <mergeCells count="2">
    <mergeCell ref="A3:J3"/>
    <mergeCell ref="J4:J8"/>
  </mergeCells>
  <conditionalFormatting sqref="B14 B10:B11">
    <cfRule type="expression" dxfId="95" priority="7">
      <formula>IF(AND($B10&lt;&gt;"",$I10=0),1,0)</formula>
    </cfRule>
    <cfRule type="expression" dxfId="94" priority="8">
      <formula>IF($B10&lt;&gt;"",1,0)</formula>
    </cfRule>
    <cfRule type="expression" dxfId="93" priority="9">
      <formula>$I10=0</formula>
    </cfRule>
  </conditionalFormatting>
  <conditionalFormatting sqref="B12:B13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conditionalFormatting sqref="J4">
    <cfRule type="expression" dxfId="89" priority="490">
      <formula>IF(COUNTA($B$10:$B$14)&lt;&gt;COUNTIF($I$10:$I$14,1),1,0)</formula>
    </cfRule>
    <cfRule type="expression" dxfId="88" priority="491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sqref="A1:XFD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IF(COUNTIF(Table1108238[Test 3],1)=COUNTA(Table1108238[Value]),"Ready","Not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14.4">
      <c r="A10" s="4" t="s">
        <v>122</v>
      </c>
      <c r="B10" s="30">
        <v>2</v>
      </c>
      <c r="C10" s="2" t="s">
        <v>123</v>
      </c>
      <c r="D10" s="1" t="s">
        <v>22</v>
      </c>
      <c r="E10" s="1" t="s">
        <v>7</v>
      </c>
      <c r="F10" s="2" t="s">
        <v>5</v>
      </c>
      <c r="G10" s="1">
        <v>1</v>
      </c>
      <c r="H10" s="62">
        <f>Initialization!B$10</f>
        <v>2</v>
      </c>
      <c r="I10" s="6">
        <v>1</v>
      </c>
      <c r="J10" s="5" t="s">
        <v>124</v>
      </c>
    </row>
    <row r="11" spans="1:10" ht="14.4">
      <c r="A11" s="4" t="s">
        <v>125</v>
      </c>
      <c r="B11" s="30">
        <v>28</v>
      </c>
      <c r="C11" s="2" t="s">
        <v>123</v>
      </c>
      <c r="D11" s="1" t="s">
        <v>22</v>
      </c>
      <c r="E11" s="1" t="s">
        <v>7</v>
      </c>
      <c r="F11" s="2" t="s">
        <v>5</v>
      </c>
      <c r="G11" s="1"/>
      <c r="H11" s="62">
        <f>Initialization!B$10</f>
        <v>2</v>
      </c>
      <c r="I11" s="6">
        <v>1</v>
      </c>
      <c r="J11" s="5" t="s">
        <v>124</v>
      </c>
    </row>
    <row r="12" spans="1:10" ht="14.4">
      <c r="A12" s="8" t="s">
        <v>77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78</v>
      </c>
    </row>
  </sheetData>
  <sheetProtection algorithmName="SHA-512" hashValue="rEkewZtcYNkPWKNRpeo0klHVtF132ZQ7IK0Fdupa44lzonGVbchai+RJ5UX7ax7Ewmp9DV8TdSS37lmKlqpEgw==" saltValue="8Dd/HLk82npt0N/hGqcl0g==" spinCount="100000" sheet="1" objects="1" scenarios="1" selectLockedCells="1"/>
  <mergeCells count="2">
    <mergeCell ref="A3:J3"/>
    <mergeCell ref="J4:J8"/>
  </mergeCells>
  <conditionalFormatting sqref="B10 B12">
    <cfRule type="expression" dxfId="72" priority="16">
      <formula>IF(AND($B10&lt;&gt;"",$I10=0),1,0)</formula>
    </cfRule>
    <cfRule type="expression" dxfId="71" priority="17">
      <formula>IF($B10&lt;&gt;"",1,0)</formula>
    </cfRule>
    <cfRule type="expression" dxfId="70" priority="18">
      <formula>$I10=0</formula>
    </cfRule>
  </conditionalFormatting>
  <conditionalFormatting sqref="J4">
    <cfRule type="expression" dxfId="69" priority="549">
      <formula>IF(COUNTA($B$10:$B$12)&lt;&gt;COUNTIF($I$10:$I$12,1),1,0)</formula>
    </cfRule>
    <cfRule type="expression" dxfId="68" priority="550">
      <formula>IF(COUNTA($B$10:$B$12)=COUNTIF($I$10:$I$12,1),1,0)</formula>
    </cfRule>
  </conditionalFormatting>
  <conditionalFormatting sqref="B11">
    <cfRule type="expression" dxfId="67" priority="1">
      <formula>IF(AND($B11&lt;&gt;"",$I11=0),1,0)</formula>
    </cfRule>
    <cfRule type="expression" dxfId="66" priority="2">
      <formula>IF($B11&lt;&gt;"",1,0)</formula>
    </cfRule>
    <cfRule type="expression" dxfId="65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: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92</v>
      </c>
      <c r="B10" s="30">
        <v>11715.2</v>
      </c>
      <c r="C10" s="2" t="s">
        <v>94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1">
        <f>[1]Initialization!$B$14</f>
        <v>1</v>
      </c>
      <c r="J10" s="5" t="s">
        <v>137</v>
      </c>
    </row>
    <row r="11" spans="1:10" ht="28.8">
      <c r="A11" s="4" t="s">
        <v>93</v>
      </c>
      <c r="B11" s="30">
        <v>20920</v>
      </c>
      <c r="C11" s="2" t="s">
        <v>94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1">
        <f>[1]Initialization!$B$14</f>
        <v>1</v>
      </c>
      <c r="J11" s="5" t="s">
        <v>137</v>
      </c>
    </row>
    <row r="12" spans="1:10" ht="28.8">
      <c r="A12" s="4" t="s">
        <v>104</v>
      </c>
      <c r="B12" s="30">
        <v>28.425999999999998</v>
      </c>
      <c r="C12" s="2" t="s">
        <v>95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102</v>
      </c>
    </row>
    <row r="13" spans="1:10" ht="28.8">
      <c r="A13" s="4" t="s">
        <v>105</v>
      </c>
      <c r="B13" s="30">
        <v>29.108000000000001</v>
      </c>
      <c r="C13" s="2" t="s">
        <v>95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102</v>
      </c>
    </row>
    <row r="14" spans="1:10" ht="28.8">
      <c r="A14" s="47" t="s">
        <v>106</v>
      </c>
      <c r="B14" s="30">
        <f>B12-8.314</f>
        <v>20.111999999999998</v>
      </c>
      <c r="C14" s="2" t="s">
        <v>95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103</v>
      </c>
    </row>
    <row r="15" spans="1:10" ht="28.8">
      <c r="A15" s="47" t="s">
        <v>107</v>
      </c>
      <c r="B15" s="30">
        <f>B13-8.314</f>
        <v>20.794</v>
      </c>
      <c r="C15" s="2" t="s">
        <v>95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103</v>
      </c>
    </row>
    <row r="16" spans="1:10" ht="28.8">
      <c r="A16" s="47" t="s">
        <v>109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108</v>
      </c>
    </row>
    <row r="17" spans="1:10" ht="28.8">
      <c r="A17" s="47" t="s">
        <v>110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108</v>
      </c>
    </row>
    <row r="18" spans="1:10" ht="14.4">
      <c r="A18" s="8" t="s">
        <v>77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78</v>
      </c>
    </row>
  </sheetData>
  <sheetProtection algorithmName="SHA-512" hashValue="rBbtneLWrpl/xnDNuIhFGnomAfNxbxl5MWcT/evZ58M/SpwRYcG1DeCVkz0hP3L62Fg9eDkF+CC18vmdVC39OQ==" saltValue="uwhPb7xi2TAHvLJsXEn9ig==" spinCount="100000" sheet="1" objects="1" scenarios="1" selectLockedCells="1"/>
  <mergeCells count="2">
    <mergeCell ref="A3:J3"/>
    <mergeCell ref="J4:J8"/>
  </mergeCells>
  <conditionalFormatting sqref="B18 B16 B14 B12">
    <cfRule type="expression" dxfId="49" priority="43">
      <formula>IF(AND($B12&lt;&gt;"",$I12=0),1,0)</formula>
    </cfRule>
    <cfRule type="expression" dxfId="48" priority="44">
      <formula>IF($B12&lt;&gt;"",1,0)</formula>
    </cfRule>
    <cfRule type="expression" dxfId="47" priority="45">
      <formula>$I12=0</formula>
    </cfRule>
  </conditionalFormatting>
  <conditionalFormatting sqref="B17">
    <cfRule type="expression" dxfId="46" priority="34">
      <formula>IF(AND($B17&lt;&gt;"",$I17=0),1,0)</formula>
    </cfRule>
    <cfRule type="expression" dxfId="45" priority="35">
      <formula>IF($B17&lt;&gt;"",1,0)</formula>
    </cfRule>
    <cfRule type="expression" dxfId="44" priority="36">
      <formula>$I17=0</formula>
    </cfRule>
  </conditionalFormatting>
  <conditionalFormatting sqref="B15">
    <cfRule type="expression" dxfId="43" priority="31">
      <formula>IF(AND($B15&lt;&gt;"",$I15=0),1,0)</formula>
    </cfRule>
    <cfRule type="expression" dxfId="42" priority="32">
      <formula>IF($B15&lt;&gt;"",1,0)</formula>
    </cfRule>
    <cfRule type="expression" dxfId="41" priority="33">
      <formula>$I15=0</formula>
    </cfRule>
  </conditionalFormatting>
  <conditionalFormatting sqref="B13">
    <cfRule type="expression" dxfId="40" priority="28">
      <formula>IF(AND($B13&lt;&gt;"",$I13=0),1,0)</formula>
    </cfRule>
    <cfRule type="expression" dxfId="39" priority="29">
      <formula>IF($B13&lt;&gt;"",1,0)</formula>
    </cfRule>
    <cfRule type="expression" dxfId="38" priority="30">
      <formula>$I13=0</formula>
    </cfRule>
  </conditionalFormatting>
  <conditionalFormatting sqref="B17">
    <cfRule type="expression" dxfId="37" priority="22">
      <formula>IF(AND($B17&lt;&gt;"",$I17=0),1,0)</formula>
    </cfRule>
    <cfRule type="expression" dxfId="36" priority="23">
      <formula>IF($B17&lt;&gt;"",1,0)</formula>
    </cfRule>
    <cfRule type="expression" dxfId="35" priority="24">
      <formula>$I17=0</formula>
    </cfRule>
  </conditionalFormatting>
  <conditionalFormatting sqref="B15">
    <cfRule type="expression" dxfId="34" priority="19">
      <formula>IF(AND($B15&lt;&gt;"",$I15=0),1,0)</formula>
    </cfRule>
    <cfRule type="expression" dxfId="33" priority="20">
      <formula>IF($B15&lt;&gt;"",1,0)</formula>
    </cfRule>
    <cfRule type="expression" dxfId="32" priority="21">
      <formula>$I15=0</formula>
    </cfRule>
  </conditionalFormatting>
  <conditionalFormatting sqref="B13">
    <cfRule type="expression" dxfId="31" priority="16">
      <formula>IF(AND($B13&lt;&gt;"",$I13=0),1,0)</formula>
    </cfRule>
    <cfRule type="expression" dxfId="30" priority="17">
      <formula>IF($B13&lt;&gt;"",1,0)</formula>
    </cfRule>
    <cfRule type="expression" dxfId="29" priority="18">
      <formula>$I13=0</formula>
    </cfRule>
  </conditionalFormatting>
  <conditionalFormatting sqref="J4">
    <cfRule type="expression" dxfId="28" priority="497">
      <formula>IF(COUNTA($B$10:$B$18)&lt;&gt;COUNTIF($I$10:$I$18,1),1,0)</formula>
    </cfRule>
    <cfRule type="expression" dxfId="27" priority="498">
      <formula>IF(COUNTA($B$10:$B$18)=COUNTIF($I$10:$I$18,1),1,0)</formula>
    </cfRule>
  </conditionalFormatting>
  <conditionalFormatting sqref="B10">
    <cfRule type="expression" dxfId="26" priority="10">
      <formula>IF(AND($B10&lt;&gt;"",$I10=0),1,0)</formula>
    </cfRule>
    <cfRule type="expression" dxfId="25" priority="11">
      <formula>IF($B10&lt;&gt;"",1,0)</formula>
    </cfRule>
    <cfRule type="expression" dxfId="24" priority="12">
      <formula>$I10=0</formula>
    </cfRule>
  </conditionalFormatting>
  <conditionalFormatting sqref="B10">
    <cfRule type="expression" dxfId="23" priority="7">
      <formula>IF(AND($B10&lt;&gt;"",$I10=0),1,0)</formula>
    </cfRule>
    <cfRule type="expression" dxfId="22" priority="8">
      <formula>IF($B10&lt;&gt;"",1,0)</formula>
    </cfRule>
    <cfRule type="expression" dxfId="21" priority="9">
      <formula>$I10=0</formula>
    </cfRule>
  </conditionalFormatting>
  <conditionalFormatting sqref="B11">
    <cfRule type="expression" dxfId="20" priority="4">
      <formula>IF(AND($B11&lt;&gt;"",$I11=0),1,0)</formula>
    </cfRule>
    <cfRule type="expression" dxfId="19" priority="5">
      <formula>IF($B11&lt;&gt;"",1,0)</formula>
    </cfRule>
    <cfRule type="expression" dxfId="18" priority="6">
      <formula>$I11=0</formula>
    </cfRule>
  </conditionalFormatting>
  <conditionalFormatting sqref="B11">
    <cfRule type="expression" dxfId="17" priority="1">
      <formula>IF(AND($B11&lt;&gt;"",$I11=0),1,0)</formula>
    </cfRule>
    <cfRule type="expression" dxfId="16" priority="2">
      <formula>IF($B11&lt;&gt;"",1,0)</formula>
    </cfRule>
    <cfRule type="expression" dxfId="15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133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84</v>
      </c>
    </row>
    <row r="2" spans="1:17" ht="14.4">
      <c r="A2" s="68" t="s">
        <v>127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128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97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98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99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87</v>
      </c>
    </row>
    <row r="2" spans="1:1">
      <c r="A2" t="s">
        <v>85</v>
      </c>
    </row>
    <row r="3" spans="1:1">
      <c r="A3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134</v>
      </c>
      <c r="C1" t="s">
        <v>62</v>
      </c>
      <c r="D1" t="s">
        <v>63</v>
      </c>
      <c r="E1" t="s">
        <v>77</v>
      </c>
      <c r="F1" t="s">
        <v>122</v>
      </c>
      <c r="G1" t="s">
        <v>125</v>
      </c>
      <c r="H1" t="s">
        <v>77</v>
      </c>
      <c r="I1" t="s">
        <v>92</v>
      </c>
      <c r="J1" t="s">
        <v>93</v>
      </c>
      <c r="K1" t="s">
        <v>104</v>
      </c>
      <c r="L1" t="s">
        <v>105</v>
      </c>
      <c r="M1" t="s">
        <v>106</v>
      </c>
      <c r="N1" t="s">
        <v>107</v>
      </c>
      <c r="O1" t="s">
        <v>109</v>
      </c>
      <c r="P1" t="s">
        <v>110</v>
      </c>
      <c r="Q1" t="s">
        <v>77</v>
      </c>
    </row>
    <row r="2" spans="1:17">
      <c r="A2">
        <v>2</v>
      </c>
      <c r="B2">
        <v>1</v>
      </c>
      <c r="C2" t="s">
        <v>138</v>
      </c>
      <c r="D2" t="s">
        <v>139</v>
      </c>
      <c r="F2">
        <v>2</v>
      </c>
      <c r="G2">
        <v>28</v>
      </c>
      <c r="I2">
        <v>11715.2</v>
      </c>
      <c r="J2">
        <v>20920</v>
      </c>
      <c r="K2">
        <v>28.425999999999998</v>
      </c>
      <c r="L2">
        <v>29.108000000000001</v>
      </c>
      <c r="M2">
        <v>20.111999999999998</v>
      </c>
      <c r="N2">
        <v>20.794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134</v>
      </c>
      <c r="C1" t="s">
        <v>62</v>
      </c>
      <c r="D1" t="s">
        <v>63</v>
      </c>
      <c r="E1" t="s">
        <v>77</v>
      </c>
      <c r="F1" t="s">
        <v>122</v>
      </c>
      <c r="G1" t="s">
        <v>125</v>
      </c>
      <c r="H1" t="s">
        <v>77</v>
      </c>
      <c r="I1" t="s">
        <v>92</v>
      </c>
      <c r="J1" t="s">
        <v>93</v>
      </c>
      <c r="K1" t="s">
        <v>104</v>
      </c>
      <c r="L1" t="s">
        <v>105</v>
      </c>
      <c r="M1" t="s">
        <v>106</v>
      </c>
      <c r="N1" t="s">
        <v>107</v>
      </c>
      <c r="O1" t="s">
        <v>109</v>
      </c>
      <c r="P1" t="s">
        <v>110</v>
      </c>
      <c r="Q1" t="s">
        <v>77</v>
      </c>
    </row>
    <row r="2" spans="1:17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2022-12-29T13:34:12Z</dcterms:modified>
</cp:coreProperties>
</file>