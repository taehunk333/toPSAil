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B54FB34E-E260-4354-80F6-20F203F694D2}" xr6:coauthVersionLast="47" xr6:coauthVersionMax="47" xr10:uidLastSave="{00000000-0000-0000-0000-000000000000}"/>
  <bookViews>
    <workbookView xWindow="28680" yWindow="-120" windowWidth="29040" windowHeight="15840" tabRatio="818" activeTab="2" xr2:uid="{CB583278-6AF7-49E7-A969-6064EAB4A9B4}"/>
  </bookViews>
  <sheets>
    <sheet name="Revision History" sheetId="4" r:id="rId1"/>
    <sheet name="Reference" sheetId="2" state="hidden" r:id="rId2"/>
    <sheet name="Thermodynamic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definedNames>
    <definedName name="_xlnm._FilterDatabase" localSheetId="2" hidden="1">'Thermodynamic Properties'!$A$9:$J$9</definedName>
    <definedName name="_xlnm.Print_Area" localSheetId="0">'Revision History'!$C$3:$K$51</definedName>
    <definedName name="_xlnm.Print_Area" localSheetId="2">'Thermodynamic Properties'!$A$2:$J$11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tc={7136BA97-262A-41A4-A238-19D6E176725A}</author>
    <author>tc={3984EDEA-A9AC-4D71-9E22-4A6C043B2599}</author>
    <author>tc={DD4CD7BF-C3F0-4819-B235-EBC5A3819E28}</author>
  </authors>
  <commentList>
    <comment ref="G9" authorId="0" shapeId="0" xr:uid="{7136BA97-262A-41A4-A238-19D6E17672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3984EDEA-A9AC-4D71-9E22-4A6C043B259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D4CD7BF-C3F0-4819-B235-EBC5A3819E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<sst xmlns="http://schemas.openxmlformats.org/spreadsheetml/2006/main" count="140" uniqueCount="109">
  <si>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</si>
  <si>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</si>
  <si>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</si>
  <si>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</si>
  <si>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</si>
  <si>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</si>
  <si>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</si>
  <si>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</si>
  <si>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</si>
  <si>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</si>
  <si>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</si>
  <si>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</si>
  <si>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</si>
  <si>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</si>
  <si>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</si>
  <si>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</si>
  <si>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</si>
  <si>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</si>
  <si>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</si>
  <si>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</si>
  <si>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</si>
  <si>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</si>
  <si>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</si>
  <si>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</si>
  <si>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</si>
  <si>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</si>
  <si>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</si>
  <si>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</si>
  <si>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</si>
  <si>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</si>
  <si>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</si>
  <si>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</si>
  <si>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</si>
  <si>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</si>
  <si>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</si>
  <si>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</si>
  <si>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</si>
  <si>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</si>
  <si>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</si>
  <si>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</si>
  <si>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</si>
  <si>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</si>
  <si>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</si>
  <si>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</si>
  <si>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</si>
  <si>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</si>
  <si>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</si>
  <si>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</si>
  <si>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</si>
  <si>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</si>
  <si>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</si>
  <si>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</si>
  <si>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</si>
  <si>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</si>
  <si>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</si>
  <si>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</si>
  <si>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</si>
  <si>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</si>
  <si>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</si>
  <si>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</si>
  <si>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</si>
  <si>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</si>
  <si>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</si>
  <si>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</si>
  <si>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</si>
  <si>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</si>
  <si>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</si>
  <si>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</si>
  <si>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</si>
  <si>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</si>
  <si>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</si>
  <si>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</si>
  <si>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</si>
  <si>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</si>
  <si>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</si>
  <si>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</si>
  <si>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</si>
  <si>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</si>
  <si>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</si>
  <si>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</si>
  <si>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</si>
  <si>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</si>
  <si>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</si>
  <si>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</si>
  <si>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</si>
  <si>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</si>
  <si>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</si>
  <si>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</si>
  <si>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</si>
  <si>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</si>
  <si>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</si>
  <si>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</si>
  <si>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isentropic efficiency factor for compressor or vacuum pump: from 0 to 1.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</si>
  <si>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</si>
  <si>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</si>
  <si>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</si>
  <si>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</si>
  <si>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</si>
  <si>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</si>
  <si>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</si>
  <si>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</si>
  <si>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</si>
  <si>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</si>
  <si>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</si>
  <si>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</si>
  <si>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isEntEffFeComp</t>
  </si>
  <si>
    <t>Finalized the spreadsheet for the v1.0 release</t>
  </si>
  <si>
    <t>REV. NO.2 (9/14/2022)</t>
  </si>
  <si>
    <t>Initial development of the "3.5_feed_compressor_properties.xlsm"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</si>
</sst>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200-00000158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2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2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56EE9EF-3197-45A0-B0B9-BF1EC4CA8198}" name="Table11042" displayName="Table11042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0E758BC6-0930-4B23-BED9-D8B89C3229F1}" name="Variable" dataDxfId="9"/>
    <tableColumn id="4" xr3:uid="{22476639-653D-44E7-A87C-353C0C812D96}" name="Value" dataDxfId="8"/>
    <tableColumn id="5" xr3:uid="{5941B9D1-101E-4499-9CB6-45D161495225}" name="Unit" dataDxfId="7"/>
    <tableColumn id="6" xr3:uid="{334D4F0D-534F-4DAB-8A7A-F73303B0DFF4}" name="Comparisons" dataDxfId="6"/>
    <tableColumn id="7" xr3:uid="{70229A9D-8F67-4550-B45A-E1DF12C1AE02}" name="Variable Type" dataDxfId="5"/>
    <tableColumn id="8" xr3:uid="{E8703CA5-F2BF-4FBE-92BD-E766C020D35E}" name="Dependency" dataDxfId="4"/>
    <tableColumn id="12" xr3:uid="{C51780B5-E146-4AA4-9C26-ED7166EB82F3}" name="Test 1" dataDxfId="3"/>
    <tableColumn id="10" xr3:uid="{780E8524-859D-4B55-AF13-8203907B35B2}" name="Test 2" dataDxfId="2"/>
    <tableColumn id="2" xr3:uid="{9CE2B44F-F854-4BE1-8EE5-602EB9EF62B2}" name="Test 3" dataDxfId="1"/>
    <tableColumn id="9" xr3:uid="{5EC2D7C1-F27E-4B47-AF9B-BC2F091C060A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136BA97-262A-41A4-A238-19D6E176725A}">
    <text>place 1 if we want to keep the row when re-initializing. Otherwise, leave it as a blank.</text>
  </threadedComment>
  <threadedComment ref="H9" dT="2020-11-26T18:35:03.27" personId="{7F98AE94-13FB-49E1-9262-339C11E0EDB4}" id="{3984EDEA-A9AC-4D71-9E22-4A6C043B2599}">
    <text>supply a value greater than 1 if you want to duplicate the row</text>
  </threadedComment>
  <threadedComment ref="I9" dT="2020-11-28T01:53:47.29" personId="{7F98AE94-13FB-49E1-9262-339C11E0EDB4}" id="{DD4CD7BF-C3F0-4819-B235-EBC5A3819E28}">
    <text>1 means we need to have the variable specified; 0 means we need not have the variable specified</text>
  </threadedComment>
  <threadedComment ref="I9" dT="2020-11-28T01:56:42.32" personId="{7F98AE94-13FB-49E1-9262-339C11E0EDB4}" id="{969497BD-256A-4B7F-8B79-8A21C484A755}" parentId="{DD4CD7BF-C3F0-4819-B235-EBC5A3819E2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4" sqref="D4"/>
    </sheetView>
  </sheetViews>
  <sheetFormatPr defaultColWidth="0" defaultRowHeight="15" zeroHeight="1"/>
  <cols>
    <col min="1" max="2" width="3.28515625" style="31" hidden="1" customWidth="1"/>
    <col min="3" max="3" width="2.42578125" style="31" customWidth="1"/>
    <col min="4" max="4" width="13.85546875" style="31" customWidth="1"/>
    <col min="5" max="5" width="51.28515625" style="32" bestFit="1" customWidth="1"/>
    <col min="6" max="6" width="15.85546875" style="33" bestFit="1" customWidth="1"/>
    <col min="7" max="9" width="13.28515625" style="31" customWidth="1"/>
    <col min="10" max="10" width="48.85546875" style="31" customWidth="1"/>
    <col min="11" max="11" width="2.42578125" style="31" customWidth="1"/>
    <col min="12" max="12" width="0" style="31" hidden="1" customWidth="1"/>
    <col min="13" max="16384" width="9" style="31" hidden="1"/>
  </cols>
  <sheetData>
    <row r="3" spans="4:10"/>
    <row r="4" spans="4:10" ht="18.75">
      <c r="D4" s="45" t="s">
        <v>107</v>
      </c>
      <c r="E4" s="46"/>
      <c r="F4" s="47"/>
      <c r="G4" s="48"/>
      <c r="H4" s="48"/>
      <c r="I4" s="48"/>
      <c r="J4" s="34" t="s">
        <v>82</v>
      </c>
    </row>
    <row r="5" spans="4:10" ht="35.25">
      <c r="D5" s="49" t="s">
        <v>36</v>
      </c>
      <c r="E5" s="49"/>
      <c r="F5" s="49"/>
      <c r="G5" s="49"/>
      <c r="H5" s="49"/>
      <c r="I5" s="49"/>
      <c r="J5" s="49"/>
    </row>
    <row r="6" spans="4:10" ht="18.75">
      <c r="D6" s="44" t="s">
        <v>30</v>
      </c>
      <c r="E6" s="44" t="s">
        <v>104</v>
      </c>
      <c r="F6" s="44" t="s">
        <v>31</v>
      </c>
      <c r="G6" s="44" t="s">
        <v>32</v>
      </c>
      <c r="H6" s="44" t="s">
        <v>33</v>
      </c>
      <c r="I6" s="44" t="s">
        <v>34</v>
      </c>
      <c r="J6" s="44" t="s">
        <v>35</v>
      </c>
    </row>
    <row r="7" spans="4:10" ht="56.25">
      <c r="D7" s="35">
        <v>1</v>
      </c>
      <c r="E7" s="36" t="s">
        <v>108</v>
      </c>
      <c r="F7" s="37">
        <v>44720</v>
      </c>
      <c r="G7" s="35" t="s">
        <v>37</v>
      </c>
      <c r="H7" s="35"/>
      <c r="I7" s="35"/>
      <c r="J7" s="36"/>
    </row>
    <row r="8" spans="4:10" ht="37.5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.75">
      <c r="D9" s="35">
        <v>3</v>
      </c>
      <c r="E9" s="36"/>
      <c r="F9" s="37"/>
      <c r="G9" s="35"/>
      <c r="H9" s="35"/>
      <c r="I9" s="35"/>
      <c r="J9" s="36"/>
    </row>
    <row r="10" spans="4:10" ht="18.75">
      <c r="D10" s="35">
        <v>4</v>
      </c>
      <c r="E10" s="36"/>
      <c r="F10" s="37"/>
      <c r="G10" s="35"/>
      <c r="H10" s="35"/>
      <c r="I10" s="35"/>
      <c r="J10" s="36"/>
    </row>
    <row r="11" spans="4:10" ht="18.75">
      <c r="D11" s="35">
        <v>5</v>
      </c>
      <c r="E11" s="36"/>
      <c r="F11" s="37"/>
      <c r="G11" s="35"/>
      <c r="H11" s="35"/>
      <c r="I11" s="35"/>
      <c r="J11" s="36"/>
    </row>
    <row r="12" spans="4:10" ht="18.75">
      <c r="D12" s="35">
        <v>6</v>
      </c>
      <c r="E12" s="36"/>
      <c r="F12" s="37"/>
      <c r="G12" s="35"/>
      <c r="H12" s="35"/>
      <c r="I12" s="35"/>
      <c r="J12" s="36"/>
    </row>
    <row r="13" spans="4:10" ht="18.75">
      <c r="D13" s="35">
        <v>7</v>
      </c>
      <c r="E13" s="36"/>
      <c r="F13" s="37"/>
      <c r="G13" s="35"/>
      <c r="H13" s="35"/>
      <c r="I13" s="35"/>
      <c r="J13" s="36"/>
    </row>
    <row r="14" spans="4:10" ht="18.75">
      <c r="D14" s="35">
        <v>8</v>
      </c>
      <c r="E14" s="36"/>
      <c r="F14" s="37"/>
      <c r="G14" s="35"/>
      <c r="H14" s="35"/>
      <c r="I14" s="35"/>
      <c r="J14" s="36"/>
    </row>
    <row r="15" spans="4:10" ht="18.75">
      <c r="D15" s="35">
        <v>9</v>
      </c>
      <c r="E15" s="36"/>
      <c r="F15" s="37"/>
      <c r="G15" s="35"/>
      <c r="H15" s="35"/>
      <c r="I15" s="35"/>
      <c r="J15" s="36"/>
    </row>
    <row r="16" spans="4:10" ht="18.75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5CE34D0B-C8B4-4172-919A-FEA06778BACD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855468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85546875" bestFit="1" customWidth="1"/>
    <col min="17" max="17" width="20.855468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6" t="s">
        <v>72</v>
      </c>
      <c r="K1" s="6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95</v>
      </c>
      <c r="U1" t="s">
        <v>96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97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102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93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74091-AC4A-445D-8287-3E67051E160A}">
  <sheetPr codeName="Sheet15">
    <tabColor rgb="FF00B050"/>
  </sheetPr>
  <dimension ref="A1:K11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K1" sqref="K1:N1048576"/>
    </sheetView>
  </sheetViews>
  <sheetFormatPr defaultColWidth="0" defaultRowHeight="14.45" customHeight="1" zero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85546875" style="3" hidden="1"/>
  </cols>
  <sheetData>
    <row r="1" spans="1:10" ht="15" hidden="1">
      <c r="A1" s="23"/>
      <c r="B1" s="23"/>
      <c r="C1" s="23"/>
      <c r="D1" s="23"/>
      <c r="E1" s="23"/>
      <c r="F1" s="23"/>
      <c r="G1" s="23"/>
      <c r="H1" s="23"/>
      <c r="I1" s="23"/>
      <c r="J1" s="23"/>
    </row>
    <row r="2" spans="1:10" ht="15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.75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45" customHeight="1">
      <c r="A4" s="12"/>
      <c r="B4" s="13"/>
      <c r="C4" s="14"/>
      <c r="D4" s="15"/>
      <c r="E4" s="15"/>
      <c r="F4" s="15"/>
      <c r="G4" s="15"/>
      <c r="H4" s="15"/>
      <c r="I4" s="15"/>
      <c r="J4" s="51" t="str">
        <f>IF(COUNTIF(Table11042[Test 3],1)=COUNTA(Table11042[Value]),"Ready","Not Ready")</f>
        <v>Ready</v>
      </c>
    </row>
    <row r="5" spans="1:10" ht="14.45" customHeight="1">
      <c r="A5" s="16"/>
      <c r="B5" s="17"/>
      <c r="C5" s="43"/>
      <c r="D5" s="43"/>
      <c r="E5" s="43"/>
      <c r="F5" s="43"/>
      <c r="G5" s="18"/>
      <c r="H5" s="43"/>
      <c r="I5" s="43"/>
      <c r="J5" s="52"/>
    </row>
    <row r="6" spans="1:10" ht="14.45" customHeight="1">
      <c r="A6" s="16"/>
      <c r="B6" s="17"/>
      <c r="C6" s="43"/>
      <c r="D6" s="43"/>
      <c r="E6" s="43"/>
      <c r="F6" s="43"/>
      <c r="G6" s="18"/>
      <c r="H6" s="43"/>
      <c r="I6" s="43"/>
      <c r="J6" s="52"/>
    </row>
    <row r="7" spans="1:10" ht="14.45" customHeight="1">
      <c r="A7" s="16"/>
      <c r="B7" s="17"/>
      <c r="C7" s="43"/>
      <c r="D7" s="43"/>
      <c r="E7" s="43"/>
      <c r="F7" s="43"/>
      <c r="G7" s="18"/>
      <c r="H7" s="43"/>
      <c r="I7" s="43"/>
      <c r="J7" s="52"/>
    </row>
    <row r="8" spans="1:10" ht="14.45" customHeight="1">
      <c r="A8" s="19"/>
      <c r="B8" s="20"/>
      <c r="C8" s="21"/>
      <c r="D8" s="21"/>
      <c r="E8" s="21"/>
      <c r="F8" s="21"/>
      <c r="G8" s="22"/>
      <c r="H8" s="21"/>
      <c r="I8" s="21"/>
      <c r="J8" s="53"/>
    </row>
    <row r="9" spans="1:10" ht="15">
      <c r="A9" s="24" t="s">
        <v>0</v>
      </c>
      <c r="B9" s="25" t="s">
        <v>1</v>
      </c>
      <c r="C9" s="25" t="s">
        <v>2</v>
      </c>
      <c r="D9" s="25" t="s">
        <v>14</v>
      </c>
      <c r="E9" s="25" t="s">
        <v>62</v>
      </c>
      <c r="F9" s="26" t="s">
        <v>38</v>
      </c>
      <c r="G9" s="26" t="s">
        <v>63</v>
      </c>
      <c r="H9" s="25" t="s">
        <v>64</v>
      </c>
      <c r="I9" s="27" t="s">
        <v>71</v>
      </c>
      <c r="J9" s="27" t="s">
        <v>12</v>
      </c>
    </row>
    <row r="10" spans="1:10" ht="30">
      <c r="A10" s="42" t="s">
        <v>105</v>
      </c>
      <c r="B10" s="28">
        <v>0.75</v>
      </c>
      <c r="C10" s="30" t="s">
        <v>3</v>
      </c>
      <c r="D10" s="1" t="s">
        <v>17</v>
      </c>
      <c r="E10" s="1" t="s">
        <v>7</v>
      </c>
      <c r="F10" s="2" t="s">
        <v>52</v>
      </c>
      <c r="G10" s="1">
        <v>1</v>
      </c>
      <c r="H10" s="1">
        <v>1</v>
      </c>
      <c r="I10" s="5">
        <v>1</v>
      </c>
      <c r="J10" s="4" t="s">
        <v>92</v>
      </c>
    </row>
    <row r="11" spans="1:10" ht="15">
      <c r="A11" s="7" t="s">
        <v>75</v>
      </c>
      <c r="B11" s="29"/>
      <c r="C11" s="8"/>
      <c r="D11" s="9"/>
      <c r="E11" s="9"/>
      <c r="F11" s="8"/>
      <c r="G11" s="9">
        <v>1</v>
      </c>
      <c r="H11" s="9">
        <v>1</v>
      </c>
      <c r="I11" s="10">
        <v>0</v>
      </c>
      <c r="J11" s="11" t="s">
        <v>76</v>
      </c>
    </row>
  </sheetData>
  <sheetProtection algorithmName="SHA-512" hashValue="BKDQDr482877RGrkcmaeG0aOc6U+jWv175ScW1JF8uGUTfCy056jVVLZtTTFX2a6IKGT+rDqg47O66UcRAUZUw==" saltValue="ng2H7kqG27s3tnI6ZolENQ==" spinCount="100000" sheet="1" objects="1" scenarios="1" selectLockedCells="1"/>
  <mergeCells count="2">
    <mergeCell ref="A3:J3"/>
    <mergeCell ref="J4:J8"/>
  </mergeCells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302">
      <formula>IF(COUNTA($B$10:$B$11)&lt;&gt;COUNTIF($I$10:$I$11,1),1,0)</formula>
    </cfRule>
    <cfRule type="expression" dxfId="15" priority="230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9BE81B1-56B0-4A38-8329-ACA842B35C6D}">
          <x14:formula1>
            <xm:f>Reference!$A$2:$A$8</xm:f>
          </x14:formula1>
          <xm:sqref>E10:E11</xm:sqref>
        </x14:dataValidation>
        <x14:dataValidation type="list" allowBlank="1" showInputMessage="1" showErrorMessage="1" xr:uid="{FB6D0DB1-6209-4801-844F-CBFC4E624989}">
          <x14:formula1>
            <xm:f>Reference!$B$2:$B$18</xm:f>
          </x14:formula1>
          <xm:sqref>D10:D11</xm:sqref>
        </x14:dataValidation>
        <x14:dataValidation type="list" allowBlank="1" showInputMessage="1" showErrorMessage="1" xr:uid="{C95225BB-9435-4193-8954-AB5918AC53D5}">
          <x14:formula1>
            <xm:f>Reference!$C$2:$C$23</xm:f>
          </x14:formula1>
          <xm:sqref>F10:F11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855468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2"/>
  <sheetViews>
    <sheetView topLeftCell="CF1" workbookViewId="0">
      <selection activeCell="CM2" sqref="CM2"/>
    </sheetView>
  </sheetViews>
  <sheetFormatPr defaultColWidth="8.85546875" defaultRowHeight="15"/>
  <sheetData>
    <row r="1" spans="1:2">
      <c r="A1" t="s">
        <v>105</v>
      </c>
      <c r="B1" t="s">
        <v>75</v>
      </c>
    </row>
    <row r="2" spans="1:2">
      <c r="A2">
        <v>0.75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2"/>
  <sheetViews>
    <sheetView topLeftCell="CC1" workbookViewId="0">
      <selection activeCell="CR2" sqref="CR2"/>
    </sheetView>
  </sheetViews>
  <sheetFormatPr defaultColWidth="8.85546875" defaultRowHeight="15"/>
  <sheetData>
    <row r="1" spans="1:2">
      <c r="A1" t="s">
        <v>105</v>
      </c>
      <c r="B1" t="s">
        <v>75</v>
      </c>
    </row>
    <row r="2" spans="1:2">
      <c r="A2">
        <v>1</v>
      </c>
      <c r="B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Thermodynamic Properties</vt:lpstr>
      <vt:lpstr>maintenance check list</vt:lpstr>
      <vt:lpstr>Data(Transposed)</vt:lpstr>
      <vt:lpstr>Data(Test)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2024-10-02T17:48:51Z</dcterms:modified>
</cp:coreProperties>
</file>