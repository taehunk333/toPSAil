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prDr_twoTankAB\1_simulation_inputs\"/>
    </mc:Choice>
  </mc:AlternateContent>
  <xr:revisionPtr revIDLastSave="0" documentId="13_ncr:1_{6E5C8F23-B918-4276-83B6-727696D7B849}" xr6:coauthVersionLast="47" xr6:coauthVersionMax="47" xr10:uidLastSave="{00000000-0000-0000-0000-000000000000}"/>
  <bookViews>
    <workbookView xWindow="-120" yWindow="-120" windowWidth="29040" windowHeight="15840" tabRatio="818" activeTab="1" xr2:uid="{CB583278-6AF7-49E7-A969-6064EAB4A9B4}"/>
  </bookViews>
  <sheets>
    <sheet name="Revision History" sheetId="39" r:id="rId1"/>
    <sheet name="Initialization" sheetId="40" r:id="rId2"/>
    <sheet name="Geometry" sheetId="43" r:id="rId3"/>
    <sheet name="Physical Properties" sheetId="31" r:id="rId4"/>
    <sheet name="Help" sheetId="41" r:id="rId5"/>
    <sheet name="Reference" sheetId="2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Geometry!$A$9:$J$9</definedName>
    <definedName name="_xlnm._FilterDatabase" localSheetId="1" hidden="1">Initialization!$A$9:$J$9</definedName>
    <definedName name="_xlnm._FilterDatabase" localSheetId="3" hidden="1">'Physical Properties'!$A$9:$J$9</definedName>
    <definedName name="_xlnm.Print_Area" localSheetId="2">Geometry!$A$2:$J$13</definedName>
    <definedName name="_xlnm.Print_Area" localSheetId="1">Initialization!$A$2:$J$13</definedName>
    <definedName name="_xlnm.Print_Area" localSheetId="3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<sst xmlns="http://schemas.openxmlformats.org/spreadsheetml/2006/main" count="247" uniqueCount="136">
  <si>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</si>
  <si>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</si>
  <si>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</si>
  <si>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</si>
  <si>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</si>
  <si>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</si>
  <si>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</si>
  <si>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</si>
  <si>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</si>
  <si>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</si>
  <si>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</si>
  <si>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</si>
  <si>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</si>
  <si>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</si>
  <si>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</si>
  <si>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</si>
  <si>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</si>
  <si>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</si>
  <si>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</si>
  <si>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</si>
  <si>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</si>
  <si>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</si>
  <si>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</si>
  <si>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</si>
  <si>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</si>
  <si>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</si>
  <si>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</si>
  <si>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</si>
  <si>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</si>
  <si>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</si>
  <si>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</si>
  <si>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</si>
  <si>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</si>
  <si>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</si>
  <si>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</si>
  <si>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</si>
  <si>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</si>
  <si>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</si>
  <si>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</si>
  <si>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</si>
  <si>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</si>
  <si>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</si>
  <si>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</si>
  <si>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</si>
  <si>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</si>
  <si>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</si>
  <si>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</si>
  <si>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</si>
  <si>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</si>
  <si>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</si>
  <si>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</si>
  <si>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</si>
  <si>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</si>
  <si>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</si>
  <si>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</si>
  <si>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</si>
  <si>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</si>
  <si>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</si>
  <si>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</si>
  <si>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</si>
  <si>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</si>
  <si>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</si>
  <si>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</si>
  <si>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</si>
  <si>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</si>
  <si>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</si>
  <si>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</si>
  <si>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</si>
  <si>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</si>
  <si>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</si>
  <si>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</si>
  <si>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</si>
  <si>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</si>
  <si>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</si>
  <si>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</si>
  <si>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</si>
  <si>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</si>
  <si>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</si>
  <si>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</si>
  <si>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</si>
  <si>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</si>
  <si>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</si>
  <si>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</si>
  <si>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</si>
  <si>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</si>
  <si>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</si>
  <si>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</si>
  <si>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</si>
  <si>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</si>
  <si>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</si>
  <si>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</si>
  <si>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</si>
  <si>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</si>
  <si>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</si>
  <si>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</si>
  <si>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</si>
  <si>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</si>
  <si>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</si>
  <si>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</si>
  <si>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</si>
  <si>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</si>
  <si>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</si>
  <si>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</si>
  <si>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</si>
  <si>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</si>
  <si>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</si>
  <si>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</si>
  <si>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</si>
  <si>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</si>
  <si>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</si>
  <si>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</si>
  <si>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</si>
  <si>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</si>
  <si>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</si>
  <si>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</si>
  <si>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</si>
  <si>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</si>
  <si>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</si>
  <si>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</si>
  <si>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</si>
  <si>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</si>
  <si>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</si>
  <si>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</si>
  <si>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</si>
  <si>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</si>
  <si>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</si>
  <si>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</si>
  <si>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</si>
  <si>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</si>
  <si>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</si>
  <si>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</si>
  <si>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</si>
  <si>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</si>
  <si>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</si>
  <si>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inConFeTa1</t>
  </si>
  <si>
    <t>1 = feed gas at a feed pressure
2 = extract product gas at a feed pressure
3 = second feed gas at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</si>
</sst>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1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1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1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2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2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2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3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3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3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Cycle Organizer Kays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3">
          <cell r="B13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128</v>
      </c>
      <c r="E4" s="43"/>
      <c r="F4" s="44"/>
      <c r="G4" s="45"/>
      <c r="H4" s="45"/>
      <c r="I4" s="45"/>
      <c r="J4" s="36" t="s">
        <v>86</v>
      </c>
    </row>
    <row r="5" spans="4:10" ht="35.25">
      <c r="D5" s="57" t="s">
        <v>39</v>
      </c>
      <c r="E5" s="57"/>
      <c r="F5" s="57"/>
      <c r="G5" s="57"/>
      <c r="H5" s="57"/>
      <c r="I5" s="57"/>
      <c r="J5" s="57"/>
    </row>
    <row r="6" spans="4:10" ht="18.75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129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127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4"/>
  <sheetViews>
    <sheetView showGridLines="0" tabSelected="1" zoomScaleNormal="85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65" custom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45">
      <c r="A10" s="4" t="s">
        <v>134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56">
        <f>[1]Initialization!$B$13</f>
        <v>1</v>
      </c>
      <c r="I10" s="6">
        <v>1</v>
      </c>
      <c r="J10" s="5" t="s">
        <v>135</v>
      </c>
    </row>
    <row r="11" spans="1:10" ht="15">
      <c r="A11" s="38" t="s">
        <v>106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5">
      <c r="A12" s="4" t="s">
        <v>87</v>
      </c>
      <c r="B12" s="32">
        <v>1.25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  <row r="14" spans="1:10" ht="14.65" hidden="1" customHeight="1"/>
  </sheetData>
  <sheetProtection algorithmName="SHA-512" hashValue="YZhR/Wtq8/O5GmSt9jlSkJrLjsFQNtV0xOAow7Jzk6uZSTwn+3qcUL6GtzU+o9xVyNzUkcM+ypo80kOMpgAU0Q==" saltValue="sgsQQ1oilThkYO607M+xLA==" spinCount="100000" sheet="1" objects="1" scenarios="1" selectLockedCells="1"/>
  <mergeCells count="2">
    <mergeCell ref="A3:J3"/>
    <mergeCell ref="J4:J8"/>
  </mergeCells>
  <conditionalFormatting sqref="B13 B10">
    <cfRule type="expression" dxfId="71" priority="37">
      <formula>IF(AND($B10&lt;&gt;"",$I10=0),1,0)</formula>
    </cfRule>
    <cfRule type="expression" dxfId="70" priority="38">
      <formula>IF($B10&lt;&gt;"",1,0)</formula>
    </cfRule>
    <cfRule type="expression" dxfId="69" priority="39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57">
      <formula>IF(COUNTA($B$10:$B$13)&lt;&gt;COUNTIF($I$10:$I$13,1),1,0)</formula>
    </cfRule>
    <cfRule type="expression" dxfId="61" priority="2258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954399-0FCE-47C6-98C5-2AAD69E5A158}">
          <x14:formula1>
            <xm:f>Reference!$J$12:$J$15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H7" sqref="H7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120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5">
      <c r="A11" s="38" t="s">
        <v>121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5">
      <c r="A12" s="38" t="s">
        <v>122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I10" sqref="I10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123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[2]Initialization!$B$14</f>
        <v>1</v>
      </c>
      <c r="J10" s="5" t="s">
        <v>130</v>
      </c>
    </row>
    <row r="11" spans="1:10" ht="30">
      <c r="A11" s="38" t="s">
        <v>124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[2]Initialization!$B$14</f>
        <v>1</v>
      </c>
      <c r="J11" s="5" t="s">
        <v>131</v>
      </c>
    </row>
    <row r="12" spans="1:10" ht="15">
      <c r="A12" s="38" t="s">
        <v>125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132</v>
      </c>
    </row>
    <row r="13" spans="1:10" ht="15">
      <c r="A13" s="38" t="s">
        <v>126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[2]Initialization!$B$14</f>
        <v>1</v>
      </c>
      <c r="J13" s="5" t="s">
        <v>133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109375" style="51" customWidth="1"/>
    <col min="3" max="3" width="13.140625" style="51" customWidth="1"/>
    <col min="4" max="4" width="13.42578125" style="51" customWidth="1"/>
    <col min="5" max="6" width="8.7109375" style="51" customWidth="1"/>
    <col min="7" max="7" width="14.7109375" style="51" customWidth="1"/>
    <col min="8" max="8" width="11.7109375" style="51" customWidth="1"/>
    <col min="9" max="9" width="10.28515625" style="51" customWidth="1"/>
    <col min="10" max="10" width="5.7109375" style="51" customWidth="1"/>
    <col min="11" max="11" width="10.42578125" style="51" customWidth="1"/>
    <col min="12" max="17" width="8.7109375" style="51" customWidth="1"/>
    <col min="18" max="16384" width="8.7109375" style="51" hidden="1"/>
  </cols>
  <sheetData>
    <row r="1" spans="1:17" ht="15">
      <c r="A1" s="25" t="s">
        <v>128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>
      <c r="A2" s="64" t="s">
        <v>118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</row>
    <row r="3" spans="1:17" ht="15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>
      <c r="A4" s="52"/>
      <c r="B4" s="53" t="s">
        <v>117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>
      <c r="A5" s="52"/>
      <c r="B5" s="54"/>
      <c r="C5" s="53" t="s">
        <v>119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J16" sqref="J16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  <c r="J15">
        <v>3</v>
      </c>
    </row>
    <row r="16" spans="1:21">
      <c r="B16" t="s">
        <v>60</v>
      </c>
      <c r="C16" t="s">
        <v>57</v>
      </c>
    </row>
    <row r="17" spans="2:10">
      <c r="B17" t="s">
        <v>18</v>
      </c>
      <c r="C17" t="s">
        <v>58</v>
      </c>
      <c r="J17" t="s">
        <v>105</v>
      </c>
    </row>
    <row r="18" spans="2:10">
      <c r="B18" t="s">
        <v>19</v>
      </c>
      <c r="C18" t="s">
        <v>59</v>
      </c>
      <c r="J18" t="s">
        <v>8</v>
      </c>
    </row>
    <row r="19" spans="2:10">
      <c r="C19" t="s">
        <v>31</v>
      </c>
      <c r="J19">
        <v>1</v>
      </c>
    </row>
    <row r="20" spans="2:10">
      <c r="C20" t="s">
        <v>4</v>
      </c>
      <c r="J20">
        <v>2</v>
      </c>
    </row>
    <row r="21" spans="2:10">
      <c r="C21" t="s">
        <v>44</v>
      </c>
      <c r="J21">
        <v>3</v>
      </c>
    </row>
    <row r="22" spans="2:10">
      <c r="C22" t="s">
        <v>43</v>
      </c>
      <c r="J22">
        <v>4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109375" defaultRowHeight="15"/>
  <sheetData>
    <row r="1" spans="1:13">
      <c r="A1" t="s">
        <v>134</v>
      </c>
      <c r="B1" t="s">
        <v>106</v>
      </c>
      <c r="C1" t="s">
        <v>87</v>
      </c>
      <c r="D1" t="s">
        <v>79</v>
      </c>
      <c r="E1" t="s">
        <v>120</v>
      </c>
      <c r="F1" t="s">
        <v>121</v>
      </c>
      <c r="G1" t="s">
        <v>122</v>
      </c>
      <c r="H1" t="s">
        <v>79</v>
      </c>
      <c r="I1" t="s">
        <v>123</v>
      </c>
      <c r="J1" t="s">
        <v>124</v>
      </c>
      <c r="K1" t="s">
        <v>125</v>
      </c>
      <c r="L1" t="s">
        <v>126</v>
      </c>
      <c r="M1" t="s">
        <v>79</v>
      </c>
    </row>
    <row r="2" spans="1:13">
      <c r="A2">
        <v>1</v>
      </c>
      <c r="B2">
        <v>298</v>
      </c>
      <c r="C2">
        <v>1.25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109375" defaultRowHeight="15"/>
  <sheetData>
    <row r="1" spans="1:13">
      <c r="A1" t="s">
        <v>134</v>
      </c>
      <c r="B1" t="s">
        <v>106</v>
      </c>
      <c r="C1" t="s">
        <v>87</v>
      </c>
      <c r="D1" t="s">
        <v>79</v>
      </c>
      <c r="E1" t="s">
        <v>120</v>
      </c>
      <c r="F1" t="s">
        <v>121</v>
      </c>
      <c r="G1" t="s">
        <v>122</v>
      </c>
      <c r="H1" t="s">
        <v>79</v>
      </c>
      <c r="I1" t="s">
        <v>123</v>
      </c>
      <c r="J1" t="s">
        <v>124</v>
      </c>
      <c r="K1" t="s">
        <v>125</v>
      </c>
      <c r="L1" t="s">
        <v>126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EB7C4-92E2-4B1B-BC3E-3BB93FDE04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Initialization</vt:lpstr>
      <vt:lpstr>Geometry</vt:lpstr>
      <vt:lpstr>Physical Properties</vt:lpstr>
      <vt:lpstr>Help</vt:lpstr>
      <vt:lpstr>Reference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2024-11-05T21:52:33Z</dcterms:modified>
</cp:coreProperties>
</file>