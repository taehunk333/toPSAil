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physical_properties\"/>
    </mc:Choice>
  </mc:AlternateContent>
  <xr:revisionPtr revIDLastSave="0" documentId="13_ncr:1_{E49F2776-6809-4EE7-9397-CBC24371A130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PFD" sheetId="42" r:id="rId7"/>
    <sheet name="maintenance check list" sheetId="28" state="hidden" r:id="rId8"/>
    <sheet name="Data(Transposed)" sheetId="3" state="hidden" r:id="rId9"/>
    <sheet name="Data(Test)" sheetId="9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2" hidden="1">Initialization!$B$9:$K$10</definedName>
    <definedName name="_xlnm._FilterDatabase" localSheetId="3" hidden="1">'Physical Properties'!$B$9:$K$9</definedName>
    <definedName name="_xlnm._FilterDatabase" localSheetId="4" hidden="1">'Thermodynamic Properties'!$B$9:$K$9</definedName>
    <definedName name="_xlnm.Print_Area" localSheetId="2">Initialization!$B$2:$K$13</definedName>
    <definedName name="_xlnm.Print_Area" localSheetId="3">'Physical Properties'!$B$2:$K$12</definedName>
    <definedName name="_xlnm.Print_Area" localSheetId="0">'Revision History'!$C$3:$K$51</definedName>
    <definedName name="_xlnm.Print_Area" localSheetId="4">'Thermodynamic Properties'!$B$2:$K$18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" i="44" l="1"/>
  <c r="I16" i="44"/>
  <c r="I15" i="44"/>
  <c r="I14" i="44"/>
  <c r="I13" i="44"/>
  <c r="I12" i="44"/>
  <c r="I11" i="44"/>
  <c r="I10" i="44"/>
  <c r="K4" i="44"/>
  <c r="K2" i="44"/>
  <c r="B2" i="44"/>
  <c r="I11" i="43" l="1"/>
  <c r="I10" i="43"/>
  <c r="K4" i="43"/>
  <c r="K2" i="43"/>
  <c r="B2" i="43"/>
  <c r="I12" i="40"/>
  <c r="I11" i="40"/>
  <c r="R1" i="42"/>
  <c r="A1" i="42"/>
  <c r="Q1" i="41"/>
  <c r="A1" i="41"/>
  <c r="K4" i="40"/>
  <c r="K2" i="40"/>
  <c r="B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H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H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H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<sst xmlns="http://schemas.openxmlformats.org/spreadsheetml/2006/main" count="277" uniqueCount="139">
  <si>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</si>
  <si>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</si>
  <si>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</si>
  <si>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</si>
  <si>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</si>
  <si>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</si>
  <si>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</si>
  <si>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</si>
  <si>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</si>
  <si>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</si>
  <si>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</si>
  <si>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</si>
  <si>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</si>
  <si>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</si>
  <si>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</si>
  <si>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</si>
  <si>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</si>
  <si>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</si>
  <si>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</si>
  <si>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</si>
  <si>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</si>
  <si>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</si>
  <si>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</si>
  <si>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</si>
  <si>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</si>
  <si>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</si>
  <si>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</si>
  <si>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</si>
  <si>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</si>
  <si>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</si>
  <si>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</si>
  <si>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</si>
  <si>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</si>
  <si>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</si>
  <si>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</si>
  <si>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</si>
  <si>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</si>
  <si>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</si>
  <si>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</si>
  <si>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</si>
  <si>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</si>
  <si>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</si>
  <si>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</si>
  <si>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</si>
  <si>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</si>
  <si>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</si>
  <si>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</si>
  <si>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</si>
  <si>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</si>
  <si>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</si>
  <si>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</si>
  <si>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</si>
  <si>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</si>
  <si>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</si>
  <si>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</si>
  <si>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</si>
  <si>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</si>
  <si>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</si>
  <si>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</si>
  <si>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</si>
  <si>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</si>
  <si>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</si>
  <si>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</si>
  <si>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</si>
  <si>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The chemical formula of the 1st component in a given system: ***Let the 1st component be the light key as always***</t>
  </si>
  <si>
    <t>Variable Type</t>
  </si>
  <si>
    <t>Test 1</t>
  </si>
  <si>
    <t>Test 2</t>
  </si>
  <si>
    <t>The number of components to be modeled in the system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</si>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</sst>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B9:K13" totalsRowShown="0" headerRowDxfId="87" dataDxfId="85" headerRowBorderDxfId="86" tableBorderDxfId="84" totalsRowBorderDxfId="83">
  <autoFilter ref="B9:K13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B9:K12" totalsRowShown="0" headerRowDxfId="61" dataDxfId="59" headerRowBorderDxfId="60" tableBorderDxfId="58" totalsRowBorderDxfId="57">
  <autoFilter ref="B9:K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B9:K18" totalsRowShown="0" headerRowDxfId="14" dataDxfId="12" headerRowBorderDxfId="13" tableBorderDxfId="11" totalsRowBorderDxfId="10">
  <autoFilter ref="B9:K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1843E07-2516-483D-A63D-A86B5B904914}">
    <text>place 1 if we want to keep the row when re-initializing. Otherwise, leave it as a blank.</text>
  </threadedComment>
  <threadedComment ref="I9" dT="2020-11-26T18:35:03.27" personId="{7F98AE94-13FB-49E1-9262-339C11E0EDB4}" id="{6888000F-CF93-4D02-AF13-97DC6B0D5C73}">
    <text>supply a value greater than 1 if you want to duplicate the row</text>
  </threadedComment>
  <threadedComment ref="J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J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929E74D4-E828-45A7-B400-EB49F90082D7}">
    <text>place 1 if we want to keep the row when re-initializing. Otherwise, leave it as a blank.</text>
  </threadedComment>
  <threadedComment ref="I9" dT="2020-11-26T18:35:03.27" personId="{7F98AE94-13FB-49E1-9262-339C11E0EDB4}" id="{5CF684AC-E434-4C54-AB68-3C5C687E62EA}">
    <text>supply a value greater than 1 if you want to duplicate the row</text>
  </threadedComment>
  <threadedComment ref="J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J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3E6B692-C210-4B42-B932-A801C893F11E}">
    <text>place 1 if we want to keep the row when re-initializing. Otherwise, leave it as a blank.</text>
  </threadedComment>
  <threadedComment ref="I9" dT="2020-11-26T18:35:03.27" personId="{7F98AE94-13FB-49E1-9262-339C11E0EDB4}" id="{FE7B2465-0C2E-4C3B-B0CE-092F7E32DC9B}">
    <text>supply a value greater than 1 if you want to duplicate the row</text>
  </threadedComment>
  <threadedComment ref="J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J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defaultColWidth="0" defaultRowHeight="14.4" zeroHeight="1"/>
  <cols>
    <col min="1" max="2" width="3.33203125" style="39" hidden="1" customWidth="1"/>
    <col min="3" max="3" width="2.44140625" style="39" customWidth="1"/>
    <col min="4" max="4" width="13.886718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886718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/>
    <row r="4" spans="4:10" ht="18">
      <c r="D4" s="60" t="s">
        <v>133</v>
      </c>
      <c r="E4" s="61"/>
      <c r="F4" s="62"/>
      <c r="G4" s="63"/>
      <c r="H4" s="63"/>
      <c r="I4" s="63"/>
      <c r="J4" s="42" t="s">
        <v>87</v>
      </c>
    </row>
    <row r="5" spans="4:10" ht="36">
      <c r="D5" s="71" t="s">
        <v>36</v>
      </c>
      <c r="E5" s="71"/>
      <c r="F5" s="71"/>
      <c r="G5" s="71"/>
      <c r="H5" s="71"/>
      <c r="I5" s="71"/>
      <c r="J5" s="71"/>
    </row>
    <row r="6" spans="4:10" ht="18">
      <c r="D6" s="53" t="s">
        <v>30</v>
      </c>
      <c r="E6" s="53" t="s">
        <v>131</v>
      </c>
      <c r="F6" s="53" t="s">
        <v>31</v>
      </c>
      <c r="G6" s="53" t="s">
        <v>32</v>
      </c>
      <c r="H6" s="53" t="s">
        <v>33</v>
      </c>
      <c r="I6" s="53" t="s">
        <v>34</v>
      </c>
      <c r="J6" s="53" t="s">
        <v>35</v>
      </c>
    </row>
    <row r="7" spans="4:10" ht="36">
      <c r="D7" s="43">
        <v>1</v>
      </c>
      <c r="E7" s="57" t="s">
        <v>132</v>
      </c>
      <c r="F7" s="58">
        <v>44720</v>
      </c>
      <c r="G7" s="59" t="s">
        <v>37</v>
      </c>
      <c r="H7" s="43"/>
      <c r="I7" s="43"/>
      <c r="J7" s="44"/>
    </row>
    <row r="8" spans="4:10" ht="18">
      <c r="D8" s="43">
        <v>2</v>
      </c>
      <c r="E8" s="44"/>
      <c r="F8" s="45"/>
      <c r="G8" s="43"/>
      <c r="H8" s="43"/>
      <c r="I8" s="43"/>
      <c r="J8" s="44"/>
    </row>
    <row r="9" spans="4:10" ht="18">
      <c r="D9" s="43">
        <v>3</v>
      </c>
      <c r="E9" s="44"/>
      <c r="F9" s="45"/>
      <c r="G9" s="43"/>
      <c r="H9" s="43"/>
      <c r="I9" s="43"/>
      <c r="J9" s="44"/>
    </row>
    <row r="10" spans="4:10" ht="18">
      <c r="D10" s="43">
        <v>4</v>
      </c>
      <c r="E10" s="44"/>
      <c r="F10" s="45"/>
      <c r="G10" s="43"/>
      <c r="H10" s="43"/>
      <c r="I10" s="43"/>
      <c r="J10" s="44"/>
    </row>
    <row r="11" spans="4:10" ht="18">
      <c r="D11" s="43">
        <v>5</v>
      </c>
      <c r="E11" s="44"/>
      <c r="F11" s="45"/>
      <c r="G11" s="43"/>
      <c r="H11" s="43"/>
      <c r="I11" s="43"/>
      <c r="J11" s="44"/>
    </row>
    <row r="12" spans="4:10" ht="18">
      <c r="D12" s="43">
        <v>6</v>
      </c>
      <c r="E12" s="44"/>
      <c r="F12" s="45"/>
      <c r="G12" s="43"/>
      <c r="H12" s="43"/>
      <c r="I12" s="43"/>
      <c r="J12" s="44"/>
    </row>
    <row r="13" spans="4:10" ht="18">
      <c r="D13" s="43">
        <v>7</v>
      </c>
      <c r="E13" s="44"/>
      <c r="F13" s="45"/>
      <c r="G13" s="43"/>
      <c r="H13" s="43"/>
      <c r="I13" s="43"/>
      <c r="J13" s="44"/>
    </row>
    <row r="14" spans="4:10" ht="18">
      <c r="D14" s="43">
        <v>8</v>
      </c>
      <c r="E14" s="44"/>
      <c r="F14" s="45"/>
      <c r="G14" s="43"/>
      <c r="H14" s="43"/>
      <c r="I14" s="43"/>
      <c r="J14" s="44"/>
    </row>
    <row r="15" spans="4:10" ht="18">
      <c r="D15" s="43">
        <v>9</v>
      </c>
      <c r="E15" s="44"/>
      <c r="F15" s="45"/>
      <c r="G15" s="43"/>
      <c r="H15" s="43"/>
      <c r="I15" s="43"/>
      <c r="J15" s="44"/>
    </row>
    <row r="16" spans="4:10" ht="18">
      <c r="D16" s="43">
        <v>10</v>
      </c>
      <c r="E16" s="44"/>
      <c r="F16" s="45"/>
      <c r="G16" s="43"/>
      <c r="H16" s="43"/>
      <c r="I16" s="43"/>
      <c r="J16" s="4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69</v>
      </c>
      <c r="E1" t="s">
        <v>71</v>
      </c>
      <c r="F1" t="s">
        <v>72</v>
      </c>
      <c r="G1" s="1" t="s">
        <v>73</v>
      </c>
      <c r="H1" s="1" t="s">
        <v>74</v>
      </c>
      <c r="I1" s="1" t="s">
        <v>75</v>
      </c>
      <c r="J1" s="7" t="s">
        <v>77</v>
      </c>
      <c r="K1" s="7" t="s">
        <v>6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94</v>
      </c>
      <c r="R1" t="s">
        <v>104</v>
      </c>
      <c r="S1" t="s">
        <v>105</v>
      </c>
      <c r="T1" t="s">
        <v>118</v>
      </c>
      <c r="U1" t="s">
        <v>119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120</v>
      </c>
    </row>
    <row r="4" spans="1:21">
      <c r="A4" t="s">
        <v>84</v>
      </c>
      <c r="B4" t="s">
        <v>21</v>
      </c>
      <c r="C4" t="s">
        <v>43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121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122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123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124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125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126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116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117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2" sqref="C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2" t="s">
        <v>29</v>
      </c>
      <c r="C3" s="72"/>
      <c r="D3" s="72"/>
      <c r="E3" s="72"/>
      <c r="F3" s="72"/>
      <c r="G3" s="72"/>
      <c r="H3" s="72"/>
      <c r="I3" s="72"/>
      <c r="J3" s="72"/>
      <c r="K3" s="72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3" t="str">
        <f>IF(COUNTIF(Table110823[Test 3],1)=COUNTA(Table110823[Value]),"Ready","Not Ready")</f>
        <v>Ready</v>
      </c>
    </row>
    <row r="5" spans="2:11" ht="14.4" customHeight="1">
      <c r="B5" s="17"/>
      <c r="C5" s="18"/>
      <c r="D5" s="56"/>
      <c r="E5" s="56"/>
      <c r="F5" s="56"/>
      <c r="G5" s="56"/>
      <c r="H5" s="19"/>
      <c r="I5" s="56"/>
      <c r="J5" s="56"/>
      <c r="K5" s="74"/>
    </row>
    <row r="6" spans="2:11" ht="14.4" customHeight="1">
      <c r="B6" s="17"/>
      <c r="C6" s="18"/>
      <c r="D6" s="56"/>
      <c r="E6" s="56"/>
      <c r="F6" s="56"/>
      <c r="G6" s="56"/>
      <c r="H6" s="19"/>
      <c r="I6" s="56"/>
      <c r="J6" s="56"/>
      <c r="K6" s="74"/>
    </row>
    <row r="7" spans="2:11" ht="14.4" customHeight="1">
      <c r="B7" s="17"/>
      <c r="C7" s="18"/>
      <c r="D7" s="56"/>
      <c r="E7" s="56"/>
      <c r="F7" s="56"/>
      <c r="G7" s="56"/>
      <c r="H7" s="19"/>
      <c r="I7" s="56"/>
      <c r="J7" s="56"/>
      <c r="K7" s="74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5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65</v>
      </c>
      <c r="G9" s="34" t="s">
        <v>38</v>
      </c>
      <c r="H9" s="34" t="s">
        <v>66</v>
      </c>
      <c r="I9" s="33" t="s">
        <v>67</v>
      </c>
      <c r="J9" s="35" t="s">
        <v>76</v>
      </c>
      <c r="K9" s="35" t="s">
        <v>12</v>
      </c>
    </row>
    <row r="10" spans="2:11" ht="28.8">
      <c r="B10" s="4" t="s">
        <v>5</v>
      </c>
      <c r="C10" s="36">
        <v>2</v>
      </c>
      <c r="D10" s="2" t="s">
        <v>3</v>
      </c>
      <c r="E10" s="54" t="s">
        <v>17</v>
      </c>
      <c r="F10" s="54" t="s">
        <v>7</v>
      </c>
      <c r="G10" s="2" t="s">
        <v>39</v>
      </c>
      <c r="H10" s="54">
        <v>1</v>
      </c>
      <c r="I10" s="54">
        <v>1</v>
      </c>
      <c r="J10" s="6">
        <v>1</v>
      </c>
      <c r="K10" s="5" t="s">
        <v>68</v>
      </c>
    </row>
    <row r="11" spans="2:11" ht="43.2">
      <c r="B11" s="4" t="s">
        <v>62</v>
      </c>
      <c r="C11" s="36" t="s">
        <v>70</v>
      </c>
      <c r="D11" s="2" t="s">
        <v>3</v>
      </c>
      <c r="E11" s="54" t="s">
        <v>22</v>
      </c>
      <c r="F11" s="54" t="s">
        <v>9</v>
      </c>
      <c r="G11" s="2" t="s">
        <v>5</v>
      </c>
      <c r="H11" s="54">
        <v>1</v>
      </c>
      <c r="I11" s="54">
        <f>Initialization!$C$10</f>
        <v>2</v>
      </c>
      <c r="J11" s="6">
        <v>1</v>
      </c>
      <c r="K11" s="5" t="s">
        <v>64</v>
      </c>
    </row>
    <row r="12" spans="2:11" ht="43.2">
      <c r="B12" s="4" t="s">
        <v>63</v>
      </c>
      <c r="C12" s="36" t="s">
        <v>106</v>
      </c>
      <c r="D12" s="2" t="s">
        <v>3</v>
      </c>
      <c r="E12" s="54" t="s">
        <v>22</v>
      </c>
      <c r="F12" s="54" t="s">
        <v>9</v>
      </c>
      <c r="G12" s="2" t="s">
        <v>5</v>
      </c>
      <c r="H12" s="54"/>
      <c r="I12" s="54">
        <f>Initialization!$C$10</f>
        <v>2</v>
      </c>
      <c r="J12" s="6">
        <v>1</v>
      </c>
      <c r="K12" s="5" t="s">
        <v>64</v>
      </c>
    </row>
    <row r="13" spans="2:11">
      <c r="B13" s="8" t="s">
        <v>80</v>
      </c>
      <c r="C13" s="37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81</v>
      </c>
    </row>
  </sheetData>
  <sheetProtection algorithmName="SHA-512" hashValue="qCjvnFYYYirMBCIN9CXfSjjVNXWiQZw3JRNKmwURtF9rvnvwmq1+ZEtoB57exB1+IwjWYQbCV8CgTU6z+keAIA==" saltValue="9xJ13aA/BEK/OMOAuKQtZg==" spinCount="100000" sheet="1" objects="1" scenarios="1" selectLockedCells="1"/>
  <mergeCells count="2">
    <mergeCell ref="B3:K3"/>
    <mergeCell ref="K4:K8"/>
  </mergeCells>
  <conditionalFormatting sqref="C10 C13">
    <cfRule type="expression" dxfId="95" priority="7">
      <formula>IF(AND($C10&lt;&gt;"",$J10=0),1,0)</formula>
    </cfRule>
    <cfRule type="expression" dxfId="94" priority="8">
      <formula>IF($C10&lt;&gt;"",1,0)</formula>
    </cfRule>
    <cfRule type="expression" dxfId="93" priority="9">
      <formula>$J10=0</formula>
    </cfRule>
  </conditionalFormatting>
  <conditionalFormatting sqref="K4">
    <cfRule type="expression" dxfId="92" priority="59">
      <formula>IF(COUNTA($C$10:$C$13)&lt;&gt;COUNTIF($J$10:$J$13,1),1,0)</formula>
    </cfRule>
    <cfRule type="expression" dxfId="91" priority="60">
      <formula>IF(COUNTA($C$10:$C$13)=COUNTIF($J$10:$J$13,1),1,0)</formula>
    </cfRule>
  </conditionalFormatting>
  <conditionalFormatting sqref="C11:C12">
    <cfRule type="expression" dxfId="90" priority="1">
      <formula>IF(AND($C11&lt;&gt;"",$J11=0),1,0)</formula>
    </cfRule>
    <cfRule type="expression" dxfId="89" priority="2">
      <formula>IF($C11&lt;&gt;"",1,0)</formula>
    </cfRule>
    <cfRule type="expression" dxfId="88" priority="3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G10:G13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E10:E13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3" sqref="A13:XFD2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2" t="s">
        <v>29</v>
      </c>
      <c r="C3" s="72"/>
      <c r="D3" s="72"/>
      <c r="E3" s="72"/>
      <c r="F3" s="72"/>
      <c r="G3" s="72"/>
      <c r="H3" s="72"/>
      <c r="I3" s="72"/>
      <c r="J3" s="72"/>
      <c r="K3" s="72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3" t="str">
        <f>IF(COUNTIF(Table11082[Test 3],1)=COUNTA(Table11082[Value]),"Ready","Not Ready")</f>
        <v>Ready</v>
      </c>
    </row>
    <row r="5" spans="2:11" ht="14.4" customHeight="1">
      <c r="B5" s="17"/>
      <c r="C5" s="18"/>
      <c r="D5" s="56"/>
      <c r="E5" s="56"/>
      <c r="F5" s="56"/>
      <c r="G5" s="56"/>
      <c r="H5" s="19"/>
      <c r="I5" s="56"/>
      <c r="J5" s="56"/>
      <c r="K5" s="74"/>
    </row>
    <row r="6" spans="2:11" ht="14.4" customHeight="1">
      <c r="B6" s="17"/>
      <c r="C6" s="18"/>
      <c r="D6" s="56"/>
      <c r="E6" s="56"/>
      <c r="F6" s="56"/>
      <c r="G6" s="56"/>
      <c r="H6" s="19"/>
      <c r="I6" s="56"/>
      <c r="J6" s="56"/>
      <c r="K6" s="74"/>
    </row>
    <row r="7" spans="2:11" ht="14.4" customHeight="1">
      <c r="B7" s="17"/>
      <c r="C7" s="18"/>
      <c r="D7" s="56"/>
      <c r="E7" s="56"/>
      <c r="F7" s="56"/>
      <c r="G7" s="56"/>
      <c r="H7" s="19"/>
      <c r="I7" s="56"/>
      <c r="J7" s="56"/>
      <c r="K7" s="74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5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65</v>
      </c>
      <c r="G9" s="34" t="s">
        <v>38</v>
      </c>
      <c r="H9" s="34" t="s">
        <v>66</v>
      </c>
      <c r="I9" s="33" t="s">
        <v>67</v>
      </c>
      <c r="J9" s="35" t="s">
        <v>76</v>
      </c>
      <c r="K9" s="35" t="s">
        <v>12</v>
      </c>
    </row>
    <row r="10" spans="2:11">
      <c r="B10" s="55" t="s">
        <v>127</v>
      </c>
      <c r="C10" s="36">
        <v>16</v>
      </c>
      <c r="D10" s="38" t="s">
        <v>128</v>
      </c>
      <c r="E10" s="54" t="s">
        <v>22</v>
      </c>
      <c r="F10" s="54" t="s">
        <v>7</v>
      </c>
      <c r="G10" s="2" t="s">
        <v>5</v>
      </c>
      <c r="H10" s="54">
        <v>1</v>
      </c>
      <c r="I10" s="54">
        <f>Initialization!$C$10</f>
        <v>2</v>
      </c>
      <c r="J10" s="6">
        <v>1</v>
      </c>
      <c r="K10" s="5" t="s">
        <v>129</v>
      </c>
    </row>
    <row r="11" spans="2:11">
      <c r="B11" s="55" t="s">
        <v>130</v>
      </c>
      <c r="C11" s="36">
        <v>14</v>
      </c>
      <c r="D11" s="38" t="s">
        <v>128</v>
      </c>
      <c r="E11" s="54" t="s">
        <v>22</v>
      </c>
      <c r="F11" s="54" t="s">
        <v>7</v>
      </c>
      <c r="G11" s="2" t="s">
        <v>5</v>
      </c>
      <c r="H11" s="54"/>
      <c r="I11" s="54">
        <f>Initialization!$C$10</f>
        <v>2</v>
      </c>
      <c r="J11" s="6">
        <v>1</v>
      </c>
      <c r="K11" s="5" t="s">
        <v>129</v>
      </c>
    </row>
    <row r="12" spans="2:11">
      <c r="B12" s="8" t="s">
        <v>80</v>
      </c>
      <c r="C12" s="37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algorithmName="SHA-512" hashValue="8yVwIf7XyGP4yLME9OmH+MtUtVsrC2KvYEVFdqmjgU/g2s2VowJlhpx8ATDkvq3SlaYShoqfPzMBbmZg+tE6dQ==" saltValue="+41p5Wf9vrFQx7jcuNobSw==" spinCount="100000" sheet="1" objects="1" scenarios="1" selectLockedCells="1"/>
  <mergeCells count="2">
    <mergeCell ref="B3:K3"/>
    <mergeCell ref="K4:K8"/>
  </mergeCells>
  <conditionalFormatting sqref="C12">
    <cfRule type="expression" dxfId="72" priority="70">
      <formula>IF(AND($C12&lt;&gt;"",$J12=0),1,0)</formula>
    </cfRule>
    <cfRule type="expression" dxfId="71" priority="71">
      <formula>IF($C12&lt;&gt;"",1,0)</formula>
    </cfRule>
    <cfRule type="expression" dxfId="70" priority="72">
      <formula>$J12=0</formula>
    </cfRule>
  </conditionalFormatting>
  <conditionalFormatting sqref="C10">
    <cfRule type="expression" dxfId="69" priority="31">
      <formula>IF(AND($C10&lt;&gt;"",$J10=0),1,0)</formula>
    </cfRule>
    <cfRule type="expression" dxfId="68" priority="32">
      <formula>IF($C10&lt;&gt;"",1,0)</formula>
    </cfRule>
    <cfRule type="expression" dxfId="67" priority="33">
      <formula>$J10=0</formula>
    </cfRule>
  </conditionalFormatting>
  <conditionalFormatting sqref="C11">
    <cfRule type="expression" dxfId="66" priority="1">
      <formula>IF(AND($C11&lt;&gt;"",$J11=0),1,0)</formula>
    </cfRule>
    <cfRule type="expression" dxfId="65" priority="2">
      <formula>IF($C11&lt;&gt;"",1,0)</formula>
    </cfRule>
    <cfRule type="expression" dxfId="64" priority="3">
      <formula>$J11=0</formula>
    </cfRule>
  </conditionalFormatting>
  <conditionalFormatting sqref="K4">
    <cfRule type="expression" dxfId="63" priority="483">
      <formula>IF(COUNTA($C$10:$C$12)&lt;&gt;COUNTIF($J$10:$J$12,1),1,0)</formula>
    </cfRule>
    <cfRule type="expression" dxfId="62" priority="484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F10:F12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E10:E12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G10:G12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9" sqref="A19:XFD2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2" t="s">
        <v>29</v>
      </c>
      <c r="C3" s="72"/>
      <c r="D3" s="72"/>
      <c r="E3" s="72"/>
      <c r="F3" s="72"/>
      <c r="G3" s="72"/>
      <c r="H3" s="72"/>
      <c r="I3" s="72"/>
      <c r="J3" s="72"/>
      <c r="K3" s="72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3" t="str">
        <f>IF(COUNTIF(Table110824[Test 3],1)=COUNTA(Table110824[Value]),"Ready","Not Ready")</f>
        <v>Ready</v>
      </c>
    </row>
    <row r="5" spans="2:11" ht="14.4" customHeight="1">
      <c r="B5" s="17"/>
      <c r="C5" s="18"/>
      <c r="D5" s="56"/>
      <c r="E5" s="56"/>
      <c r="F5" s="56"/>
      <c r="G5" s="56"/>
      <c r="H5" s="19"/>
      <c r="I5" s="56"/>
      <c r="J5" s="56"/>
      <c r="K5" s="74"/>
    </row>
    <row r="6" spans="2:11" ht="14.4" customHeight="1">
      <c r="B6" s="17"/>
      <c r="C6" s="18"/>
      <c r="D6" s="56"/>
      <c r="E6" s="56"/>
      <c r="F6" s="56"/>
      <c r="G6" s="56"/>
      <c r="H6" s="19"/>
      <c r="I6" s="56"/>
      <c r="J6" s="56"/>
      <c r="K6" s="74"/>
    </row>
    <row r="7" spans="2:11" ht="14.4" customHeight="1">
      <c r="B7" s="17"/>
      <c r="C7" s="18"/>
      <c r="D7" s="56"/>
      <c r="E7" s="56"/>
      <c r="F7" s="56"/>
      <c r="G7" s="56"/>
      <c r="H7" s="19"/>
      <c r="I7" s="56"/>
      <c r="J7" s="56"/>
      <c r="K7" s="74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5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65</v>
      </c>
      <c r="G9" s="34" t="s">
        <v>38</v>
      </c>
      <c r="H9" s="34" t="s">
        <v>66</v>
      </c>
      <c r="I9" s="33" t="s">
        <v>67</v>
      </c>
      <c r="J9" s="35" t="s">
        <v>76</v>
      </c>
      <c r="K9" s="35" t="s">
        <v>12</v>
      </c>
    </row>
    <row r="10" spans="2:11">
      <c r="B10" s="4" t="s">
        <v>95</v>
      </c>
      <c r="C10" s="36">
        <v>14000</v>
      </c>
      <c r="D10" s="2" t="s">
        <v>97</v>
      </c>
      <c r="E10" s="54" t="s">
        <v>22</v>
      </c>
      <c r="F10" s="54" t="s">
        <v>7</v>
      </c>
      <c r="G10" s="2" t="s">
        <v>5</v>
      </c>
      <c r="H10" s="54">
        <v>1</v>
      </c>
      <c r="I10" s="54">
        <f>Initialization!$C$10</f>
        <v>2</v>
      </c>
      <c r="J10" s="6">
        <v>1</v>
      </c>
      <c r="K10" s="5" t="s">
        <v>99</v>
      </c>
    </row>
    <row r="11" spans="2:11">
      <c r="B11" s="4" t="s">
        <v>96</v>
      </c>
      <c r="C11" s="36">
        <v>20340</v>
      </c>
      <c r="D11" s="2" t="s">
        <v>97</v>
      </c>
      <c r="E11" s="54" t="s">
        <v>22</v>
      </c>
      <c r="F11" s="54" t="s">
        <v>7</v>
      </c>
      <c r="G11" s="2" t="s">
        <v>5</v>
      </c>
      <c r="H11" s="54"/>
      <c r="I11" s="54">
        <f>Initialization!$C$10</f>
        <v>2</v>
      </c>
      <c r="J11" s="6">
        <v>1</v>
      </c>
      <c r="K11" s="5" t="s">
        <v>99</v>
      </c>
    </row>
    <row r="12" spans="2:11" ht="28.8">
      <c r="B12" s="4" t="s">
        <v>109</v>
      </c>
      <c r="C12" s="36">
        <v>29.370999999999999</v>
      </c>
      <c r="D12" s="2" t="s">
        <v>98</v>
      </c>
      <c r="E12" s="54" t="s">
        <v>22</v>
      </c>
      <c r="F12" s="54" t="s">
        <v>7</v>
      </c>
      <c r="G12" s="2" t="s">
        <v>5</v>
      </c>
      <c r="H12" s="54">
        <v>1</v>
      </c>
      <c r="I12" s="54">
        <f>Initialization!$C$10</f>
        <v>2</v>
      </c>
      <c r="J12" s="6">
        <v>1</v>
      </c>
      <c r="K12" s="52" t="s">
        <v>107</v>
      </c>
    </row>
    <row r="13" spans="2:11" ht="28.8">
      <c r="B13" s="4" t="s">
        <v>110</v>
      </c>
      <c r="C13" s="36">
        <v>29.129000000000001</v>
      </c>
      <c r="D13" s="2" t="s">
        <v>98</v>
      </c>
      <c r="E13" s="54" t="s">
        <v>22</v>
      </c>
      <c r="F13" s="54" t="s">
        <v>7</v>
      </c>
      <c r="G13" s="2" t="s">
        <v>5</v>
      </c>
      <c r="H13" s="54"/>
      <c r="I13" s="54">
        <f>Initialization!$C$10</f>
        <v>2</v>
      </c>
      <c r="J13" s="6">
        <v>1</v>
      </c>
      <c r="K13" s="52" t="s">
        <v>107</v>
      </c>
    </row>
    <row r="14" spans="2:11" ht="28.8">
      <c r="B14" s="55" t="s">
        <v>111</v>
      </c>
      <c r="C14" s="36">
        <v>21.056999999999999</v>
      </c>
      <c r="D14" s="2" t="s">
        <v>98</v>
      </c>
      <c r="E14" s="54" t="s">
        <v>22</v>
      </c>
      <c r="F14" s="54" t="s">
        <v>7</v>
      </c>
      <c r="G14" s="2" t="s">
        <v>5</v>
      </c>
      <c r="H14" s="54">
        <v>1</v>
      </c>
      <c r="I14" s="54">
        <f>Initialization!$C$10</f>
        <v>2</v>
      </c>
      <c r="J14" s="6">
        <v>1</v>
      </c>
      <c r="K14" s="52" t="s">
        <v>108</v>
      </c>
    </row>
    <row r="15" spans="2:11" ht="28.8">
      <c r="B15" s="55" t="s">
        <v>112</v>
      </c>
      <c r="C15" s="36">
        <v>20.815000000000001</v>
      </c>
      <c r="D15" s="2" t="s">
        <v>98</v>
      </c>
      <c r="E15" s="54" t="s">
        <v>22</v>
      </c>
      <c r="F15" s="54" t="s">
        <v>7</v>
      </c>
      <c r="G15" s="2" t="s">
        <v>5</v>
      </c>
      <c r="H15" s="54"/>
      <c r="I15" s="54">
        <f>Initialization!$C$10</f>
        <v>2</v>
      </c>
      <c r="J15" s="6">
        <v>1</v>
      </c>
      <c r="K15" s="52" t="s">
        <v>108</v>
      </c>
    </row>
    <row r="16" spans="2:11" ht="28.8">
      <c r="B16" s="55" t="s">
        <v>114</v>
      </c>
      <c r="C16" s="36">
        <v>1</v>
      </c>
      <c r="D16" s="38" t="s">
        <v>3</v>
      </c>
      <c r="E16" s="54" t="s">
        <v>22</v>
      </c>
      <c r="F16" s="54" t="s">
        <v>7</v>
      </c>
      <c r="G16" s="2" t="s">
        <v>5</v>
      </c>
      <c r="H16" s="54">
        <v>1</v>
      </c>
      <c r="I16" s="54">
        <f>Initialization!$C$10</f>
        <v>2</v>
      </c>
      <c r="J16" s="6">
        <v>1</v>
      </c>
      <c r="K16" s="5" t="s">
        <v>113</v>
      </c>
    </row>
    <row r="17" spans="2:11" ht="28.8">
      <c r="B17" s="55" t="s">
        <v>115</v>
      </c>
      <c r="C17" s="36">
        <v>1</v>
      </c>
      <c r="D17" s="38" t="s">
        <v>3</v>
      </c>
      <c r="E17" s="54" t="s">
        <v>22</v>
      </c>
      <c r="F17" s="54" t="s">
        <v>7</v>
      </c>
      <c r="G17" s="2" t="s">
        <v>5</v>
      </c>
      <c r="H17" s="54"/>
      <c r="I17" s="54">
        <f>Initialization!$C$10</f>
        <v>2</v>
      </c>
      <c r="J17" s="6">
        <v>1</v>
      </c>
      <c r="K17" s="5" t="s">
        <v>113</v>
      </c>
    </row>
    <row r="18" spans="2:11">
      <c r="B18" s="8" t="s">
        <v>80</v>
      </c>
      <c r="C18" s="37"/>
      <c r="D18" s="9"/>
      <c r="E18" s="10"/>
      <c r="F18" s="10"/>
      <c r="G18" s="9"/>
      <c r="H18" s="10">
        <v>1</v>
      </c>
      <c r="I18" s="10">
        <v>1</v>
      </c>
      <c r="J18" s="11">
        <v>0</v>
      </c>
      <c r="K18" s="12" t="s">
        <v>81</v>
      </c>
    </row>
  </sheetData>
  <sheetProtection algorithmName="SHA-512" hashValue="TriLQjIplxrW9HMlxv0bLIzQ5UtwL1/sU3gy9xgaCNko9nxkbF38uM7KyP2KBIsxFKJ3nWkN36IK1n2j9yN/SQ==" saltValue="LXldkFcx6szzNamzjPffNQ==" spinCount="100000" sheet="1" objects="1" scenarios="1" selectLockedCells="1"/>
  <mergeCells count="2">
    <mergeCell ref="B3:K3"/>
    <mergeCell ref="K4:K8"/>
  </mergeCells>
  <conditionalFormatting sqref="C18 C10 C16 C14 C12">
    <cfRule type="expression" dxfId="46" priority="31">
      <formula>IF(AND($C10&lt;&gt;"",$J10=0),1,0)</formula>
    </cfRule>
    <cfRule type="expression" dxfId="45" priority="32">
      <formula>IF($C10&lt;&gt;"",1,0)</formula>
    </cfRule>
    <cfRule type="expression" dxfId="44" priority="33">
      <formula>$J10=0</formula>
    </cfRule>
  </conditionalFormatting>
  <conditionalFormatting sqref="C10">
    <cfRule type="expression" dxfId="43" priority="28">
      <formula>IF(AND($C10&lt;&gt;"",$J10=0),1,0)</formula>
    </cfRule>
    <cfRule type="expression" dxfId="42" priority="29">
      <formula>IF($C10&lt;&gt;"",1,0)</formula>
    </cfRule>
    <cfRule type="expression" dxfId="41" priority="30">
      <formula>$J10=0</formula>
    </cfRule>
  </conditionalFormatting>
  <conditionalFormatting sqref="C17">
    <cfRule type="expression" dxfId="40" priority="22">
      <formula>IF(AND($C17&lt;&gt;"",$J17=0),1,0)</formula>
    </cfRule>
    <cfRule type="expression" dxfId="39" priority="23">
      <formula>IF($C17&lt;&gt;"",1,0)</formula>
    </cfRule>
    <cfRule type="expression" dxfId="38" priority="24">
      <formula>$J17=0</formula>
    </cfRule>
  </conditionalFormatting>
  <conditionalFormatting sqref="C15">
    <cfRule type="expression" dxfId="37" priority="19">
      <formula>IF(AND($C15&lt;&gt;"",$J15=0),1,0)</formula>
    </cfRule>
    <cfRule type="expression" dxfId="36" priority="20">
      <formula>IF($C15&lt;&gt;"",1,0)</formula>
    </cfRule>
    <cfRule type="expression" dxfId="35" priority="21">
      <formula>$J15=0</formula>
    </cfRule>
  </conditionalFormatting>
  <conditionalFormatting sqref="C13">
    <cfRule type="expression" dxfId="34" priority="16">
      <formula>IF(AND($C13&lt;&gt;"",$J13=0),1,0)</formula>
    </cfRule>
    <cfRule type="expression" dxfId="33" priority="17">
      <formula>IF($C13&lt;&gt;"",1,0)</formula>
    </cfRule>
    <cfRule type="expression" dxfId="32" priority="18">
      <formula>$J13=0</formula>
    </cfRule>
  </conditionalFormatting>
  <conditionalFormatting sqref="C11">
    <cfRule type="expression" dxfId="31" priority="13">
      <formula>IF(AND($C11&lt;&gt;"",$J11=0),1,0)</formula>
    </cfRule>
    <cfRule type="expression" dxfId="30" priority="14">
      <formula>IF($C11&lt;&gt;"",1,0)</formula>
    </cfRule>
    <cfRule type="expression" dxfId="29" priority="15">
      <formula>$J11=0</formula>
    </cfRule>
  </conditionalFormatting>
  <conditionalFormatting sqref="C11">
    <cfRule type="expression" dxfId="28" priority="1">
      <formula>IF(AND($C11&lt;&gt;"",$J11=0),1,0)</formula>
    </cfRule>
    <cfRule type="expression" dxfId="27" priority="2">
      <formula>IF($C11&lt;&gt;"",1,0)</formula>
    </cfRule>
    <cfRule type="expression" dxfId="26" priority="3">
      <formula>$J11=0</formula>
    </cfRule>
  </conditionalFormatting>
  <conditionalFormatting sqref="C17">
    <cfRule type="expression" dxfId="25" priority="10">
      <formula>IF(AND($C17&lt;&gt;"",$J17=0),1,0)</formula>
    </cfRule>
    <cfRule type="expression" dxfId="24" priority="11">
      <formula>IF($C17&lt;&gt;"",1,0)</formula>
    </cfRule>
    <cfRule type="expression" dxfId="23" priority="12">
      <formula>$J17=0</formula>
    </cfRule>
  </conditionalFormatting>
  <conditionalFormatting sqref="C15">
    <cfRule type="expression" dxfId="22" priority="7">
      <formula>IF(AND($C15&lt;&gt;"",$J15=0),1,0)</formula>
    </cfRule>
    <cfRule type="expression" dxfId="21" priority="8">
      <formula>IF($C15&lt;&gt;"",1,0)</formula>
    </cfRule>
    <cfRule type="expression" dxfId="20" priority="9">
      <formula>$J15=0</formula>
    </cfRule>
  </conditionalFormatting>
  <conditionalFormatting sqref="C13">
    <cfRule type="expression" dxfId="19" priority="4">
      <formula>IF(AND($C13&lt;&gt;"",$J13=0),1,0)</formula>
    </cfRule>
    <cfRule type="expression" dxfId="18" priority="5">
      <formula>IF($C13&lt;&gt;"",1,0)</formula>
    </cfRule>
    <cfRule type="expression" dxfId="17" priority="6">
      <formula>$J13=0</formula>
    </cfRule>
  </conditionalFormatting>
  <conditionalFormatting sqref="K4">
    <cfRule type="expression" dxfId="16" priority="485">
      <formula>IF(COUNTA($C$10:$C$18)&lt;&gt;COUNTIF($J$10:$J$18,1),1,0)</formula>
    </cfRule>
    <cfRule type="expression" dxfId="15" priority="486">
      <formula>IF(COUNTA($C$10:$C$18)=COUNTIF($J$10:$J$18,1),1,0)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G10:G18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E10:E18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F10:F18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defaultColWidth="0" defaultRowHeight="0" customHeight="1" zeroHeight="1"/>
  <cols>
    <col min="1" max="2" width="8.88671875" style="67" customWidth="1"/>
    <col min="3" max="3" width="13.109375" style="67" customWidth="1"/>
    <col min="4" max="4" width="13.44140625" style="67" customWidth="1"/>
    <col min="5" max="6" width="8.88671875" style="67" customWidth="1"/>
    <col min="7" max="7" width="14.77734375" style="67" customWidth="1"/>
    <col min="8" max="8" width="11.6640625" style="67" customWidth="1"/>
    <col min="9" max="9" width="10.33203125" style="67" customWidth="1"/>
    <col min="10" max="10" width="5.6640625" style="67" customWidth="1"/>
    <col min="11" max="11" width="10.5546875" style="67" customWidth="1"/>
    <col min="12" max="17" width="8.88671875" style="67" customWidth="1"/>
    <col min="18" max="16384" width="8.88671875" style="67" hidden="1"/>
  </cols>
  <sheetData>
    <row r="1" spans="1:17" ht="14.4">
      <c r="A1" s="64" t="str">
        <f>'[1]Revision History'!D4</f>
        <v>REV. NO.1 (6/8/2022)</v>
      </c>
      <c r="B1" s="65"/>
      <c r="C1" s="65"/>
      <c r="D1" s="65"/>
      <c r="E1" s="65"/>
      <c r="F1" s="65"/>
      <c r="G1" s="65"/>
      <c r="H1" s="65"/>
      <c r="I1" s="66"/>
      <c r="J1" s="66"/>
      <c r="K1" s="66"/>
      <c r="L1" s="66"/>
      <c r="M1" s="66"/>
      <c r="N1" s="66"/>
      <c r="O1" s="66"/>
      <c r="P1" s="66"/>
      <c r="Q1" s="66" t="str">
        <f>'[2]Revision History'!$J$4</f>
        <v>Scott Research Group (jkscottresearchgroup.com)</v>
      </c>
    </row>
    <row r="2" spans="1:17" ht="14.4">
      <c r="A2" s="76" t="s">
        <v>135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17" ht="14.4">
      <c r="A3" s="30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</row>
    <row r="4" spans="1:17" ht="14.4">
      <c r="A4" s="30"/>
      <c r="B4" s="68" t="s">
        <v>136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</row>
    <row r="5" spans="1:17" ht="14.4">
      <c r="A5" s="30"/>
      <c r="B5" s="68"/>
      <c r="C5" s="68" t="s">
        <v>100</v>
      </c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1:17" ht="14.4">
      <c r="A6" s="30"/>
      <c r="B6" s="68"/>
      <c r="C6" s="68"/>
      <c r="D6" s="51" t="s">
        <v>101</v>
      </c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</row>
    <row r="7" spans="1:17" ht="14.4">
      <c r="A7" s="30"/>
      <c r="B7" s="68"/>
      <c r="C7" s="68" t="s">
        <v>102</v>
      </c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</row>
    <row r="8" spans="1:17" ht="14.4">
      <c r="A8" s="30"/>
      <c r="B8" s="68"/>
      <c r="C8" s="68"/>
      <c r="D8" s="50" t="s">
        <v>103</v>
      </c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</row>
    <row r="9" spans="1:17" ht="14.4">
      <c r="A9" s="30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</row>
    <row r="10" spans="1:17" ht="14.4">
      <c r="A10" s="30"/>
      <c r="B10" s="68" t="s">
        <v>137</v>
      </c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</row>
    <row r="11" spans="1:17" ht="14.4">
      <c r="A11" s="30"/>
      <c r="B11" s="68"/>
      <c r="C11" s="68" t="s">
        <v>138</v>
      </c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</row>
    <row r="12" spans="1:17" ht="14.4">
      <c r="A12" s="30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</row>
    <row r="13" spans="1:17" ht="14.4">
      <c r="A13" s="30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</row>
    <row r="14" spans="1:17" ht="14.4">
      <c r="A14" s="30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</row>
    <row r="15" spans="1:17" ht="14.4">
      <c r="A15" s="30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</row>
    <row r="16" spans="1:17" ht="14.4">
      <c r="A16" s="30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</row>
    <row r="17" spans="1:17" ht="14.4">
      <c r="A17" s="30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</row>
    <row r="18" spans="1:17" ht="14.4">
      <c r="A18" s="30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</row>
    <row r="19" spans="1:17" ht="14.4">
      <c r="A19" s="30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</row>
    <row r="20" spans="1:17" ht="14.4">
      <c r="A20" s="30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</row>
    <row r="21" spans="1:17" ht="14.4">
      <c r="A21" s="30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</row>
    <row r="22" spans="1:17" ht="14.4">
      <c r="A22" s="30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</row>
    <row r="23" spans="1:17" ht="14.4">
      <c r="A23" s="30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</row>
    <row r="24" spans="1:17" ht="14.4">
      <c r="A24" s="30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</row>
    <row r="25" spans="1:17" ht="14.4">
      <c r="A25" s="30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</row>
    <row r="26" spans="1:17" ht="14.4">
      <c r="A26" s="30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</row>
    <row r="27" spans="1:17" ht="14.4">
      <c r="A27" s="30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</row>
    <row r="28" spans="1:17" ht="14.4">
      <c r="A28" s="30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</row>
    <row r="29" spans="1:17" ht="14.4">
      <c r="A29" s="30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</row>
    <row r="30" spans="1:17" ht="14.4">
      <c r="A30" s="30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</row>
    <row r="31" spans="1:17" ht="14.4">
      <c r="A31" s="30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</row>
    <row r="32" spans="1:17" ht="14.4">
      <c r="A32" s="30"/>
      <c r="B32" s="69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</row>
    <row r="33" spans="1:17" ht="14.4">
      <c r="A33" s="30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</row>
    <row r="34" spans="1:17" ht="14.4">
      <c r="A34" s="30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BCDE-CEB0-4BB0-9117-E571D994F35E}">
  <sheetPr codeName="Sheet2">
    <tabColor rgb="FF00B050"/>
  </sheetPr>
  <dimension ref="A1:AV52"/>
  <sheetViews>
    <sheetView showGridLines="0" zoomScale="85" zoomScaleNormal="85" zoomScaleSheetLayoutView="55" workbookViewId="0">
      <selection activeCell="A3" sqref="A3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4" t="str">
        <f>'[1]Revision History'!D4</f>
        <v>REV. NO.1 (6/8/2022)</v>
      </c>
      <c r="B1" s="65"/>
      <c r="C1" s="65"/>
      <c r="D1" s="65"/>
      <c r="E1" s="65"/>
      <c r="F1" s="65"/>
      <c r="G1" s="65"/>
      <c r="H1" s="65"/>
      <c r="I1" s="65"/>
      <c r="J1" s="66"/>
      <c r="K1" s="66"/>
      <c r="L1" s="66"/>
      <c r="M1" s="66"/>
      <c r="N1" s="66"/>
      <c r="O1" s="66"/>
      <c r="P1" s="66"/>
      <c r="Q1" s="66"/>
      <c r="R1" s="66" t="str">
        <f>'[2]Revision History'!$J$4</f>
        <v>Scott Research Group (jkscottresearchgroup.com)</v>
      </c>
    </row>
    <row r="2" spans="1:18">
      <c r="A2" s="28" t="s">
        <v>134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8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27"/>
    </row>
    <row r="4" spans="1:18">
      <c r="A4" s="30"/>
      <c r="B4" s="68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27"/>
    </row>
    <row r="5" spans="1:18">
      <c r="A5" s="30"/>
      <c r="B5" s="68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27"/>
    </row>
    <row r="6" spans="1:18">
      <c r="A6" s="30"/>
      <c r="B6" s="68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27"/>
    </row>
    <row r="7" spans="1:18">
      <c r="A7" s="30"/>
      <c r="B7" s="68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27"/>
    </row>
    <row r="8" spans="1:18">
      <c r="A8" s="30"/>
      <c r="B8" s="68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27"/>
    </row>
    <row r="9" spans="1:18">
      <c r="A9" s="30"/>
      <c r="B9" s="68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27"/>
    </row>
    <row r="10" spans="1:18">
      <c r="A10" s="30"/>
      <c r="B10" s="68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27"/>
    </row>
    <row r="11" spans="1:18">
      <c r="A11" s="30"/>
      <c r="B11" s="68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27"/>
    </row>
    <row r="12" spans="1:18">
      <c r="A12" s="30"/>
      <c r="B12" s="68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27"/>
    </row>
    <row r="13" spans="1:18">
      <c r="A13" s="30"/>
      <c r="B13" s="68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27"/>
    </row>
    <row r="14" spans="1:18">
      <c r="A14" s="30"/>
      <c r="B14" s="68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27"/>
    </row>
    <row r="15" spans="1:18">
      <c r="A15" s="30"/>
      <c r="B15" s="68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27"/>
    </row>
    <row r="16" spans="1:18">
      <c r="A16" s="30"/>
      <c r="B16" s="68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27"/>
    </row>
    <row r="17" spans="1:18">
      <c r="A17" s="30"/>
      <c r="B17" s="68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27"/>
    </row>
    <row r="18" spans="1:18">
      <c r="A18" s="30"/>
      <c r="B18" s="68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27"/>
    </row>
    <row r="19" spans="1:18">
      <c r="A19" s="30"/>
      <c r="B19" s="68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27"/>
    </row>
    <row r="20" spans="1:18">
      <c r="A20" s="30"/>
      <c r="B20" s="68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27"/>
    </row>
    <row r="21" spans="1:18">
      <c r="A21" s="30"/>
      <c r="B21" s="68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27"/>
    </row>
    <row r="22" spans="1:18">
      <c r="A22" s="30"/>
      <c r="B22" s="68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27"/>
    </row>
    <row r="23" spans="1:18">
      <c r="A23" s="30"/>
      <c r="B23" s="68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27"/>
    </row>
    <row r="24" spans="1:18">
      <c r="A24" s="30"/>
      <c r="B24" s="68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27"/>
    </row>
    <row r="25" spans="1:18">
      <c r="A25" s="30"/>
      <c r="B25" s="68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27"/>
    </row>
    <row r="26" spans="1:18">
      <c r="A26" s="30"/>
      <c r="B26" s="68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27"/>
    </row>
    <row r="27" spans="1:18">
      <c r="A27" s="30"/>
      <c r="B27" s="68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27"/>
    </row>
    <row r="28" spans="1:18">
      <c r="A28" s="30"/>
      <c r="B28" s="68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27"/>
    </row>
    <row r="29" spans="1:18">
      <c r="A29" s="30"/>
      <c r="B29" s="68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27"/>
    </row>
    <row r="30" spans="1:18">
      <c r="A30" s="30"/>
      <c r="B30" s="68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27"/>
    </row>
    <row r="31" spans="1:18">
      <c r="A31" s="30"/>
      <c r="B31" s="68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27"/>
    </row>
    <row r="32" spans="1:18">
      <c r="A32" s="30"/>
      <c r="B32" s="68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27"/>
    </row>
    <row r="33" spans="1:18">
      <c r="A33" s="30"/>
      <c r="B33" s="68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27"/>
    </row>
    <row r="34" spans="1:18">
      <c r="A34" s="30"/>
      <c r="B34" s="68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27"/>
    </row>
    <row r="35" spans="1:18">
      <c r="A35" s="30"/>
      <c r="B35" s="68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27"/>
    </row>
    <row r="36" spans="1:18">
      <c r="A36" s="30"/>
      <c r="B36" s="68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27"/>
    </row>
    <row r="37" spans="1:18">
      <c r="A37" s="30"/>
      <c r="B37" s="68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27"/>
    </row>
    <row r="38" spans="1:18">
      <c r="A38" s="30"/>
      <c r="B38" s="68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27"/>
    </row>
    <row r="39" spans="1:18">
      <c r="A39" s="30"/>
      <c r="B39" s="68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27"/>
    </row>
    <row r="40" spans="1:18">
      <c r="A40" s="30"/>
      <c r="B40" s="68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27"/>
    </row>
    <row r="41" spans="1:18">
      <c r="A41" s="30"/>
      <c r="B41" s="68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27"/>
    </row>
    <row r="42" spans="1:18">
      <c r="A42" s="30"/>
      <c r="B42" s="68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27"/>
    </row>
    <row r="43" spans="1:18">
      <c r="A43" s="30"/>
      <c r="B43" s="68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27"/>
    </row>
    <row r="44" spans="1:18">
      <c r="A44" s="30"/>
      <c r="B44" s="68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27"/>
    </row>
    <row r="45" spans="1:18">
      <c r="A45" s="30"/>
      <c r="B45" s="68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27"/>
    </row>
    <row r="46" spans="1:18">
      <c r="A46" s="30"/>
      <c r="B46" s="68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27"/>
    </row>
    <row r="47" spans="1:18">
      <c r="A47" s="30"/>
      <c r="B47" s="68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27"/>
    </row>
    <row r="48" spans="1:18">
      <c r="A48" s="30"/>
      <c r="B48" s="68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27"/>
    </row>
    <row r="49" spans="1:18">
      <c r="A49" s="30"/>
      <c r="B49" s="68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27"/>
    </row>
    <row r="50" spans="1:18">
      <c r="A50" s="30"/>
      <c r="B50" s="68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27"/>
    </row>
    <row r="51" spans="1:18">
      <c r="A51" s="30"/>
      <c r="B51" s="68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27"/>
    </row>
    <row r="52" spans="1:18">
      <c r="A52" s="30"/>
      <c r="B52" s="68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P2"/>
  <sheetViews>
    <sheetView workbookViewId="0">
      <selection activeCell="CR2" sqref="CR2"/>
    </sheetView>
  </sheetViews>
  <sheetFormatPr defaultRowHeight="14.4"/>
  <sheetData>
    <row r="1" spans="1:16">
      <c r="A1" t="s">
        <v>5</v>
      </c>
      <c r="B1" t="s">
        <v>62</v>
      </c>
      <c r="C1" t="s">
        <v>63</v>
      </c>
      <c r="D1" t="s">
        <v>80</v>
      </c>
      <c r="E1" t="s">
        <v>127</v>
      </c>
      <c r="F1" t="s">
        <v>130</v>
      </c>
      <c r="G1" t="s">
        <v>80</v>
      </c>
      <c r="H1" t="s">
        <v>95</v>
      </c>
      <c r="I1" t="s">
        <v>96</v>
      </c>
      <c r="J1" t="s">
        <v>109</v>
      </c>
      <c r="K1" t="s">
        <v>110</v>
      </c>
      <c r="L1" t="s">
        <v>111</v>
      </c>
      <c r="M1" t="s">
        <v>112</v>
      </c>
      <c r="N1" t="s">
        <v>114</v>
      </c>
      <c r="O1" t="s">
        <v>115</v>
      </c>
      <c r="P1" t="s">
        <v>80</v>
      </c>
    </row>
    <row r="2" spans="1:16">
      <c r="A2">
        <v>2</v>
      </c>
      <c r="B2" t="s">
        <v>70</v>
      </c>
      <c r="C2" t="s">
        <v>106</v>
      </c>
      <c r="E2">
        <v>16</v>
      </c>
      <c r="F2">
        <v>14</v>
      </c>
      <c r="H2">
        <v>14000</v>
      </c>
      <c r="I2">
        <v>20340</v>
      </c>
      <c r="J2">
        <v>29.370999999999999</v>
      </c>
      <c r="K2">
        <v>29.129000000000001</v>
      </c>
      <c r="L2">
        <v>21.056999999999999</v>
      </c>
      <c r="M2">
        <v>20.815000000000001</v>
      </c>
      <c r="N2">
        <v>1</v>
      </c>
      <c r="O2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P2"/>
  <sheetViews>
    <sheetView workbookViewId="0">
      <selection activeCell="CR2" sqref="CR2"/>
    </sheetView>
  </sheetViews>
  <sheetFormatPr defaultRowHeight="14.4"/>
  <sheetData>
    <row r="1" spans="1:16">
      <c r="A1" t="s">
        <v>5</v>
      </c>
      <c r="B1" t="s">
        <v>62</v>
      </c>
      <c r="C1" t="s">
        <v>63</v>
      </c>
      <c r="D1" t="s">
        <v>80</v>
      </c>
      <c r="E1" t="s">
        <v>127</v>
      </c>
      <c r="F1" t="s">
        <v>130</v>
      </c>
      <c r="G1" t="s">
        <v>80</v>
      </c>
      <c r="H1" t="s">
        <v>95</v>
      </c>
      <c r="I1" t="s">
        <v>96</v>
      </c>
      <c r="J1" t="s">
        <v>109</v>
      </c>
      <c r="K1" t="s">
        <v>110</v>
      </c>
      <c r="L1" t="s">
        <v>111</v>
      </c>
      <c r="M1" t="s">
        <v>112</v>
      </c>
      <c r="N1" t="s">
        <v>114</v>
      </c>
      <c r="O1" t="s">
        <v>115</v>
      </c>
      <c r="P1" t="s">
        <v>80</v>
      </c>
    </row>
    <row r="2" spans="1:16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PFD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2022-06-10T12:28:29Z</dcterms:modified>
</cp:coreProperties>
</file>