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0_settings\"/>
    </mc:Choice>
  </mc:AlternateContent>
  <xr:revisionPtr revIDLastSave="0" documentId="13_ncr:1_{33D7EDBE-0EA1-4806-8DD9-047FB2D01301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Plotting" sheetId="41" r:id="rId2"/>
    <sheet name="Help" sheetId="39" r:id="rId3"/>
    <sheet name="PFD" sheetId="40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1" hidden="1">Plotting!$B$9:$K$25</definedName>
    <definedName name="_xlnm.Print_Area" localSheetId="1">Plotting!$B$2:$K$25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1" l="1"/>
  <c r="K2" i="41"/>
  <c r="B2" i="41"/>
  <c r="R1" i="40" l="1"/>
  <c r="A1" i="40"/>
  <c r="Q1" i="39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H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<sst xmlns="http://schemas.openxmlformats.org/spreadsheetml/2006/main" count="253" uniqueCount="137">
  <si>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</si>
  <si>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</si>
  <si>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</si>
  <si>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</si>
  <si>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</si>
  <si>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</si>
  <si>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</si>
  <si>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</si>
  <si>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</si>
  <si>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</si>
  <si>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</si>
  <si>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</si>
  <si>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</si>
  <si>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</si>
  <si>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</si>
  <si>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</si>
  <si>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</si>
  <si>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</si>
  <si>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</si>
  <si>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</si>
  <si>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</si>
  <si>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</si>
  <si>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</si>
  <si>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</si>
  <si>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</si>
  <si>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</si>
  <si>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</si>
  <si>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</si>
  <si>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</si>
  <si>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</si>
  <si>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</si>
  <si>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</si>
  <si>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</si>
  <si>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</si>
  <si>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</si>
  <si>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</si>
  <si>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</si>
  <si>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</si>
  <si>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</si>
  <si>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</si>
  <si>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</si>
  <si>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</si>
  <si>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</si>
  <si>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</si>
  <si>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</si>
  <si>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</si>
  <si>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</si>
  <si>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</si>
  <si>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</si>
  <si>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</si>
  <si>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</si>
  <si>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</si>
  <si>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</si>
  <si>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</si>
  <si>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</si>
  <si>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</si>
  <si>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</si>
  <si>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</si>
  <si>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</si>
  <si>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</si>
  <si>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</si>
  <si>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</si>
  <si>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</si>
  <si>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</si>
  <si>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</si>
  <si>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</si>
  <si>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</si>
  <si>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</si>
  <si>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</si>
  <si>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</si>
  <si>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</si>
  <si>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</si>
  <si>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</si>
  <si>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</si>
  <si>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</si>
  <si>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</si>
  <si>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</si>
  <si>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</si>
  <si>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</si>
  <si>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</si>
  <si>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</si>
  <si>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</si>
  <si>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</si>
  <si>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</si>
  <si>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</si>
  <si>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</si>
  <si>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</si>
  <si>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</si>
  <si>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</si>
  <si>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</si>
  <si>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</si>
  <si>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</si>
  <si>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</si>
  <si>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</si>
  <si>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</si>
  <si>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</si>
  <si>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</si>
  <si>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</si>
  <si>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</si>
  <si>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</si>
  <si>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</si>
  <si>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</si>
  <si>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</si>
  <si>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</si>
  <si>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</si>
  <si>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</si>
  <si>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Pressure Swing Adsorption Process Flow Diagram (PFD)</t>
  </si>
  <si>
    <t>TBD</t>
  </si>
  <si>
    <t>Information on Simulation Outputs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</si>
  <si>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</si>
  <si>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</si>
  <si>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</si>
  <si>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</si>
  <si>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</si>
  <si>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</si>
  <si>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</si>
  <si>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</si>
  <si>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</si>
  <si>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</si>
  <si>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</si>
  <si>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</si>
  <si>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</si>
  <si>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</si>
  <si>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</si>
  <si>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</si>
  <si>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</si>
  <si>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</si>
  <si>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</si>
  <si>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</si>
  <si>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</si>
  <si>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</si>
  <si>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</si>
  <si>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</si>
  <si>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plot13</t>
  </si>
  <si>
    <t>DO NOT SPECIFY: RESERVED FOR FURTHER DEVELOPMENT</t>
  </si>
  <si>
    <t>plot14</t>
  </si>
  <si>
    <t>plot15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</si>
</sst>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0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80683</xdr:colOff>
      <xdr:row>4</xdr:row>
      <xdr:rowOff>0</xdr:rowOff>
    </xdr:from>
    <xdr:to>
      <xdr:col>5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B9:K25" totalsRowShown="0" headerRowDxfId="19" dataDxfId="17" headerRowBorderDxfId="18" tableBorderDxfId="16" totalsRowBorderDxfId="15">
  <autoFilter ref="B9:K25" xr:uid="{B089C5C3-2CCE-4800-96CA-2131BB6E3E4F}"/>
  <tableColumns count="10">
    <tableColumn id="1" xr3:uid="{F6E17BEC-F12D-40D0-ACA2-B808CFC18C4E}" name="Variable" dataDxfId="14"/>
    <tableColumn id="4" xr3:uid="{EDD76024-22A3-4A63-B27A-B1BCEE92E975}" name="Value" dataDxfId="13"/>
    <tableColumn id="5" xr3:uid="{56AA989B-DB70-415F-AD58-17DC5890E2B0}" name="Unit" dataDxfId="12"/>
    <tableColumn id="6" xr3:uid="{4FBFF315-7AA3-41B7-884D-FF1D837228ED}" name="Comparisons" dataDxfId="11"/>
    <tableColumn id="7" xr3:uid="{5C84CAEB-116E-4F77-8009-0436CAEA98CE}" name="Variable Type" dataDxfId="10"/>
    <tableColumn id="8" xr3:uid="{2D045F2E-F2D2-4AB6-AA74-BAE5062512AB}" name="Dependency" dataDxfId="9"/>
    <tableColumn id="12" xr3:uid="{F27852D9-9A22-47F8-BCF3-1955F2CA53DA}" name="Test 1" dataDxfId="8"/>
    <tableColumn id="10" xr3:uid="{33CD334F-8524-45F3-84C7-8DDF8DB0B87E}" name="Test 2" dataDxfId="7"/>
    <tableColumn id="2" xr3:uid="{7E3FCADF-3003-4FE0-A200-1AA73C1C88FA}" name="Test 3" dataDxfId="6"/>
    <tableColumn id="9" xr3:uid="{CFF3E391-76B6-4FD6-8ED9-568258D4704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83F5D399-4214-4728-8F26-41CC4D7ADDF3}">
    <text>place 1 if we want to keep the row when re-initializing. Otherwise, leave it as a blank.</text>
  </threadedComment>
  <threadedComment ref="I9" dT="2020-11-26T18:35:03.27" personId="{7F98AE94-13FB-49E1-9262-339C11E0EDB4}" id="{5E02F931-9F8D-49DB-A66F-2C4834CF33C5}">
    <text>supply a value greater than 1 if you want to duplicate the row</text>
  </threadedComment>
  <threadedComment ref="J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J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7" sqref="E7:G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886718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886718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47" t="s">
        <v>104</v>
      </c>
      <c r="E4" s="48"/>
      <c r="F4" s="49"/>
      <c r="G4" s="50"/>
      <c r="H4" s="50"/>
      <c r="I4" s="50"/>
      <c r="J4" s="39" t="s">
        <v>82</v>
      </c>
    </row>
    <row r="5" spans="4:10" ht="36">
      <c r="D5" s="67" t="s">
        <v>36</v>
      </c>
      <c r="E5" s="67"/>
      <c r="F5" s="67"/>
      <c r="G5" s="67"/>
      <c r="H5" s="67"/>
      <c r="I5" s="67"/>
      <c r="J5" s="67"/>
    </row>
    <row r="6" spans="4:10" ht="18">
      <c r="D6" s="46" t="s">
        <v>30</v>
      </c>
      <c r="E6" s="46" t="s">
        <v>103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36">
      <c r="D7" s="40">
        <v>1</v>
      </c>
      <c r="E7" s="51" t="s">
        <v>105</v>
      </c>
      <c r="F7" s="52">
        <v>44720</v>
      </c>
      <c r="G7" s="53" t="s">
        <v>37</v>
      </c>
      <c r="H7" s="40"/>
      <c r="I7" s="40"/>
      <c r="J7" s="41"/>
    </row>
    <row r="8" spans="4:10" ht="18">
      <c r="D8" s="40">
        <v>2</v>
      </c>
      <c r="E8" s="41"/>
      <c r="F8" s="42"/>
      <c r="G8" s="40"/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5"/>
  <sheetViews>
    <sheetView showGridLines="0" tabSelected="1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22" sqref="C22:C24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1:11">
      <c r="B2" s="27" t="str">
        <f>'Revision History'!$D$4</f>
        <v>REV. NO.1 (6/8/2022)</v>
      </c>
      <c r="C2" s="28"/>
      <c r="D2" s="28"/>
      <c r="E2" s="28"/>
      <c r="F2" s="28"/>
      <c r="G2" s="28"/>
      <c r="H2" s="28"/>
      <c r="I2" s="28"/>
      <c r="J2" s="28"/>
      <c r="K2" s="29" t="str">
        <f>'Revision History'!$J$4</f>
        <v>Scott Research Group (jkscottresearchgroup.com)</v>
      </c>
    </row>
    <row r="3" spans="1:11" ht="18">
      <c r="B3" s="68" t="s">
        <v>29</v>
      </c>
      <c r="C3" s="68"/>
      <c r="D3" s="68"/>
      <c r="E3" s="68"/>
      <c r="F3" s="68"/>
      <c r="G3" s="68"/>
      <c r="H3" s="68"/>
      <c r="I3" s="68"/>
      <c r="J3" s="68"/>
      <c r="K3" s="68"/>
    </row>
    <row r="4" spans="1:11" s="24" customFormat="1" ht="14.4" customHeight="1">
      <c r="A4" s="3"/>
      <c r="B4" s="13"/>
      <c r="C4" s="14"/>
      <c r="D4" s="15"/>
      <c r="E4" s="16"/>
      <c r="F4" s="16"/>
      <c r="G4" s="16"/>
      <c r="H4" s="16"/>
      <c r="I4" s="16"/>
      <c r="J4" s="16"/>
      <c r="K4" s="69" t="str">
        <f>IF(COUNTIF(Table162[Test 3],1)=COUNTA(Table162[Value]),"Ready","Not Ready")</f>
        <v>Ready</v>
      </c>
    </row>
    <row r="5" spans="1:11" s="25" customFormat="1" ht="14.4" customHeight="1">
      <c r="A5" s="3"/>
      <c r="B5" s="17"/>
      <c r="C5" s="18"/>
      <c r="D5" s="45"/>
      <c r="E5" s="45"/>
      <c r="F5" s="45"/>
      <c r="G5" s="45"/>
      <c r="H5" s="19"/>
      <c r="I5" s="45"/>
      <c r="J5" s="45"/>
      <c r="K5" s="70"/>
    </row>
    <row r="6" spans="1:11" s="25" customFormat="1" ht="14.4" customHeight="1">
      <c r="A6" s="3"/>
      <c r="B6" s="17"/>
      <c r="C6" s="18"/>
      <c r="D6" s="45"/>
      <c r="E6" s="45"/>
      <c r="F6" s="45"/>
      <c r="G6" s="45"/>
      <c r="H6" s="19"/>
      <c r="I6" s="45"/>
      <c r="J6" s="45"/>
      <c r="K6" s="70"/>
    </row>
    <row r="7" spans="1:11" s="25" customFormat="1" ht="14.4" customHeight="1">
      <c r="A7" s="3"/>
      <c r="B7" s="17"/>
      <c r="C7" s="18"/>
      <c r="D7" s="45"/>
      <c r="E7" s="45"/>
      <c r="F7" s="45"/>
      <c r="G7" s="45"/>
      <c r="H7" s="19"/>
      <c r="I7" s="45"/>
      <c r="J7" s="45"/>
      <c r="K7" s="70"/>
    </row>
    <row r="8" spans="1:11" s="26" customFormat="1" ht="14.4" customHeight="1">
      <c r="A8" s="3"/>
      <c r="B8" s="20"/>
      <c r="C8" s="21"/>
      <c r="D8" s="22"/>
      <c r="E8" s="22"/>
      <c r="F8" s="22"/>
      <c r="G8" s="22"/>
      <c r="H8" s="23"/>
      <c r="I8" s="22"/>
      <c r="J8" s="22"/>
      <c r="K8" s="71"/>
    </row>
    <row r="9" spans="1:11">
      <c r="B9" s="30" t="s">
        <v>0</v>
      </c>
      <c r="C9" s="31" t="s">
        <v>1</v>
      </c>
      <c r="D9" s="31" t="s">
        <v>2</v>
      </c>
      <c r="E9" s="31" t="s">
        <v>14</v>
      </c>
      <c r="F9" s="31" t="s">
        <v>62</v>
      </c>
      <c r="G9" s="32" t="s">
        <v>38</v>
      </c>
      <c r="H9" s="32" t="s">
        <v>63</v>
      </c>
      <c r="I9" s="31" t="s">
        <v>64</v>
      </c>
      <c r="J9" s="33" t="s">
        <v>71</v>
      </c>
      <c r="K9" s="33" t="s">
        <v>12</v>
      </c>
    </row>
    <row r="10" spans="1:11" ht="43.2">
      <c r="B10" s="4" t="s">
        <v>109</v>
      </c>
      <c r="C10" s="34">
        <v>1</v>
      </c>
      <c r="D10" s="2" t="s">
        <v>3</v>
      </c>
      <c r="E10" s="44" t="s">
        <v>57</v>
      </c>
      <c r="F10" s="44" t="s">
        <v>6</v>
      </c>
      <c r="G10" s="2" t="s">
        <v>39</v>
      </c>
      <c r="H10" s="44">
        <v>1</v>
      </c>
      <c r="I10" s="44">
        <v>1</v>
      </c>
      <c r="J10" s="6">
        <v>1</v>
      </c>
      <c r="K10" s="5" t="s">
        <v>110</v>
      </c>
    </row>
    <row r="11" spans="1:11" ht="43.2">
      <c r="B11" s="74" t="s">
        <v>111</v>
      </c>
      <c r="C11" s="34">
        <v>1</v>
      </c>
      <c r="D11" s="75" t="s">
        <v>3</v>
      </c>
      <c r="E11" s="44" t="s">
        <v>57</v>
      </c>
      <c r="F11" s="44" t="s">
        <v>6</v>
      </c>
      <c r="G11" s="2" t="s">
        <v>39</v>
      </c>
      <c r="H11" s="44">
        <v>1</v>
      </c>
      <c r="I11" s="44">
        <v>1</v>
      </c>
      <c r="J11" s="6">
        <v>1</v>
      </c>
      <c r="K11" s="5" t="s">
        <v>112</v>
      </c>
    </row>
    <row r="12" spans="1:11" ht="57.6">
      <c r="B12" s="74" t="s">
        <v>113</v>
      </c>
      <c r="C12" s="34">
        <v>1</v>
      </c>
      <c r="D12" s="75" t="s">
        <v>3</v>
      </c>
      <c r="E12" s="44" t="s">
        <v>57</v>
      </c>
      <c r="F12" s="44" t="s">
        <v>6</v>
      </c>
      <c r="G12" s="2" t="s">
        <v>39</v>
      </c>
      <c r="H12" s="44">
        <v>1</v>
      </c>
      <c r="I12" s="44">
        <v>1</v>
      </c>
      <c r="J12" s="6">
        <v>1</v>
      </c>
      <c r="K12" s="5" t="s">
        <v>114</v>
      </c>
    </row>
    <row r="13" spans="1:11" ht="57.6">
      <c r="B13" s="74" t="s">
        <v>115</v>
      </c>
      <c r="C13" s="34">
        <v>1</v>
      </c>
      <c r="D13" s="75" t="s">
        <v>3</v>
      </c>
      <c r="E13" s="44" t="s">
        <v>57</v>
      </c>
      <c r="F13" s="44" t="s">
        <v>6</v>
      </c>
      <c r="G13" s="2" t="s">
        <v>39</v>
      </c>
      <c r="H13" s="44">
        <v>1</v>
      </c>
      <c r="I13" s="44">
        <v>1</v>
      </c>
      <c r="J13" s="6">
        <v>1</v>
      </c>
      <c r="K13" s="5" t="s">
        <v>116</v>
      </c>
    </row>
    <row r="14" spans="1:11" ht="57.6">
      <c r="B14" s="74" t="s">
        <v>117</v>
      </c>
      <c r="C14" s="34">
        <v>1</v>
      </c>
      <c r="D14" s="75" t="s">
        <v>3</v>
      </c>
      <c r="E14" s="44" t="s">
        <v>57</v>
      </c>
      <c r="F14" s="44" t="s">
        <v>6</v>
      </c>
      <c r="G14" s="2" t="s">
        <v>39</v>
      </c>
      <c r="H14" s="44">
        <v>1</v>
      </c>
      <c r="I14" s="44">
        <v>1</v>
      </c>
      <c r="J14" s="6">
        <v>1</v>
      </c>
      <c r="K14" s="5" t="s">
        <v>118</v>
      </c>
    </row>
    <row r="15" spans="1:11" ht="43.2">
      <c r="B15" s="74" t="s">
        <v>119</v>
      </c>
      <c r="C15" s="34">
        <v>1</v>
      </c>
      <c r="D15" s="75" t="s">
        <v>3</v>
      </c>
      <c r="E15" s="44" t="s">
        <v>57</v>
      </c>
      <c r="F15" s="44" t="s">
        <v>6</v>
      </c>
      <c r="G15" s="2" t="s">
        <v>39</v>
      </c>
      <c r="H15" s="44">
        <v>1</v>
      </c>
      <c r="I15" s="44">
        <v>1</v>
      </c>
      <c r="J15" s="6">
        <v>1</v>
      </c>
      <c r="K15" s="5" t="s">
        <v>120</v>
      </c>
    </row>
    <row r="16" spans="1:11" ht="57.6">
      <c r="B16" s="74" t="s">
        <v>121</v>
      </c>
      <c r="C16" s="34">
        <v>1</v>
      </c>
      <c r="D16" s="75" t="s">
        <v>3</v>
      </c>
      <c r="E16" s="44" t="s">
        <v>57</v>
      </c>
      <c r="F16" s="44" t="s">
        <v>6</v>
      </c>
      <c r="G16" s="2" t="s">
        <v>39</v>
      </c>
      <c r="H16" s="44">
        <v>1</v>
      </c>
      <c r="I16" s="44">
        <v>1</v>
      </c>
      <c r="J16" s="6">
        <v>1</v>
      </c>
      <c r="K16" s="5" t="s">
        <v>122</v>
      </c>
    </row>
    <row r="17" spans="2:11" ht="28.8">
      <c r="B17" s="74" t="s">
        <v>123</v>
      </c>
      <c r="C17" s="34">
        <v>1</v>
      </c>
      <c r="D17" s="75" t="s">
        <v>3</v>
      </c>
      <c r="E17" s="44" t="s">
        <v>57</v>
      </c>
      <c r="F17" s="44" t="s">
        <v>6</v>
      </c>
      <c r="G17" s="2" t="s">
        <v>39</v>
      </c>
      <c r="H17" s="44">
        <v>1</v>
      </c>
      <c r="I17" s="44">
        <v>1</v>
      </c>
      <c r="J17" s="6">
        <v>1</v>
      </c>
      <c r="K17" s="5" t="s">
        <v>124</v>
      </c>
    </row>
    <row r="18" spans="2:11" ht="28.8">
      <c r="B18" s="74" t="s">
        <v>125</v>
      </c>
      <c r="C18" s="34">
        <v>1</v>
      </c>
      <c r="D18" s="75" t="s">
        <v>3</v>
      </c>
      <c r="E18" s="44" t="s">
        <v>57</v>
      </c>
      <c r="F18" s="44" t="s">
        <v>6</v>
      </c>
      <c r="G18" s="2" t="s">
        <v>39</v>
      </c>
      <c r="H18" s="44">
        <v>1</v>
      </c>
      <c r="I18" s="44">
        <v>1</v>
      </c>
      <c r="J18" s="6">
        <v>1</v>
      </c>
      <c r="K18" s="5" t="s">
        <v>126</v>
      </c>
    </row>
    <row r="19" spans="2:11" ht="28.8">
      <c r="B19" s="74" t="s">
        <v>127</v>
      </c>
      <c r="C19" s="34">
        <v>1</v>
      </c>
      <c r="D19" s="75" t="s">
        <v>3</v>
      </c>
      <c r="E19" s="44" t="s">
        <v>57</v>
      </c>
      <c r="F19" s="44" t="s">
        <v>6</v>
      </c>
      <c r="G19" s="2" t="s">
        <v>39</v>
      </c>
      <c r="H19" s="44">
        <v>1</v>
      </c>
      <c r="I19" s="44">
        <v>1</v>
      </c>
      <c r="J19" s="6">
        <v>1</v>
      </c>
      <c r="K19" s="5" t="s">
        <v>128</v>
      </c>
    </row>
    <row r="20" spans="2:11" ht="28.8">
      <c r="B20" s="74" t="s">
        <v>129</v>
      </c>
      <c r="C20" s="34">
        <v>1</v>
      </c>
      <c r="D20" s="75" t="s">
        <v>3</v>
      </c>
      <c r="E20" s="44" t="s">
        <v>57</v>
      </c>
      <c r="F20" s="44" t="s">
        <v>6</v>
      </c>
      <c r="G20" s="2" t="s">
        <v>39</v>
      </c>
      <c r="H20" s="44">
        <v>1</v>
      </c>
      <c r="I20" s="44">
        <v>1</v>
      </c>
      <c r="J20" s="6">
        <v>1</v>
      </c>
      <c r="K20" s="5" t="s">
        <v>130</v>
      </c>
    </row>
    <row r="21" spans="2:11" ht="28.8">
      <c r="B21" s="74" t="s">
        <v>131</v>
      </c>
      <c r="C21" s="34">
        <v>1</v>
      </c>
      <c r="D21" s="75" t="s">
        <v>3</v>
      </c>
      <c r="E21" s="44" t="s">
        <v>57</v>
      </c>
      <c r="F21" s="44" t="s">
        <v>6</v>
      </c>
      <c r="G21" s="2" t="s">
        <v>39</v>
      </c>
      <c r="H21" s="44">
        <v>1</v>
      </c>
      <c r="I21" s="44">
        <v>1</v>
      </c>
      <c r="J21" s="6">
        <v>1</v>
      </c>
      <c r="K21" s="5" t="s">
        <v>132</v>
      </c>
    </row>
    <row r="22" spans="2:11">
      <c r="B22" s="74" t="s">
        <v>133</v>
      </c>
      <c r="C22" s="34"/>
      <c r="D22" s="75" t="s">
        <v>3</v>
      </c>
      <c r="E22" s="44" t="s">
        <v>57</v>
      </c>
      <c r="F22" s="44" t="s">
        <v>6</v>
      </c>
      <c r="G22" s="2" t="s">
        <v>39</v>
      </c>
      <c r="H22" s="44">
        <v>1</v>
      </c>
      <c r="I22" s="44">
        <v>1</v>
      </c>
      <c r="J22" s="6">
        <v>0</v>
      </c>
      <c r="K22" s="5" t="s">
        <v>134</v>
      </c>
    </row>
    <row r="23" spans="2:11">
      <c r="B23" s="74" t="s">
        <v>135</v>
      </c>
      <c r="C23" s="34"/>
      <c r="D23" s="75" t="s">
        <v>3</v>
      </c>
      <c r="E23" s="44" t="s">
        <v>57</v>
      </c>
      <c r="F23" s="44" t="s">
        <v>6</v>
      </c>
      <c r="G23" s="2" t="s">
        <v>39</v>
      </c>
      <c r="H23" s="44">
        <v>1</v>
      </c>
      <c r="I23" s="44">
        <v>1</v>
      </c>
      <c r="J23" s="6">
        <v>0</v>
      </c>
      <c r="K23" s="5" t="s">
        <v>134</v>
      </c>
    </row>
    <row r="24" spans="2:11">
      <c r="B24" s="4" t="s">
        <v>136</v>
      </c>
      <c r="C24" s="34"/>
      <c r="D24" s="2" t="s">
        <v>3</v>
      </c>
      <c r="E24" s="44" t="s">
        <v>57</v>
      </c>
      <c r="F24" s="44" t="s">
        <v>6</v>
      </c>
      <c r="G24" s="2" t="s">
        <v>39</v>
      </c>
      <c r="H24" s="44">
        <v>1</v>
      </c>
      <c r="I24" s="44">
        <v>1</v>
      </c>
      <c r="J24" s="6">
        <v>0</v>
      </c>
      <c r="K24" s="5" t="s">
        <v>134</v>
      </c>
    </row>
    <row r="25" spans="2:11">
      <c r="B25" s="8" t="s">
        <v>75</v>
      </c>
      <c r="C25" s="35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76</v>
      </c>
    </row>
  </sheetData>
  <sheetProtection algorithmName="SHA-512" hashValue="V9o8aL6i2WsCGmVtNjk/gDAz5Xm9X6H/M98MaGGWHTiGBFH3sWY9uVkz/9e9eCMpcHAon7pg//oJ2fGEUfd+Sw==" saltValue="2ewpCi/6jGjqPNxoflL9Ww==" spinCount="100000" sheet="1" objects="1" scenarios="1" selectLockedCells="1"/>
  <mergeCells count="2">
    <mergeCell ref="B3:K3"/>
    <mergeCell ref="K4:K8"/>
  </mergeCells>
  <conditionalFormatting sqref="C10:C25">
    <cfRule type="expression" dxfId="4" priority="4">
      <formula>IF(AND($C10&lt;&gt;"",$J10=0),1,0)</formula>
    </cfRule>
    <cfRule type="expression" dxfId="3" priority="5">
      <formula>IF($C10&lt;&gt;"",1,0)</formula>
    </cfRule>
    <cfRule type="expression" dxfId="2" priority="6">
      <formula>$J10=0</formula>
    </cfRule>
  </conditionalFormatting>
  <conditionalFormatting sqref="K4">
    <cfRule type="expression" dxfId="1" priority="34">
      <formula>IF(COUNTA($C$10:$C$25)&lt;&gt;COUNTIF($J$10:$J$25,1),1,0)</formula>
    </cfRule>
    <cfRule type="expression" dxfId="0" priority="35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261A636-84C9-411E-8959-D19C6B8ACE0E}">
          <x14:formula1>
            <xm:f>Reference!$C$2:$C$23</xm:f>
          </x14:formula1>
          <xm:sqref>G10:G25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E10:E25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F10:F25</xm:sqref>
        </x14:dataValidation>
        <x14:dataValidation type="list" allowBlank="1" showInputMessage="1" showErrorMessage="1" xr:uid="{3F6CDBC0-F302-48A1-93D7-C6B89823234E}">
          <x14:formula1>
            <xm:f>Reference!$K$2:$K$4</xm:f>
          </x14:formula1>
          <xm:sqref>C10:C24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EEFDE-B389-4BBC-AE7D-A83FE18CC618}">
  <sheetPr codeName="Sheet18">
    <tabColor rgb="FF00B050"/>
  </sheetPr>
  <dimension ref="A1:Q149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A3" sqref="A3"/>
    </sheetView>
  </sheetViews>
  <sheetFormatPr defaultColWidth="0" defaultRowHeight="0" customHeight="1" zeroHeight="1"/>
  <cols>
    <col min="1" max="2" width="8.88671875" style="57" customWidth="1"/>
    <col min="3" max="3" width="13.109375" style="57" customWidth="1"/>
    <col min="4" max="4" width="13.44140625" style="57" customWidth="1"/>
    <col min="5" max="6" width="8.88671875" style="57" customWidth="1"/>
    <col min="7" max="7" width="14.77734375" style="57" customWidth="1"/>
    <col min="8" max="8" width="11.6640625" style="57" customWidth="1"/>
    <col min="9" max="9" width="10.33203125" style="57" customWidth="1"/>
    <col min="10" max="10" width="5.6640625" style="57" customWidth="1"/>
    <col min="11" max="11" width="10.5546875" style="57" customWidth="1"/>
    <col min="12" max="17" width="8.88671875" style="57" customWidth="1"/>
    <col min="18" max="16384" width="8.88671875" style="57" hidden="1"/>
  </cols>
  <sheetData>
    <row r="1" spans="1:17" ht="14.4">
      <c r="A1" s="54" t="str">
        <f>'[1]Revision History'!D4</f>
        <v>REV. NO.1 (6/8/2022)</v>
      </c>
      <c r="B1" s="55"/>
      <c r="C1" s="55"/>
      <c r="D1" s="55"/>
      <c r="E1" s="55"/>
      <c r="F1" s="55"/>
      <c r="G1" s="55"/>
      <c r="H1" s="55"/>
      <c r="I1" s="56"/>
      <c r="J1" s="56"/>
      <c r="K1" s="56"/>
      <c r="L1" s="56"/>
      <c r="M1" s="56"/>
      <c r="N1" s="56"/>
      <c r="O1" s="56"/>
      <c r="P1" s="56"/>
      <c r="Q1" s="56" t="str">
        <f>'[2]Revision History'!$J$4</f>
        <v>Scott Research Group (jkscottresearchgroup.com)</v>
      </c>
    </row>
    <row r="2" spans="1:17" ht="14.4">
      <c r="A2" s="72" t="s">
        <v>108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4.4">
      <c r="A3" s="58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</row>
    <row r="4" spans="1:17" ht="14.4">
      <c r="A4" s="58"/>
      <c r="B4" s="59" t="s">
        <v>107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</row>
    <row r="5" spans="1:17" ht="14.4">
      <c r="A5" s="58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</row>
    <row r="6" spans="1:17" ht="14.4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</row>
    <row r="7" spans="1:17" ht="14.4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</row>
    <row r="8" spans="1:17" ht="14.4">
      <c r="A8" s="58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</row>
    <row r="9" spans="1:17" ht="14.4">
      <c r="A9" s="58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</row>
    <row r="10" spans="1:17" ht="14.4">
      <c r="A10" s="58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</row>
    <row r="11" spans="1:17" ht="14.4">
      <c r="A11" s="58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</row>
    <row r="12" spans="1:17" ht="14.4">
      <c r="A12" s="58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</row>
    <row r="13" spans="1:17" ht="14.4">
      <c r="A13" s="58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</row>
    <row r="14" spans="1:17" ht="14.4">
      <c r="A14" s="58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</row>
    <row r="15" spans="1:17" ht="14.4">
      <c r="A15" s="58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</row>
    <row r="16" spans="1:17" ht="14.4">
      <c r="A16" s="58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</row>
    <row r="17" spans="1:17" ht="14.4">
      <c r="A17" s="58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</row>
    <row r="18" spans="1:17" ht="14.4">
      <c r="A18" s="58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 ht="14.4">
      <c r="A19" s="58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 ht="14.4">
      <c r="A20" s="58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 ht="14.4">
      <c r="A21" s="58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 ht="14.4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 ht="14.4">
      <c r="A23" s="58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 ht="14.4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 ht="14.4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 ht="14.4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 ht="14.4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 ht="14.4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 ht="14.4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 ht="14.4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ht="14.4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</row>
    <row r="32" spans="1:17" ht="14.4">
      <c r="A32" s="58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</row>
    <row r="33" spans="1:17" ht="14.4">
      <c r="A33" s="58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</row>
    <row r="34" spans="1:17" ht="14.4">
      <c r="A34" s="58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</row>
    <row r="49" s="57" customFormat="1" ht="0" hidden="1" customHeight="1"/>
    <row r="50" s="57" customFormat="1" ht="0" hidden="1" customHeight="1"/>
    <row r="51" s="57" customFormat="1" ht="0" hidden="1" customHeight="1"/>
    <row r="52" s="57" customFormat="1" ht="0" hidden="1" customHeight="1"/>
    <row r="53" s="57" customFormat="1" ht="0" hidden="1" customHeight="1"/>
    <row r="54" s="57" customFormat="1" ht="0" hidden="1" customHeight="1"/>
    <row r="55" s="57" customFormat="1" ht="0" hidden="1" customHeight="1"/>
    <row r="56" s="57" customFormat="1" ht="0" hidden="1" customHeight="1"/>
    <row r="57" s="57" customFormat="1" ht="0" hidden="1" customHeight="1"/>
    <row r="58" s="57" customFormat="1" ht="0" hidden="1" customHeight="1"/>
    <row r="59" s="57" customFormat="1" ht="0" hidden="1" customHeight="1"/>
    <row r="60" s="57" customFormat="1" ht="0" hidden="1" customHeight="1"/>
    <row r="61" s="57" customFormat="1" ht="0" hidden="1" customHeight="1"/>
    <row r="62" s="57" customFormat="1" ht="0" hidden="1" customHeight="1"/>
    <row r="63" s="57" customFormat="1" ht="0" hidden="1" customHeight="1"/>
    <row r="64" s="57" customFormat="1" ht="0" hidden="1" customHeight="1"/>
    <row r="65" s="57" customFormat="1" ht="0" hidden="1" customHeight="1"/>
    <row r="66" s="57" customFormat="1" ht="0" hidden="1" customHeight="1"/>
    <row r="67" s="57" customFormat="1" ht="0" hidden="1" customHeight="1"/>
    <row r="68" s="57" customFormat="1" ht="0" hidden="1" customHeight="1"/>
    <row r="69" s="57" customFormat="1" ht="0" hidden="1" customHeight="1"/>
    <row r="70" s="57" customFormat="1" ht="0" hidden="1" customHeight="1"/>
    <row r="71" s="57" customFormat="1" ht="0" hidden="1" customHeight="1"/>
    <row r="72" s="57" customFormat="1" ht="0" hidden="1" customHeight="1"/>
    <row r="73" s="57" customFormat="1" ht="0" hidden="1" customHeight="1"/>
    <row r="74" s="57" customFormat="1" ht="0" hidden="1" customHeight="1"/>
    <row r="75" s="57" customFormat="1" ht="0" hidden="1" customHeight="1"/>
    <row r="76" s="57" customFormat="1" ht="0" hidden="1" customHeight="1"/>
    <row r="77" s="57" customFormat="1" ht="0" hidden="1" customHeight="1"/>
    <row r="78" s="57" customFormat="1" ht="0" hidden="1" customHeight="1"/>
    <row r="79" s="57" customFormat="1" ht="0" hidden="1" customHeight="1"/>
    <row r="80" s="57" customFormat="1" ht="0" hidden="1" customHeight="1"/>
    <row r="81" s="57" customFormat="1" ht="0" hidden="1" customHeight="1"/>
    <row r="82" s="57" customFormat="1" ht="0" hidden="1" customHeight="1"/>
    <row r="83" s="57" customFormat="1" ht="0" hidden="1" customHeight="1"/>
    <row r="84" s="57" customFormat="1" ht="0" hidden="1" customHeight="1"/>
    <row r="85" s="57" customFormat="1" ht="0" hidden="1" customHeight="1"/>
    <row r="86" s="57" customFormat="1" ht="0" hidden="1" customHeight="1"/>
    <row r="87" s="57" customFormat="1" ht="0" hidden="1" customHeight="1"/>
    <row r="88" s="57" customFormat="1" ht="0" hidden="1" customHeight="1"/>
    <row r="89" s="57" customFormat="1" ht="0" hidden="1" customHeight="1"/>
    <row r="90" s="57" customFormat="1" ht="0" hidden="1" customHeight="1"/>
    <row r="91" s="57" customFormat="1" ht="0" hidden="1" customHeight="1"/>
    <row r="92" s="57" customFormat="1" ht="0" hidden="1" customHeight="1"/>
    <row r="93" s="57" customFormat="1" ht="0" hidden="1" customHeight="1"/>
    <row r="94" s="57" customFormat="1" ht="0" hidden="1" customHeight="1"/>
    <row r="95" s="57" customFormat="1" ht="0" hidden="1" customHeight="1"/>
    <row r="96" s="57" customFormat="1" ht="0" hidden="1" customHeight="1"/>
    <row r="97" s="57" customFormat="1" ht="0" hidden="1" customHeight="1"/>
    <row r="98" s="57" customFormat="1" ht="0" hidden="1" customHeight="1"/>
    <row r="99" s="57" customFormat="1" ht="0" hidden="1" customHeight="1"/>
    <row r="100" s="57" customFormat="1" ht="0" hidden="1" customHeight="1"/>
    <row r="101" s="57" customFormat="1" ht="0" hidden="1" customHeight="1"/>
    <row r="102" s="57" customFormat="1" ht="0" hidden="1" customHeight="1"/>
    <row r="103" s="57" customFormat="1" ht="0" hidden="1" customHeight="1"/>
    <row r="104" s="57" customFormat="1" ht="0" hidden="1" customHeight="1"/>
    <row r="105" s="57" customFormat="1" ht="0" hidden="1" customHeight="1"/>
    <row r="106" s="57" customFormat="1" ht="0" hidden="1" customHeight="1"/>
    <row r="107" s="57" customFormat="1" ht="0" hidden="1" customHeight="1"/>
    <row r="108" s="57" customFormat="1" ht="0" hidden="1" customHeight="1"/>
    <row r="109" s="57" customFormat="1" ht="0" hidden="1" customHeight="1"/>
    <row r="110" s="57" customFormat="1" ht="0" hidden="1" customHeight="1"/>
    <row r="111" s="57" customFormat="1" ht="0" hidden="1" customHeight="1"/>
    <row r="112" s="57" customFormat="1" ht="0" hidden="1" customHeight="1"/>
    <row r="113" s="57" customFormat="1" ht="0" hidden="1" customHeight="1"/>
    <row r="114" s="57" customFormat="1" ht="0" hidden="1" customHeight="1"/>
    <row r="115" s="57" customFormat="1" ht="0" hidden="1" customHeight="1"/>
    <row r="116" s="57" customFormat="1" ht="0" hidden="1" customHeight="1"/>
    <row r="117" s="57" customFormat="1" ht="0" hidden="1" customHeight="1"/>
    <row r="118" s="57" customFormat="1" ht="0" hidden="1" customHeight="1"/>
    <row r="119" s="57" customFormat="1" ht="0" hidden="1" customHeight="1"/>
    <row r="120" s="57" customFormat="1" ht="0" hidden="1" customHeight="1"/>
    <row r="121" s="57" customFormat="1" ht="0" hidden="1" customHeight="1"/>
    <row r="122" s="57" customFormat="1" ht="0" hidden="1" customHeight="1"/>
    <row r="123" s="57" customFormat="1" ht="0" hidden="1" customHeight="1"/>
    <row r="124" s="57" customFormat="1" ht="0" hidden="1" customHeight="1"/>
    <row r="125" s="57" customFormat="1" ht="0" hidden="1" customHeight="1"/>
    <row r="126" s="57" customFormat="1" ht="0" hidden="1" customHeight="1"/>
    <row r="127" s="57" customFormat="1" ht="0" hidden="1" customHeight="1"/>
    <row r="128" s="57" customFormat="1" ht="0" hidden="1" customHeight="1"/>
    <row r="129" s="57" customFormat="1" ht="0" hidden="1" customHeight="1"/>
    <row r="130" s="57" customFormat="1" ht="0" hidden="1" customHeight="1"/>
    <row r="131" s="57" customFormat="1" ht="0" hidden="1" customHeight="1"/>
    <row r="132" s="57" customFormat="1" ht="0" hidden="1" customHeight="1"/>
    <row r="133" s="57" customFormat="1" ht="0" hidden="1" customHeight="1"/>
    <row r="134" s="57" customFormat="1" ht="0" hidden="1" customHeight="1"/>
    <row r="135" s="57" customFormat="1" ht="0" hidden="1" customHeight="1"/>
    <row r="136" s="57" customFormat="1" ht="0" hidden="1" customHeight="1"/>
    <row r="137" s="57" customFormat="1" ht="0" hidden="1" customHeight="1"/>
    <row r="138" s="57" customFormat="1" ht="0" hidden="1" customHeight="1"/>
    <row r="139" s="57" customFormat="1" ht="0" hidden="1" customHeight="1"/>
    <row r="140" s="57" customFormat="1" ht="0" hidden="1" customHeight="1"/>
    <row r="141" s="57" customFormat="1" ht="0" hidden="1" customHeight="1"/>
    <row r="142" s="57" customFormat="1" ht="0" hidden="1" customHeight="1"/>
    <row r="143" s="57" customFormat="1" ht="0" hidden="1" customHeight="1"/>
    <row r="144" s="57" customFormat="1" ht="0" hidden="1" customHeight="1"/>
    <row r="145" s="57" customFormat="1" ht="0" hidden="1" customHeight="1"/>
    <row r="146" s="57" customFormat="1" ht="0" hidden="1" customHeight="1"/>
    <row r="147" s="57" customFormat="1" ht="0" hidden="1" customHeight="1"/>
    <row r="148" s="57" customFormat="1" ht="0" hidden="1" customHeight="1"/>
    <row r="149" s="57" customFormat="1" ht="0" hidden="1" customHeight="1"/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9504-5CFE-4A65-9010-C4DD2D41E413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60" customWidth="1"/>
    <col min="19" max="48" width="0" style="60" hidden="1" customWidth="1"/>
    <col min="49" max="16384" width="8.88671875" style="60" hidden="1"/>
  </cols>
  <sheetData>
    <row r="1" spans="1:18">
      <c r="A1" s="54" t="str">
        <f>'[1]Revision History'!D4</f>
        <v>REV. NO.1 (6/8/2022)</v>
      </c>
      <c r="B1" s="55"/>
      <c r="C1" s="55"/>
      <c r="D1" s="55"/>
      <c r="E1" s="55"/>
      <c r="F1" s="55"/>
      <c r="G1" s="55"/>
      <c r="H1" s="55"/>
      <c r="I1" s="55"/>
      <c r="J1" s="56"/>
      <c r="K1" s="56"/>
      <c r="L1" s="56"/>
      <c r="M1" s="56"/>
      <c r="N1" s="56"/>
      <c r="O1" s="56"/>
      <c r="P1" s="56"/>
      <c r="Q1" s="56"/>
      <c r="R1" s="56" t="str">
        <f>'[2]Revision History'!$J$4</f>
        <v>Scott Research Group (jkscottresearchgroup.com)</v>
      </c>
    </row>
    <row r="2" spans="1:18">
      <c r="A2" s="61" t="s">
        <v>106</v>
      </c>
      <c r="B2" s="62"/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4"/>
    </row>
    <row r="3" spans="1:18">
      <c r="A3" s="58"/>
      <c r="B3" s="59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6"/>
    </row>
    <row r="4" spans="1:18">
      <c r="A4" s="58"/>
      <c r="B4" s="59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>
      <c r="A5" s="58"/>
      <c r="B5" s="59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6"/>
    </row>
    <row r="6" spans="1:18">
      <c r="A6" s="58"/>
      <c r="B6" s="59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6"/>
    </row>
    <row r="7" spans="1:18">
      <c r="A7" s="58"/>
      <c r="B7" s="59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>
      <c r="A8" s="58"/>
      <c r="B8" s="59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18">
      <c r="A9" s="58"/>
      <c r="B9" s="59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6"/>
    </row>
    <row r="10" spans="1:18">
      <c r="A10" s="58"/>
      <c r="B10" s="59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</row>
    <row r="11" spans="1:18">
      <c r="A11" s="58"/>
      <c r="B11" s="59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6"/>
    </row>
    <row r="12" spans="1:18">
      <c r="A12" s="58"/>
      <c r="B12" s="59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6"/>
    </row>
    <row r="13" spans="1:18">
      <c r="A13" s="58"/>
      <c r="B13" s="59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6"/>
    </row>
    <row r="14" spans="1:18">
      <c r="A14" s="58"/>
      <c r="B14" s="59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6"/>
    </row>
    <row r="15" spans="1:18">
      <c r="A15" s="58"/>
      <c r="B15" s="59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</row>
    <row r="16" spans="1:18">
      <c r="A16" s="58"/>
      <c r="B16" s="59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6"/>
    </row>
    <row r="17" spans="1:18">
      <c r="A17" s="58"/>
      <c r="B17" s="59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6"/>
    </row>
    <row r="18" spans="1:18">
      <c r="A18" s="58"/>
      <c r="B18" s="59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6"/>
    </row>
    <row r="19" spans="1:18">
      <c r="A19" s="58"/>
      <c r="B19" s="59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6"/>
    </row>
    <row r="20" spans="1:18">
      <c r="A20" s="58"/>
      <c r="B20" s="59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</row>
    <row r="21" spans="1:18">
      <c r="A21" s="58"/>
      <c r="B21" s="59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6"/>
    </row>
    <row r="22" spans="1:18">
      <c r="A22" s="58"/>
      <c r="B22" s="59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6"/>
    </row>
    <row r="23" spans="1:18">
      <c r="A23" s="58"/>
      <c r="B23" s="59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6"/>
    </row>
    <row r="24" spans="1:18">
      <c r="A24" s="58"/>
      <c r="B24" s="59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6"/>
    </row>
    <row r="25" spans="1:18">
      <c r="A25" s="58"/>
      <c r="B25" s="59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6"/>
    </row>
    <row r="26" spans="1:18">
      <c r="A26" s="58"/>
      <c r="B26" s="59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6"/>
    </row>
    <row r="27" spans="1:18">
      <c r="A27" s="58"/>
      <c r="B27" s="59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6"/>
    </row>
    <row r="28" spans="1:18">
      <c r="A28" s="58"/>
      <c r="B28" s="59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6"/>
    </row>
    <row r="29" spans="1:18">
      <c r="A29" s="58"/>
      <c r="B29" s="59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6"/>
    </row>
    <row r="30" spans="1:18">
      <c r="A30" s="58"/>
      <c r="B30" s="59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6"/>
    </row>
    <row r="31" spans="1:18">
      <c r="A31" s="58"/>
      <c r="B31" s="59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6"/>
    </row>
    <row r="32" spans="1:18">
      <c r="A32" s="58"/>
      <c r="B32" s="59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spans="1:18">
      <c r="A33" s="58"/>
      <c r="B33" s="59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6"/>
    </row>
    <row r="34" spans="1:18">
      <c r="A34" s="58"/>
      <c r="B34" s="59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6"/>
    </row>
    <row r="35" spans="1:18">
      <c r="A35" s="58"/>
      <c r="B35" s="59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  <row r="36" spans="1:18">
      <c r="A36" s="58"/>
      <c r="B36" s="59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6"/>
    </row>
    <row r="37" spans="1:18">
      <c r="A37" s="58"/>
      <c r="B37" s="59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6"/>
    </row>
    <row r="38" spans="1:18">
      <c r="A38" s="58"/>
      <c r="B38" s="59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6"/>
    </row>
    <row r="39" spans="1:18">
      <c r="A39" s="58"/>
      <c r="B39" s="59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18">
      <c r="A40" s="58"/>
      <c r="B40" s="59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</row>
    <row r="41" spans="1:18">
      <c r="A41" s="58"/>
      <c r="B41" s="59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6"/>
    </row>
    <row r="42" spans="1:18">
      <c r="A42" s="58"/>
      <c r="B42" s="59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6"/>
    </row>
    <row r="43" spans="1:18">
      <c r="A43" s="58"/>
      <c r="B43" s="59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6"/>
    </row>
    <row r="44" spans="1:18">
      <c r="A44" s="58"/>
      <c r="B44" s="59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6"/>
    </row>
    <row r="45" spans="1:18">
      <c r="A45" s="58"/>
      <c r="B45" s="59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6"/>
    </row>
    <row r="46" spans="1:18">
      <c r="A46" s="58"/>
      <c r="B46" s="59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6"/>
    </row>
    <row r="47" spans="1:18">
      <c r="A47" s="58"/>
      <c r="B47" s="59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/>
    </row>
    <row r="48" spans="1:18">
      <c r="A48" s="58"/>
      <c r="B48" s="59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6"/>
    </row>
    <row r="49" spans="1:18">
      <c r="A49" s="58"/>
      <c r="B49" s="59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/>
    </row>
    <row r="50" spans="1:18">
      <c r="A50" s="58"/>
      <c r="B50" s="59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6"/>
    </row>
    <row r="51" spans="1:18">
      <c r="A51" s="58"/>
      <c r="B51" s="59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6"/>
    </row>
    <row r="52" spans="1:18">
      <c r="A52" s="58"/>
      <c r="B52" s="59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6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topLeftCell="CF1" workbookViewId="0">
      <selection activeCell="CM2" sqref="CM2"/>
    </sheetView>
  </sheetViews>
  <sheetFormatPr defaultRowHeight="14.4"/>
  <sheetData>
    <row r="1" spans="1:16">
      <c r="A1" t="s">
        <v>109</v>
      </c>
      <c r="B1" t="s">
        <v>111</v>
      </c>
      <c r="C1" t="s">
        <v>113</v>
      </c>
      <c r="D1" t="s">
        <v>115</v>
      </c>
      <c r="E1" t="s">
        <v>117</v>
      </c>
      <c r="F1" t="s">
        <v>119</v>
      </c>
      <c r="G1" t="s">
        <v>121</v>
      </c>
      <c r="H1" t="s">
        <v>123</v>
      </c>
      <c r="I1" t="s">
        <v>125</v>
      </c>
      <c r="J1" t="s">
        <v>127</v>
      </c>
      <c r="K1" t="s">
        <v>129</v>
      </c>
      <c r="L1" t="s">
        <v>131</v>
      </c>
      <c r="M1" t="s">
        <v>133</v>
      </c>
      <c r="N1" t="s">
        <v>135</v>
      </c>
      <c r="O1" t="s">
        <v>136</v>
      </c>
      <c r="P1" t="s">
        <v>75</v>
      </c>
    </row>
    <row r="2" spans="1:16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topLeftCell="CC1" workbookViewId="0">
      <selection activeCell="CR2" sqref="CR2"/>
    </sheetView>
  </sheetViews>
  <sheetFormatPr defaultRowHeight="14.4"/>
  <sheetData>
    <row r="1" spans="1:16">
      <c r="A1" t="s">
        <v>109</v>
      </c>
      <c r="B1" t="s">
        <v>111</v>
      </c>
      <c r="C1" t="s">
        <v>113</v>
      </c>
      <c r="D1" t="s">
        <v>115</v>
      </c>
      <c r="E1" t="s">
        <v>117</v>
      </c>
      <c r="F1" t="s">
        <v>119</v>
      </c>
      <c r="G1" t="s">
        <v>121</v>
      </c>
      <c r="H1" t="s">
        <v>123</v>
      </c>
      <c r="I1" t="s">
        <v>125</v>
      </c>
      <c r="J1" t="s">
        <v>127</v>
      </c>
      <c r="K1" t="s">
        <v>129</v>
      </c>
      <c r="L1" t="s">
        <v>131</v>
      </c>
      <c r="M1" t="s">
        <v>133</v>
      </c>
      <c r="N1" t="s">
        <v>135</v>
      </c>
      <c r="O1" t="s">
        <v>136</v>
      </c>
      <c r="P1" t="s">
        <v>75</v>
      </c>
    </row>
    <row r="2" spans="1:16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Plotting</vt:lpstr>
      <vt:lpstr>Help</vt:lpstr>
      <vt:lpstr>PFD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2022-06-09T23:28:32Z</dcterms:modified>
</cp:coreProperties>
</file>