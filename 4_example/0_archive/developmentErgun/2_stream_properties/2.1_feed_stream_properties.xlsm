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2_stream_properties\"/>
    </mc:Choice>
  </mc:AlternateContent>
  <xr:revisionPtr revIDLastSave="0" documentId="13_ncr:1_{6B2A5C3A-2028-4619-AC3C-C2FC45A8AF8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Stream Properties" sheetId="39" r:id="rId4"/>
    <sheet name="Help" sheetId="41" r:id="rId5"/>
    <sheet name="PFD" sheetId="4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Initialization!$B$9:$K$10</definedName>
    <definedName name="_xlnm._FilterDatabase" localSheetId="3" hidden="1">'Stream Properties'!$B$9:$K$10</definedName>
    <definedName name="_xlnm.Print_Area" localSheetId="2">Initialization!$B$2:$K$11</definedName>
    <definedName name="_xlnm.Print_Area" localSheetId="0">'Revision History'!$C$3:$K$51</definedName>
    <definedName name="_xlnm.Print_Area" localSheetId="3">'Stream Properties'!$B$2:$K$15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39" l="1"/>
  <c r="I11" i="39"/>
  <c r="R1" i="42"/>
  <c r="A1" i="42"/>
  <c r="Q1" i="41"/>
  <c r="A1" i="41"/>
  <c r="K4" i="40"/>
  <c r="K2" i="40"/>
  <c r="B2" i="40"/>
  <c r="C12" i="39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<sst xmlns="http://schemas.openxmlformats.org/spreadsheetml/2006/main" count="202" uniqueCount="128">
  <si>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</si>
  <si>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</si>
  <si>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</si>
  <si>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</si>
  <si>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</si>
  <si>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</si>
  <si>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</si>
  <si>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</si>
  <si>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</si>
  <si>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</si>
  <si>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</si>
  <si>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</si>
  <si>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</si>
  <si>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</si>
  <si>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</si>
  <si>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</si>
  <si>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</si>
  <si>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</si>
  <si>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</si>
  <si>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</si>
  <si>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</si>
  <si>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</si>
  <si>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</si>
  <si>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</si>
  <si>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</si>
  <si>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</si>
  <si>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</si>
  <si>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</si>
  <si>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</si>
  <si>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</si>
  <si>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</si>
  <si>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</si>
  <si>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</si>
  <si>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</si>
  <si>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</si>
  <si>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</si>
  <si>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</si>
  <si>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</si>
  <si>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</si>
  <si>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</si>
  <si>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</si>
  <si>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</si>
  <si>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</si>
  <si>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</si>
  <si>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</si>
  <si>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</si>
  <si>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</si>
  <si>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</si>
  <si>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</si>
  <si>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</si>
  <si>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</si>
  <si>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</si>
  <si>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</si>
  <si>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</si>
  <si>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</si>
  <si>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</si>
  <si>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</si>
  <si>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</si>
  <si>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</si>
  <si>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</si>
  <si>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</si>
  <si>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</si>
  <si>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</si>
  <si>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</si>
  <si>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</si>
  <si>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</si>
  <si>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The number of components to be modeled in the system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</si>
  <si>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</si>
  <si>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</si>
  <si>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</si>
  <si>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</si>
  <si>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</si>
  <si>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</si>
  <si>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</si>
  <si>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</si>
  <si>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</si>
  <si>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</si>
  <si>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</si>
  <si>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</si>
  <si>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</si>
  <si>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</si>
  <si>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</si>
  <si>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</si>
  <si>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</si>
  <si>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</si>
  <si>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</si>
  <si>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</si>
  <si>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</si>
  <si>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</si>
  <si>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</si>
  <si>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</si>
  <si>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</si>
  <si>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</si>
  <si>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feed mole fraction of ith component at a high pressure; the first component is the light key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</si>
  <si>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</si>
  <si>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</si>
  <si>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</si>
  <si>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</si>
  <si>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</si>
  <si>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</si>
  <si>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</si>
  <si>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</si>
  <si>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</si>
  <si>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</si>
  <si>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</si>
  <si>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</si>
  <si>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</si>
  <si>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</si>
  <si>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</si>
  <si>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</si>
  <si>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</si>
  <si>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</si>
  <si>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</si>
  <si>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Feed stream temperature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</si>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</sst>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4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4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4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1" totalsRowShown="0" headerRowDxfId="39" dataDxfId="37" headerRowBorderDxfId="38" tableBorderDxfId="36" totalsRowBorderDxfId="35">
  <autoFilter ref="B9:K11" xr:uid="{B089C5C3-2CCE-4800-96CA-2131BB6E3E4F}"/>
  <tableColumns count="10">
    <tableColumn id="1" xr3:uid="{F0083DBC-BA3F-499A-AB41-58DC14E7EC9B}" name="Variable" dataDxfId="34"/>
    <tableColumn id="4" xr3:uid="{2D9C78CB-0A98-4E06-A17A-328F6643A2AB}" name="Value" dataDxfId="33"/>
    <tableColumn id="5" xr3:uid="{2D40A785-0BF0-4D20-A6A3-606AF3EAEA1D}" name="Unit" dataDxfId="32"/>
    <tableColumn id="6" xr3:uid="{47E47CE1-84EE-4BBF-AF16-7CD09E32C8D5}" name="Comparisons" dataDxfId="31"/>
    <tableColumn id="7" xr3:uid="{1E01755C-F10B-47AF-87D2-261FE9E5C304}" name="Variable Type" dataDxfId="30"/>
    <tableColumn id="8" xr3:uid="{A1508BC9-F251-4C78-AFE1-9780568F4570}" name="Dependency" dataDxfId="29"/>
    <tableColumn id="12" xr3:uid="{483B9187-B663-438A-A6C2-F92DD2C5981E}" name="Test 1" dataDxfId="28"/>
    <tableColumn id="10" xr3:uid="{B0989B53-E4FA-42D2-AC40-B81EF1952308}" name="Test 2" dataDxfId="27"/>
    <tableColumn id="2" xr3:uid="{3B51E6F8-78E0-4FDA-AE7D-0D8F50BB7A78}" name="Test 3" dataDxfId="26"/>
    <tableColumn id="9" xr3:uid="{87AE414E-FFE1-4067-A57C-04659EEE8430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5" totalsRowShown="0" headerRowDxfId="24" dataDxfId="22" headerRowBorderDxfId="23" tableBorderDxfId="21" totalsRowBorderDxfId="20">
  <autoFilter ref="B9:K15" xr:uid="{B089C5C3-2CCE-4800-96CA-2131BB6E3E4F}"/>
  <tableColumns count="10">
    <tableColumn id="1" xr3:uid="{8CA72147-4D79-4652-A9E9-87D51653DA84}" name="Variable" dataDxfId="19"/>
    <tableColumn id="4" xr3:uid="{E819EB63-CB5D-404C-B2BA-29FF258DB4F8}" name="Value" dataDxfId="18"/>
    <tableColumn id="5" xr3:uid="{1794E572-D285-47C1-B741-27E454FDF4FD}" name="Unit" dataDxfId="17"/>
    <tableColumn id="6" xr3:uid="{7F8A147E-F024-4089-965F-D6A02CD18DC6}" name="Comparisons" dataDxfId="16"/>
    <tableColumn id="7" xr3:uid="{59037F64-D8B7-466E-B9B6-97F14C2CBDD9}" name="Variable Type" dataDxfId="15"/>
    <tableColumn id="8" xr3:uid="{B3A5DFE8-8D61-4FFC-837B-F606356A99BD}" name="Dependency" dataDxfId="14"/>
    <tableColumn id="12" xr3:uid="{6C20D82D-93BB-42A1-A91B-759FC99CBE8C}" name="Test 1" dataDxfId="13"/>
    <tableColumn id="10" xr3:uid="{87C7F8B7-5A99-489D-AB7E-B6E5697C481A}" name="Test 2" dataDxfId="12"/>
    <tableColumn id="2" xr3:uid="{55413903-6AA5-4148-81F3-1F6AD647C108}" name="Test 3" dataDxfId="11"/>
    <tableColumn id="9" xr3:uid="{48D67C6B-2FDE-4718-AF32-11DEAACCFD0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17" sqref="D17"/>
    </sheetView>
  </sheetViews>
  <sheetFormatPr defaultColWidth="0" defaultRowHeight="14.4" zeroHeight="1"/>
  <cols>
    <col min="1" max="2" width="3.33203125" style="39" hidden="1" customWidth="1"/>
    <col min="3" max="3" width="2.44140625" style="39" customWidth="1"/>
    <col min="4" max="4" width="13.886718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886718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/>
    <row r="4" spans="4:10" ht="18">
      <c r="D4" s="59" t="s">
        <v>122</v>
      </c>
      <c r="E4" s="60"/>
      <c r="F4" s="61"/>
      <c r="G4" s="62"/>
      <c r="H4" s="62"/>
      <c r="I4" s="62"/>
      <c r="J4" s="42" t="s">
        <v>86</v>
      </c>
    </row>
    <row r="5" spans="4:10" ht="36">
      <c r="D5" s="70" t="s">
        <v>37</v>
      </c>
      <c r="E5" s="70"/>
      <c r="F5" s="70"/>
      <c r="G5" s="70"/>
      <c r="H5" s="70"/>
      <c r="I5" s="70"/>
      <c r="J5" s="70"/>
    </row>
    <row r="6" spans="4:10" ht="18">
      <c r="D6" s="52" t="s">
        <v>31</v>
      </c>
      <c r="E6" s="52" t="s">
        <v>120</v>
      </c>
      <c r="F6" s="52" t="s">
        <v>32</v>
      </c>
      <c r="G6" s="52" t="s">
        <v>33</v>
      </c>
      <c r="H6" s="52" t="s">
        <v>34</v>
      </c>
      <c r="I6" s="52" t="s">
        <v>35</v>
      </c>
      <c r="J6" s="52" t="s">
        <v>36</v>
      </c>
    </row>
    <row r="7" spans="4:10" ht="36">
      <c r="D7" s="43">
        <v>1</v>
      </c>
      <c r="E7" s="56" t="s">
        <v>121</v>
      </c>
      <c r="F7" s="57">
        <v>44720</v>
      </c>
      <c r="G7" s="58" t="s">
        <v>38</v>
      </c>
      <c r="H7" s="43"/>
      <c r="I7" s="43"/>
      <c r="J7" s="44"/>
    </row>
    <row r="8" spans="4:10" ht="18">
      <c r="D8" s="43">
        <v>2</v>
      </c>
      <c r="E8" s="44"/>
      <c r="F8" s="45"/>
      <c r="G8" s="43"/>
      <c r="H8" s="43"/>
      <c r="I8" s="43"/>
      <c r="J8" s="44"/>
    </row>
    <row r="9" spans="4:10" ht="18">
      <c r="D9" s="43">
        <v>3</v>
      </c>
      <c r="E9" s="44"/>
      <c r="F9" s="45"/>
      <c r="G9" s="43"/>
      <c r="H9" s="43"/>
      <c r="I9" s="43"/>
      <c r="J9" s="44"/>
    </row>
    <row r="10" spans="4:10" ht="18">
      <c r="D10" s="43">
        <v>4</v>
      </c>
      <c r="E10" s="44"/>
      <c r="F10" s="45"/>
      <c r="G10" s="43"/>
      <c r="H10" s="43"/>
      <c r="I10" s="43"/>
      <c r="J10" s="44"/>
    </row>
    <row r="11" spans="4:10" ht="18">
      <c r="D11" s="43">
        <v>5</v>
      </c>
      <c r="E11" s="44"/>
      <c r="F11" s="45"/>
      <c r="G11" s="43"/>
      <c r="H11" s="43"/>
      <c r="I11" s="43"/>
      <c r="J11" s="44"/>
    </row>
    <row r="12" spans="4:10" ht="18">
      <c r="D12" s="43">
        <v>6</v>
      </c>
      <c r="E12" s="44"/>
      <c r="F12" s="45"/>
      <c r="G12" s="43"/>
      <c r="H12" s="43"/>
      <c r="I12" s="43"/>
      <c r="J12" s="44"/>
    </row>
    <row r="13" spans="4:10" ht="18">
      <c r="D13" s="43">
        <v>7</v>
      </c>
      <c r="E13" s="44"/>
      <c r="F13" s="45"/>
      <c r="G13" s="43"/>
      <c r="H13" s="43"/>
      <c r="I13" s="43"/>
      <c r="J13" s="44"/>
    </row>
    <row r="14" spans="4:10" ht="18">
      <c r="D14" s="43">
        <v>8</v>
      </c>
      <c r="E14" s="44"/>
      <c r="F14" s="45"/>
      <c r="G14" s="43"/>
      <c r="H14" s="43"/>
      <c r="I14" s="43"/>
      <c r="J14" s="44"/>
    </row>
    <row r="15" spans="4:10" ht="18">
      <c r="D15" s="43">
        <v>9</v>
      </c>
      <c r="E15" s="44"/>
      <c r="F15" s="45"/>
      <c r="G15" s="43"/>
      <c r="H15" s="43"/>
      <c r="I15" s="43"/>
      <c r="J15" s="44"/>
    </row>
    <row r="16" spans="4:10" ht="18">
      <c r="D16" s="43">
        <v>10</v>
      </c>
      <c r="E16" s="44"/>
      <c r="F16" s="45"/>
      <c r="G16" s="43"/>
      <c r="H16" s="43"/>
      <c r="I16" s="43"/>
      <c r="J16" s="4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67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94</v>
      </c>
      <c r="R1" t="s">
        <v>99</v>
      </c>
      <c r="S1" t="s">
        <v>100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22</v>
      </c>
      <c r="C4" t="s">
        <v>44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102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0" sqref="C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1" t="s">
        <v>30</v>
      </c>
      <c r="C3" s="71"/>
      <c r="D3" s="71"/>
      <c r="E3" s="71"/>
      <c r="F3" s="71"/>
      <c r="G3" s="71"/>
      <c r="H3" s="71"/>
      <c r="I3" s="71"/>
      <c r="J3" s="71"/>
      <c r="K3" s="7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2" t="str">
        <f>IF(COUNTIF(Table110823[Test 3],1)=COUNTA(Table110823[Value]),"Ready","Not Ready")</f>
        <v>Ready</v>
      </c>
    </row>
    <row r="5" spans="2:11" ht="14.4" customHeight="1">
      <c r="B5" s="17"/>
      <c r="C5" s="18"/>
      <c r="D5" s="55"/>
      <c r="E5" s="55"/>
      <c r="F5" s="55"/>
      <c r="G5" s="55"/>
      <c r="H5" s="19"/>
      <c r="I5" s="55"/>
      <c r="J5" s="55"/>
      <c r="K5" s="73"/>
    </row>
    <row r="6" spans="2:11" ht="14.4" customHeight="1">
      <c r="B6" s="17"/>
      <c r="C6" s="18"/>
      <c r="D6" s="55"/>
      <c r="E6" s="55"/>
      <c r="F6" s="55"/>
      <c r="G6" s="55"/>
      <c r="H6" s="19"/>
      <c r="I6" s="55"/>
      <c r="J6" s="55"/>
      <c r="K6" s="73"/>
    </row>
    <row r="7" spans="2:11" ht="14.4" customHeight="1">
      <c r="B7" s="17"/>
      <c r="C7" s="18"/>
      <c r="D7" s="55"/>
      <c r="E7" s="55"/>
      <c r="F7" s="55"/>
      <c r="G7" s="55"/>
      <c r="H7" s="19"/>
      <c r="I7" s="55"/>
      <c r="J7" s="55"/>
      <c r="K7" s="7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4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63</v>
      </c>
      <c r="G9" s="34" t="s">
        <v>39</v>
      </c>
      <c r="H9" s="34" t="s">
        <v>64</v>
      </c>
      <c r="I9" s="33" t="s">
        <v>65</v>
      </c>
      <c r="J9" s="35" t="s">
        <v>75</v>
      </c>
      <c r="K9" s="35" t="s">
        <v>12</v>
      </c>
    </row>
    <row r="10" spans="2:11" ht="28.8">
      <c r="B10" s="4" t="s">
        <v>5</v>
      </c>
      <c r="C10" s="36">
        <v>2</v>
      </c>
      <c r="D10" s="2" t="s">
        <v>3</v>
      </c>
      <c r="E10" s="53" t="s">
        <v>17</v>
      </c>
      <c r="F10" s="53" t="s">
        <v>7</v>
      </c>
      <c r="G10" s="2" t="s">
        <v>40</v>
      </c>
      <c r="H10" s="53">
        <v>1</v>
      </c>
      <c r="I10" s="53">
        <v>1</v>
      </c>
      <c r="J10" s="6">
        <v>1</v>
      </c>
      <c r="K10" s="5" t="s">
        <v>66</v>
      </c>
    </row>
    <row r="11" spans="2:11">
      <c r="B11" s="8" t="s">
        <v>79</v>
      </c>
      <c r="C11" s="37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80</v>
      </c>
    </row>
  </sheetData>
  <sheetProtection algorithmName="SHA-512" hashValue="8bDLZEqYCF4IXAzgU3VOGMXpPPZTy9gdHtMr/+TGxw/cmr/TAMtcEa73Y3+eNgTLhnLgjyjwviMAwez1OlBBtw==" saltValue="tk0SglWOrsPV5NPc4BbxsQ==" spinCount="100000" sheet="1" objects="1" scenarios="1" selectLockedCells="1"/>
  <mergeCells count="2">
    <mergeCell ref="B3:K3"/>
    <mergeCell ref="K4:K8"/>
  </mergeCells>
  <conditionalFormatting sqref="C10:C11">
    <cfRule type="expression" dxfId="9" priority="4">
      <formula>IF(AND($C10&lt;&gt;"",$J10=0),1,0)</formula>
    </cfRule>
    <cfRule type="expression" dxfId="8" priority="5">
      <formula>IF($C10&lt;&gt;"",1,0)</formula>
    </cfRule>
    <cfRule type="expression" dxfId="7" priority="6">
      <formula>$J10=0</formula>
    </cfRule>
  </conditionalFormatting>
  <conditionalFormatting sqref="K4">
    <cfRule type="expression" dxfId="6" priority="56">
      <formula>IF(COUNTA($C$10:$C$11)&lt;&gt;COUNTIF($J$10:$J$11,1),1,0)</formula>
    </cfRule>
    <cfRule type="expression" dxfId="5" priority="57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G10:G11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E10:E11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6" sqref="A16:XFD19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1" t="s">
        <v>30</v>
      </c>
      <c r="C3" s="71"/>
      <c r="D3" s="71"/>
      <c r="E3" s="71"/>
      <c r="F3" s="71"/>
      <c r="G3" s="71"/>
      <c r="H3" s="71"/>
      <c r="I3" s="71"/>
      <c r="J3" s="71"/>
      <c r="K3" s="7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2" t="str">
        <f>IF(COUNTIF(Table11082[Test 3],1)=COUNTA(Table11082[Value]),"Ready","Not Ready")</f>
        <v>Ready</v>
      </c>
    </row>
    <row r="5" spans="2:11" ht="14.4" customHeight="1">
      <c r="B5" s="17"/>
      <c r="C5" s="18"/>
      <c r="D5" s="55"/>
      <c r="E5" s="55"/>
      <c r="F5" s="55"/>
      <c r="G5" s="55"/>
      <c r="H5" s="19"/>
      <c r="I5" s="55"/>
      <c r="J5" s="55"/>
      <c r="K5" s="73"/>
    </row>
    <row r="6" spans="2:11" ht="14.4" customHeight="1">
      <c r="B6" s="17"/>
      <c r="C6" s="18"/>
      <c r="D6" s="55"/>
      <c r="E6" s="55"/>
      <c r="F6" s="55"/>
      <c r="G6" s="55"/>
      <c r="H6" s="19"/>
      <c r="I6" s="55"/>
      <c r="J6" s="55"/>
      <c r="K6" s="73"/>
    </row>
    <row r="7" spans="2:11" ht="14.4" customHeight="1">
      <c r="B7" s="17"/>
      <c r="C7" s="18"/>
      <c r="D7" s="55"/>
      <c r="E7" s="55"/>
      <c r="F7" s="55"/>
      <c r="G7" s="55"/>
      <c r="H7" s="19"/>
      <c r="I7" s="55"/>
      <c r="J7" s="55"/>
      <c r="K7" s="7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4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63</v>
      </c>
      <c r="G9" s="34" t="s">
        <v>39</v>
      </c>
      <c r="H9" s="34" t="s">
        <v>64</v>
      </c>
      <c r="I9" s="33" t="s">
        <v>65</v>
      </c>
      <c r="J9" s="35" t="s">
        <v>75</v>
      </c>
      <c r="K9" s="35" t="s">
        <v>12</v>
      </c>
    </row>
    <row r="10" spans="2:11">
      <c r="B10" s="54" t="s">
        <v>103</v>
      </c>
      <c r="C10" s="36">
        <v>318.14999999999998</v>
      </c>
      <c r="D10" s="38" t="s">
        <v>20</v>
      </c>
      <c r="E10" s="53" t="s">
        <v>17</v>
      </c>
      <c r="F10" s="53" t="s">
        <v>7</v>
      </c>
      <c r="G10" s="2" t="s">
        <v>47</v>
      </c>
      <c r="H10" s="53">
        <v>1</v>
      </c>
      <c r="I10" s="53">
        <v>1</v>
      </c>
      <c r="J10" s="6">
        <v>1</v>
      </c>
      <c r="K10" s="5" t="s">
        <v>113</v>
      </c>
    </row>
    <row r="11" spans="2:11" ht="43.2">
      <c r="B11" s="4" t="s">
        <v>68</v>
      </c>
      <c r="C11" s="36">
        <v>0.21740000000000001</v>
      </c>
      <c r="D11" s="2" t="s">
        <v>3</v>
      </c>
      <c r="E11" s="53" t="s">
        <v>23</v>
      </c>
      <c r="F11" s="53" t="s">
        <v>7</v>
      </c>
      <c r="G11" s="2" t="s">
        <v>40</v>
      </c>
      <c r="H11" s="53">
        <v>1</v>
      </c>
      <c r="I11" s="53">
        <f>Initialization!$C$10</f>
        <v>2</v>
      </c>
      <c r="J11" s="6">
        <v>1</v>
      </c>
      <c r="K11" s="5" t="s">
        <v>93</v>
      </c>
    </row>
    <row r="12" spans="2:11" ht="43.2">
      <c r="B12" s="4" t="s">
        <v>69</v>
      </c>
      <c r="C12" s="36">
        <f>1-C11</f>
        <v>0.78259999999999996</v>
      </c>
      <c r="D12" s="2" t="s">
        <v>3</v>
      </c>
      <c r="E12" s="53" t="s">
        <v>23</v>
      </c>
      <c r="F12" s="53" t="s">
        <v>7</v>
      </c>
      <c r="G12" s="2" t="s">
        <v>40</v>
      </c>
      <c r="H12" s="53"/>
      <c r="I12" s="53">
        <f>Initialization!$C$10</f>
        <v>2</v>
      </c>
      <c r="J12" s="6">
        <v>1</v>
      </c>
      <c r="K12" s="5" t="s">
        <v>93</v>
      </c>
    </row>
    <row r="13" spans="2:11">
      <c r="B13" s="54" t="s">
        <v>114</v>
      </c>
      <c r="C13" s="36">
        <v>1.1814E-3</v>
      </c>
      <c r="D13" s="38" t="s">
        <v>115</v>
      </c>
      <c r="E13" s="53" t="s">
        <v>27</v>
      </c>
      <c r="F13" s="53" t="s">
        <v>7</v>
      </c>
      <c r="G13" s="2" t="s">
        <v>48</v>
      </c>
      <c r="H13" s="53">
        <v>1</v>
      </c>
      <c r="I13" s="53">
        <v>1</v>
      </c>
      <c r="J13" s="6">
        <v>1</v>
      </c>
      <c r="K13" s="5" t="s">
        <v>116</v>
      </c>
    </row>
    <row r="14" spans="2:11">
      <c r="B14" s="54" t="s">
        <v>117</v>
      </c>
      <c r="C14" s="36">
        <v>1.8369999999999999E-5</v>
      </c>
      <c r="D14" s="38" t="s">
        <v>118</v>
      </c>
      <c r="E14" s="53" t="s">
        <v>27</v>
      </c>
      <c r="F14" s="53" t="s">
        <v>7</v>
      </c>
      <c r="G14" s="2" t="s">
        <v>48</v>
      </c>
      <c r="H14" s="53">
        <v>1</v>
      </c>
      <c r="I14" s="53">
        <v>1</v>
      </c>
      <c r="J14" s="6">
        <v>1</v>
      </c>
      <c r="K14" s="5" t="s">
        <v>119</v>
      </c>
    </row>
    <row r="15" spans="2:11">
      <c r="B15" s="8" t="s">
        <v>79</v>
      </c>
      <c r="C15" s="37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80</v>
      </c>
    </row>
  </sheetData>
  <sheetProtection algorithmName="SHA-512" hashValue="NaD2TE7jut3/7dcJ3MUQhWBWF+zcPCutyWrXNdXYXi8q4EgRcllkmgx5/UkBxKjskA2QKz6xpaI7nO6SoVphBQ==" saltValue="wFH27kfaDpvfilMJjeg7NA==" spinCount="100000" sheet="1" objects="1" scenarios="1" selectLockedCells="1"/>
  <mergeCells count="2">
    <mergeCell ref="B3:K3"/>
    <mergeCell ref="K4:K8"/>
  </mergeCells>
  <conditionalFormatting sqref="C10:C15">
    <cfRule type="expression" dxfId="4" priority="7">
      <formula>IF(AND($C10&lt;&gt;"",$J10=0),1,0)</formula>
    </cfRule>
    <cfRule type="expression" dxfId="3" priority="8">
      <formula>IF($C10&lt;&gt;"",1,0)</formula>
    </cfRule>
    <cfRule type="expression" dxfId="2" priority="9">
      <formula>$J10=0</formula>
    </cfRule>
  </conditionalFormatting>
  <conditionalFormatting sqref="K4">
    <cfRule type="expression" dxfId="1" priority="85">
      <formula>IF(COUNTA($C$10:$C$15)&lt;&gt;COUNTIF($J$10:$J$15,1),1,0)</formula>
    </cfRule>
    <cfRule type="expression" dxfId="0" priority="86">
      <formula>IF(COUNTA($C$10:$C$15)=COUNTIF($J$10:$J$15,1),1,0)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6" customWidth="1"/>
    <col min="3" max="3" width="13.109375" style="66" customWidth="1"/>
    <col min="4" max="4" width="13.44140625" style="66" customWidth="1"/>
    <col min="5" max="6" width="8.88671875" style="66" customWidth="1"/>
    <col min="7" max="7" width="14.77734375" style="66" customWidth="1"/>
    <col min="8" max="8" width="11.6640625" style="66" customWidth="1"/>
    <col min="9" max="9" width="10.33203125" style="66" customWidth="1"/>
    <col min="10" max="10" width="5.6640625" style="66" customWidth="1"/>
    <col min="11" max="11" width="10.5546875" style="66" customWidth="1"/>
    <col min="12" max="17" width="8.88671875" style="66" customWidth="1"/>
    <col min="18" max="16384" width="8.88671875" style="66" hidden="1"/>
  </cols>
  <sheetData>
    <row r="1" spans="1:17" ht="14.4">
      <c r="A1" s="63" t="str">
        <f>'[1]Revision History'!D4</f>
        <v>REV. NO.1 (6/8/2022)</v>
      </c>
      <c r="B1" s="64"/>
      <c r="C1" s="64"/>
      <c r="D1" s="64"/>
      <c r="E1" s="64"/>
      <c r="F1" s="64"/>
      <c r="G1" s="64"/>
      <c r="H1" s="64"/>
      <c r="I1" s="65"/>
      <c r="J1" s="65"/>
      <c r="K1" s="65"/>
      <c r="L1" s="65"/>
      <c r="M1" s="65"/>
      <c r="N1" s="65"/>
      <c r="O1" s="65"/>
      <c r="P1" s="65"/>
      <c r="Q1" s="65" t="str">
        <f>'[2]Revision History'!$J$4</f>
        <v>Scott Research Group (jkscottresearchgroup.com)</v>
      </c>
    </row>
    <row r="2" spans="1:17" ht="14.4">
      <c r="A2" s="75" t="s">
        <v>124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</row>
    <row r="3" spans="1:17" ht="14.4">
      <c r="A3" s="30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</row>
    <row r="4" spans="1:17" ht="14.4">
      <c r="A4" s="30"/>
      <c r="B4" s="67" t="s">
        <v>125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</row>
    <row r="5" spans="1:17" ht="14.4">
      <c r="A5" s="30"/>
      <c r="B5" s="67"/>
      <c r="C5" s="67" t="s">
        <v>95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</row>
    <row r="6" spans="1:17" ht="14.4">
      <c r="A6" s="30"/>
      <c r="B6" s="67"/>
      <c r="C6" s="67"/>
      <c r="D6" s="51" t="s">
        <v>96</v>
      </c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1:17" ht="14.4">
      <c r="A7" s="30"/>
      <c r="B7" s="67"/>
      <c r="C7" s="67" t="s">
        <v>97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</row>
    <row r="8" spans="1:17" ht="14.4">
      <c r="A8" s="30"/>
      <c r="B8" s="67"/>
      <c r="C8" s="67"/>
      <c r="D8" s="50" t="s">
        <v>98</v>
      </c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</row>
    <row r="9" spans="1:17" ht="14.4">
      <c r="A9" s="30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</row>
    <row r="10" spans="1:17" ht="14.4">
      <c r="A10" s="30"/>
      <c r="B10" s="67" t="s">
        <v>126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</row>
    <row r="11" spans="1:17" ht="14.4">
      <c r="A11" s="30"/>
      <c r="B11" s="67"/>
      <c r="C11" s="67" t="s">
        <v>127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</row>
    <row r="12" spans="1:17" ht="14.4">
      <c r="A12" s="30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</row>
    <row r="13" spans="1:17" ht="14.4">
      <c r="A13" s="30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</row>
    <row r="14" spans="1:17" ht="14.4">
      <c r="A14" s="30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</row>
    <row r="15" spans="1:17" ht="14.4">
      <c r="A15" s="30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</row>
    <row r="16" spans="1:17" ht="14.4">
      <c r="A16" s="30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</row>
    <row r="17" spans="1:17" ht="14.4">
      <c r="A17" s="30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</row>
    <row r="18" spans="1:17" ht="14.4">
      <c r="A18" s="30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</row>
    <row r="19" spans="1:17" ht="14.4">
      <c r="A19" s="30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</row>
    <row r="20" spans="1:17" ht="14.4">
      <c r="A20" s="30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</row>
    <row r="21" spans="1:17" ht="14.4">
      <c r="A21" s="30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ht="14.4">
      <c r="A22" s="30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ht="14.4">
      <c r="A23" s="30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ht="14.4">
      <c r="A24" s="30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ht="14.4">
      <c r="A25" s="30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ht="14.4">
      <c r="A26" s="30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ht="14.4">
      <c r="A27" s="30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ht="14.4">
      <c r="A28" s="30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ht="14.4">
      <c r="A29" s="30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ht="14.4">
      <c r="A30" s="30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ht="14.4">
      <c r="A31" s="30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ht="14.4">
      <c r="A32" s="30"/>
      <c r="B32" s="68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1:17" ht="14.4">
      <c r="A33" s="30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1:17" ht="14.4">
      <c r="A34" s="30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3" t="str">
        <f>'[1]Revision History'!D4</f>
        <v>REV. NO.1 (6/8/2022)</v>
      </c>
      <c r="B1" s="64"/>
      <c r="C1" s="64"/>
      <c r="D1" s="64"/>
      <c r="E1" s="64"/>
      <c r="F1" s="64"/>
      <c r="G1" s="64"/>
      <c r="H1" s="64"/>
      <c r="I1" s="64"/>
      <c r="J1" s="65"/>
      <c r="K1" s="65"/>
      <c r="L1" s="65"/>
      <c r="M1" s="65"/>
      <c r="N1" s="65"/>
      <c r="O1" s="65"/>
      <c r="P1" s="65"/>
      <c r="Q1" s="65"/>
      <c r="R1" s="65" t="str">
        <f>'[2]Revision History'!$J$4</f>
        <v>Scott Research Group (jkscottresearchgroup.com)</v>
      </c>
    </row>
    <row r="2" spans="1:18">
      <c r="A2" s="28" t="s">
        <v>123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7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27"/>
    </row>
    <row r="4" spans="1:18">
      <c r="A4" s="30"/>
      <c r="B4" s="67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27"/>
    </row>
    <row r="5" spans="1:18">
      <c r="A5" s="30"/>
      <c r="B5" s="67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27"/>
    </row>
    <row r="6" spans="1:18">
      <c r="A6" s="30"/>
      <c r="B6" s="67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27"/>
    </row>
    <row r="7" spans="1:18">
      <c r="A7" s="30"/>
      <c r="B7" s="67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7"/>
    </row>
    <row r="8" spans="1:18">
      <c r="A8" s="30"/>
      <c r="B8" s="67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27"/>
    </row>
    <row r="9" spans="1:18">
      <c r="A9" s="30"/>
      <c r="B9" s="67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27"/>
    </row>
    <row r="10" spans="1:18">
      <c r="A10" s="30"/>
      <c r="B10" s="67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27"/>
    </row>
    <row r="11" spans="1:18">
      <c r="A11" s="30"/>
      <c r="B11" s="67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27"/>
    </row>
    <row r="12" spans="1:18">
      <c r="A12" s="30"/>
      <c r="B12" s="67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27"/>
    </row>
    <row r="13" spans="1:18">
      <c r="A13" s="30"/>
      <c r="B13" s="67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27"/>
    </row>
    <row r="14" spans="1:18">
      <c r="A14" s="30"/>
      <c r="B14" s="67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27"/>
    </row>
    <row r="15" spans="1:18">
      <c r="A15" s="30"/>
      <c r="B15" s="67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27"/>
    </row>
    <row r="16" spans="1:18">
      <c r="A16" s="30"/>
      <c r="B16" s="67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27"/>
    </row>
    <row r="17" spans="1:18">
      <c r="A17" s="30"/>
      <c r="B17" s="67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27"/>
    </row>
    <row r="18" spans="1:18">
      <c r="A18" s="30"/>
      <c r="B18" s="67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27"/>
    </row>
    <row r="19" spans="1:18">
      <c r="A19" s="30"/>
      <c r="B19" s="67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27"/>
    </row>
    <row r="20" spans="1:18">
      <c r="A20" s="30"/>
      <c r="B20" s="67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27"/>
    </row>
    <row r="21" spans="1:18">
      <c r="A21" s="30"/>
      <c r="B21" s="67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27"/>
    </row>
    <row r="22" spans="1:18">
      <c r="A22" s="30"/>
      <c r="B22" s="67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27"/>
    </row>
    <row r="23" spans="1:18">
      <c r="A23" s="30"/>
      <c r="B23" s="67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27"/>
    </row>
    <row r="24" spans="1:18">
      <c r="A24" s="30"/>
      <c r="B24" s="67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27"/>
    </row>
    <row r="25" spans="1:18">
      <c r="A25" s="30"/>
      <c r="B25" s="67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27"/>
    </row>
    <row r="26" spans="1:18">
      <c r="A26" s="30"/>
      <c r="B26" s="67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27"/>
    </row>
    <row r="27" spans="1:18">
      <c r="A27" s="30"/>
      <c r="B27" s="67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27"/>
    </row>
    <row r="28" spans="1:18">
      <c r="A28" s="30"/>
      <c r="B28" s="67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27"/>
    </row>
    <row r="29" spans="1:18">
      <c r="A29" s="30"/>
      <c r="B29" s="67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27"/>
    </row>
    <row r="30" spans="1:18">
      <c r="A30" s="30"/>
      <c r="B30" s="67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27"/>
    </row>
    <row r="31" spans="1:18">
      <c r="A31" s="30"/>
      <c r="B31" s="67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27"/>
    </row>
    <row r="32" spans="1:18">
      <c r="A32" s="30"/>
      <c r="B32" s="67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27"/>
    </row>
    <row r="33" spans="1:18">
      <c r="A33" s="30"/>
      <c r="B33" s="67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27"/>
    </row>
    <row r="34" spans="1:18">
      <c r="A34" s="30"/>
      <c r="B34" s="67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27"/>
    </row>
    <row r="35" spans="1:18">
      <c r="A35" s="30"/>
      <c r="B35" s="67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27"/>
    </row>
    <row r="36" spans="1:18">
      <c r="A36" s="30"/>
      <c r="B36" s="67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27"/>
    </row>
    <row r="37" spans="1:18">
      <c r="A37" s="30"/>
      <c r="B37" s="67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27"/>
    </row>
    <row r="38" spans="1:18">
      <c r="A38" s="30"/>
      <c r="B38" s="67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27"/>
    </row>
    <row r="39" spans="1:18">
      <c r="A39" s="30"/>
      <c r="B39" s="67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27"/>
    </row>
    <row r="40" spans="1:18">
      <c r="A40" s="30"/>
      <c r="B40" s="67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27"/>
    </row>
    <row r="41" spans="1:18">
      <c r="A41" s="30"/>
      <c r="B41" s="67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27"/>
    </row>
    <row r="42" spans="1:18">
      <c r="A42" s="30"/>
      <c r="B42" s="67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27"/>
    </row>
    <row r="43" spans="1:18">
      <c r="A43" s="30"/>
      <c r="B43" s="67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27"/>
    </row>
    <row r="44" spans="1:18">
      <c r="A44" s="30"/>
      <c r="B44" s="67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27"/>
    </row>
    <row r="45" spans="1:18">
      <c r="A45" s="30"/>
      <c r="B45" s="67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27"/>
    </row>
    <row r="46" spans="1:18">
      <c r="A46" s="30"/>
      <c r="B46" s="67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27"/>
    </row>
    <row r="47" spans="1:18">
      <c r="A47" s="30"/>
      <c r="B47" s="67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27"/>
    </row>
    <row r="48" spans="1:18">
      <c r="A48" s="30"/>
      <c r="B48" s="67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27"/>
    </row>
    <row r="49" spans="1:18">
      <c r="A49" s="30"/>
      <c r="B49" s="67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27"/>
    </row>
    <row r="50" spans="1:18">
      <c r="A50" s="30"/>
      <c r="B50" s="67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27"/>
    </row>
    <row r="51" spans="1:18">
      <c r="A51" s="30"/>
      <c r="B51" s="67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27"/>
    </row>
    <row r="52" spans="1:18">
      <c r="A52" s="30"/>
      <c r="B52" s="67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defaultRowHeight="14.4"/>
  <sheetData>
    <row r="1" spans="1:8">
      <c r="A1" t="s">
        <v>5</v>
      </c>
      <c r="B1" t="s">
        <v>79</v>
      </c>
      <c r="C1" t="s">
        <v>103</v>
      </c>
      <c r="D1" t="s">
        <v>68</v>
      </c>
      <c r="E1" t="s">
        <v>69</v>
      </c>
      <c r="F1" t="s">
        <v>114</v>
      </c>
      <c r="G1" t="s">
        <v>117</v>
      </c>
      <c r="H1" t="s">
        <v>79</v>
      </c>
    </row>
    <row r="2" spans="1:8">
      <c r="A2">
        <v>2</v>
      </c>
      <c r="C2">
        <v>318.14999999999998</v>
      </c>
      <c r="D2">
        <v>0.21740000000000001</v>
      </c>
      <c r="E2">
        <v>0.78259999999999996</v>
      </c>
      <c r="F2">
        <v>1.1814E-3</v>
      </c>
      <c r="G2">
        <v>1.8369999999999999E-5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defaultRowHeight="14.4"/>
  <sheetData>
    <row r="1" spans="1:8">
      <c r="A1" t="s">
        <v>5</v>
      </c>
      <c r="B1" t="s">
        <v>79</v>
      </c>
      <c r="C1" t="s">
        <v>103</v>
      </c>
      <c r="D1" t="s">
        <v>68</v>
      </c>
      <c r="E1" t="s">
        <v>69</v>
      </c>
      <c r="F1" t="s">
        <v>114</v>
      </c>
      <c r="G1" t="s">
        <v>117</v>
      </c>
      <c r="H1" t="s">
        <v>79</v>
      </c>
    </row>
    <row r="2" spans="1:8">
      <c r="A2">
        <v>1</v>
      </c>
      <c r="B2">
        <v>0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Reference</vt:lpstr>
      <vt:lpstr>Initialization</vt:lpstr>
      <vt:lpstr>Stream Properties</vt:lpstr>
      <vt:lpstr>Help</vt:lpstr>
      <vt:lpstr>PFD</vt:lpstr>
      <vt:lpstr>maintenance check list</vt:lpstr>
      <vt:lpstr>Data(Transposed)</vt:lpstr>
      <vt:lpstr>Data(Test)</vt:lpstr>
      <vt:lpstr>Initialization!Print_Area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2022-06-09T22:29:38Z</dcterms:modified>
</cp:coreProperties>
</file>