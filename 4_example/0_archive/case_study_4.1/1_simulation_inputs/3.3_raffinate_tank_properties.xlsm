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193E9CBE-A1A6-4788-97F6-1376D9577259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0" l="1"/>
  <c r="I10" i="44" l="1"/>
  <c r="I13" i="31" l="1"/>
  <c r="I11" i="31"/>
  <c r="I10" i="31"/>
  <c r="I12" i="44"/>
  <c r="I11" i="44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<sst xmlns="http://schemas.openxmlformats.org/spreadsheetml/2006/main" count="281" uniqueCount="140">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</sst>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6" borderId="6" xfId="0" applyFont="1" applyFill="1" applyBorder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 refreshError="1"/>
      <sheetData sheetId="1">
        <row r="12">
          <cell r="B12">
            <v>1</v>
          </cell>
        </row>
        <row r="14">
          <cell r="B14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>
      <calculatedColumnFormula>11*1.01325*0.999</calculatedColumnFormula>
    </tableColumn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5" t="s">
        <v>39</v>
      </c>
      <c r="E5" s="55"/>
      <c r="F5" s="55"/>
      <c r="G5" s="55"/>
      <c r="H5" s="55"/>
      <c r="I5" s="55"/>
      <c r="J5" s="55"/>
    </row>
    <row r="6" spans="4:10" ht="18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52">
        <f>11*1.01325*0.975</f>
        <v>10.867106249999999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MoP6NYs8dw+2+XtaxRR75kpllB2d7w1i3htMhS6wgbOswXXZnhMHKpxI5KThm2kVmXZy0YjwP8qSYjysf+I5Tw==" saltValue="oC9tTwnAruugMdnmnaIkjQ==" spinCount="100000" sheet="1" objects="1" scenarios="1" selectLockedCells="1"/>
  <mergeCells count="2">
    <mergeCell ref="A3:J3"/>
    <mergeCell ref="J4:J8"/>
  </mergeCells>
  <conditionalFormatting sqref="B13">
    <cfRule type="expression" dxfId="98" priority="44">
      <formula>IF(AND($B13&lt;&gt;"",$I13=0),1,0)</formula>
    </cfRule>
    <cfRule type="expression" dxfId="97" priority="45">
      <formula>IF($B13&lt;&gt;"",1,0)</formula>
    </cfRule>
    <cfRule type="expression" dxfId="96" priority="46">
      <formula>$I13=0</formula>
    </cfRule>
  </conditionalFormatting>
  <conditionalFormatting sqref="B10">
    <cfRule type="expression" dxfId="95" priority="35">
      <formula>IF(AND($B10&lt;&gt;"",$I10=0),1,0)</formula>
    </cfRule>
    <cfRule type="expression" dxfId="94" priority="36">
      <formula>IF($B10&lt;&gt;"",1,0)</formula>
    </cfRule>
    <cfRule type="expression" dxfId="93" priority="37">
      <formula>$I10=0</formula>
    </cfRule>
  </conditionalFormatting>
  <conditionalFormatting sqref="B11">
    <cfRule type="expression" dxfId="92" priority="5">
      <formula>IF(AND($B11&lt;&gt;"",$I11=0),1,0)</formula>
    </cfRule>
    <cfRule type="expression" dxfId="91" priority="6">
      <formula>IF($B11&lt;&gt;"",1,0)</formula>
    </cfRule>
    <cfRule type="expression" dxfId="90" priority="7">
      <formula>$I11=0</formula>
    </cfRule>
  </conditionalFormatting>
  <conditionalFormatting sqref="J4">
    <cfRule type="expression" dxfId="89" priority="2250">
      <formula>IF(COUNTA($B$10:$B$13)&lt;&gt;COUNTIF($I$10:$I$13,1),1,0)</formula>
    </cfRule>
    <cfRule type="expression" dxfId="88" priority="2251">
      <formula>IF(COUNTA($B$10:$B$13)=COUNTIF($I$10:$I$13,1),1,0)</formula>
    </cfRule>
  </conditionalFormatting>
  <conditionalFormatting sqref="B12">
    <cfRule type="notContainsBlanks" dxfId="87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25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NZCLquegaVpOH2YNc/f6avBCis34R5rxSWAFfiQHHGDCEMROvGrYOSGfpw1w69X/5z0002TwBEKcURxVlyl3uQ==" saltValue="sQp8anZvTqhAGLVwcM5v/Q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B10:B12">
    <cfRule type="expression" dxfId="68" priority="1">
      <formula>IF(AND($B10&lt;&gt;"",$I10=0),1,0)</formula>
    </cfRule>
    <cfRule type="expression" dxfId="67" priority="2">
      <formula>IF($B10&lt;&gt;"",1,0)</formula>
    </cfRule>
    <cfRule type="expression" dxfId="66" priority="3">
      <formula>$I10=0</formula>
    </cfRule>
  </conditionalFormatting>
  <conditionalFormatting sqref="J4">
    <cfRule type="expression" dxfId="65" priority="2251">
      <formula>IF(COUNTA($B$10:$B$13)&lt;&gt;COUNTIF($I$10:$I$13,1),1,0)</formula>
    </cfRule>
    <cfRule type="expression" dxfId="64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1">
        <f>[1]Initialization!$B$14</f>
        <v>0</v>
      </c>
      <c r="J10" s="5" t="s">
        <v>136</v>
      </c>
    </row>
    <row r="11" spans="1:10" ht="28.8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1">
        <f>[1]Initialization!$B$14</f>
        <v>0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1">
        <f>[1]Initialization!$B$14</f>
        <v>0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3YS0RirlgwAlQzeio4vimEQ4WEYn5IyL0CYB2vCoZNYWVZBXMag5ADdw+Obv4SggjBzaPQZaQ6B9hy6zAoU7FQ==" saltValue="NuBkJlVxHdYLVhyAnJFM8g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B10:B11">
    <cfRule type="expression" dxfId="45" priority="1">
      <formula>IF(AND($B10&lt;&gt;"",$I10=0),1,0)</formula>
    </cfRule>
    <cfRule type="expression" dxfId="44" priority="2">
      <formula>IF($B10&lt;&gt;"",1,0)</formula>
    </cfRule>
    <cfRule type="expression" dxfId="43" priority="3">
      <formula>$I10=0</formula>
    </cfRule>
  </conditionalFormatting>
  <conditionalFormatting sqref="B12:B13">
    <cfRule type="expression" dxfId="42" priority="4">
      <formula>IF(AND($B12&lt;&gt;"",$I12=0),1,0)</formula>
    </cfRule>
    <cfRule type="expression" dxfId="41" priority="5">
      <formula>IF($B12&lt;&gt;"",1,0)</formula>
    </cfRule>
    <cfRule type="expression" dxfId="40" priority="6">
      <formula>$I12=0</formula>
    </cfRule>
  </conditionalFormatting>
  <conditionalFormatting sqref="J4">
    <cfRule type="expression" dxfId="39" priority="2253">
      <formula>IF(COUNTA($B$10:$B$14)&lt;&gt;COUNTIF($I$10:$I$14,1),1,0)</formula>
    </cfRule>
    <cfRule type="expression" dxfId="38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" width="0" style="3" hidden="1" customWidth="1"/>
    <col min="17" max="16384" width="0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127</v>
      </c>
      <c r="B10" s="32">
        <f>Initialization!B12*0.85</f>
        <v>9.2370403124999996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1</v>
      </c>
      <c r="J10" s="5" t="s">
        <v>128</v>
      </c>
    </row>
    <row r="11" spans="1:10" ht="14.4">
      <c r="A11" s="38" t="s">
        <v>126</v>
      </c>
      <c r="B11" s="32">
        <f>Initialization!B12*1.01</f>
        <v>10.9757773125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1">
        <f>[1]Initialization!$B$12</f>
        <v>1</v>
      </c>
      <c r="J11" s="5" t="s">
        <v>129</v>
      </c>
    </row>
    <row r="12" spans="1:10" ht="28.8">
      <c r="A12" s="38" t="s">
        <v>125</v>
      </c>
      <c r="B12" s="53">
        <v>2.5000000000000001E-3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1">
        <f>[1]Initialization!$B$12</f>
        <v>1</v>
      </c>
      <c r="J12" s="5" t="s">
        <v>130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YFa3fY+YPwW9Gop3qMCmJQ/ujj/rpzYMa6LaGCFzZByqjisfhMlpL2nV36hMJkDDylTbID71tYqkp2Y4C57Dxw==" saltValue="01nNXYV9x70aimEHUhXM7A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8">
      <formula>IF(COUNTA($B$10:$B$13)&lt;&gt;COUNTIF($I$10:$I$13,1),1,0)</formula>
    </cfRule>
    <cfRule type="expression" dxfId="15" priority="22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293.14999999999998</v>
      </c>
      <c r="C2">
        <v>10.867106249999999</v>
      </c>
      <c r="E2">
        <v>20</v>
      </c>
      <c r="F2">
        <v>20.5</v>
      </c>
      <c r="G2">
        <v>25</v>
      </c>
      <c r="K2">
        <v>7.8300000000000002E-3</v>
      </c>
      <c r="N2">
        <v>9.2370403124999996</v>
      </c>
      <c r="O2">
        <v>10.9757773125</v>
      </c>
      <c r="P2">
        <v>2.5000000000000001E-3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2022-12-29T15:34:50Z</dcterms:modified>
</cp:coreProperties>
</file>