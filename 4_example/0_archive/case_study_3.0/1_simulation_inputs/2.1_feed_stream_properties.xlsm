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0\1_simulation_inputs\"/>
    </mc:Choice>
  </mc:AlternateContent>
  <xr:revisionPtr revIDLastSave="0" documentId="13_ncr:1_{4DF8175C-4D35-4312-8FE5-ACEE06AF52C8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39" l="1"/>
  <c r="B15" i="39"/>
  <c r="H13" i="39"/>
  <c r="H12" i="39"/>
  <c r="H11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<sst xmlns="http://schemas.openxmlformats.org/spreadsheetml/2006/main" count="180" uniqueCount="120">
  <si>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</si>
  <si>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</si>
  <si>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</si>
  <si>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</si>
  <si>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</si>
  <si>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</si>
  <si>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</si>
  <si>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</si>
  <si>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</si>
  <si>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</si>
  <si>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</si>
  <si>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</si>
  <si>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</si>
  <si>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</si>
  <si>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</si>
  <si>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</si>
  <si>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</si>
  <si>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</si>
  <si>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</si>
  <si>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</si>
  <si>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</si>
  <si>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</si>
  <si>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</si>
  <si>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</si>
  <si>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</si>
  <si>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</si>
  <si>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</si>
  <si>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</si>
  <si>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</si>
  <si>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</si>
  <si>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</si>
  <si>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</si>
  <si>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</si>
  <si>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</si>
  <si>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</si>
  <si>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</si>
  <si>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</si>
  <si>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</si>
  <si>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</si>
  <si>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</si>
  <si>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</si>
  <si>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</si>
  <si>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</si>
  <si>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</si>
  <si>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</si>
  <si>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</si>
  <si>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</si>
  <si>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</si>
  <si>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</si>
  <si>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</si>
  <si>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</si>
  <si>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</si>
  <si>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</si>
  <si>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</si>
  <si>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</si>
  <si>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</si>
  <si>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</si>
  <si>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</si>
  <si>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</si>
  <si>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</si>
  <si>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</si>
  <si>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</si>
  <si>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</si>
  <si>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</si>
  <si>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</si>
  <si>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</si>
  <si>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</si>
  <si>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</si>
  <si>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</si>
  <si>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</si>
  <si>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</si>
  <si>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</si>
  <si>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</si>
  <si>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</si>
  <si>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</si>
  <si>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</si>
  <si>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</si>
  <si>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</si>
  <si>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</si>
  <si>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</si>
  <si>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</si>
  <si>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</si>
  <si>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</si>
  <si>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</si>
  <si>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</si>
  <si>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</si>
  <si>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</si>
  <si>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</si>
  <si>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</si>
  <si>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</si>
  <si>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</si>
  <si>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</si>
  <si>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</si>
  <si>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</si>
  <si>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</si>
  <si>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</si>
  <si>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</si>
  <si>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</si>
  <si>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</si>
  <si>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</si>
  <si>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</si>
  <si>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</si>
  <si>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</si>
  <si>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</si>
  <si>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</si>
  <si>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</si>
  <si>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</si>
  <si>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</si>
  <si>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</si>
  <si>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</si>
  <si>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</si>
  <si>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</si>
  <si>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</si>
  <si>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</si>
  <si>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</si>
  <si>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</si>
  <si>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</si>
  <si>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</si>
  <si>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</si>
  <si>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yFeC3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</si>
</sst>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6" totalsRowShown="0" headerRowDxfId="14" dataDxfId="12" headerRowBorderDxfId="13" tableBorderDxfId="11" totalsRowBorderDxfId="10">
  <autoFilter ref="A9:J16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2" hidden="1" customWidth="1"/>
    <col min="3" max="3" width="2.44140625" style="32" customWidth="1"/>
    <col min="4" max="4" width="13.77734375" style="32" customWidth="1"/>
    <col min="5" max="5" width="51.33203125" style="33" bestFit="1" customWidth="1"/>
    <col min="6" max="6" width="15.77734375" style="34" bestFit="1" customWidth="1"/>
    <col min="7" max="9" width="13.33203125" style="32" customWidth="1"/>
    <col min="10" max="10" width="48.77734375" style="32" customWidth="1"/>
    <col min="11" max="11" width="2.44140625" style="32" customWidth="1"/>
    <col min="12" max="12" width="0" style="32" hidden="1" customWidth="1"/>
    <col min="13" max="16384" width="9" style="32" hidden="1"/>
  </cols>
  <sheetData>
    <row r="3" spans="4:10"/>
    <row r="4" spans="4:10" ht="18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6">
      <c r="D5" s="51" t="s">
        <v>37</v>
      </c>
      <c r="E5" s="51"/>
      <c r="F5" s="51"/>
      <c r="G5" s="51"/>
      <c r="H5" s="51"/>
      <c r="I5" s="51"/>
      <c r="J5" s="51"/>
    </row>
    <row r="6" spans="4:10" ht="18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4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6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">
      <c r="D9" s="36">
        <v>3</v>
      </c>
      <c r="E9" s="37"/>
      <c r="F9" s="38"/>
      <c r="G9" s="36"/>
      <c r="H9" s="36"/>
      <c r="I9" s="36"/>
      <c r="J9" s="37"/>
    </row>
    <row r="10" spans="4:10" ht="18">
      <c r="D10" s="36">
        <v>4</v>
      </c>
      <c r="E10" s="37"/>
      <c r="F10" s="38"/>
      <c r="G10" s="36"/>
      <c r="H10" s="36"/>
      <c r="I10" s="36"/>
      <c r="J10" s="37"/>
    </row>
    <row r="11" spans="4:10" ht="18">
      <c r="D11" s="36">
        <v>5</v>
      </c>
      <c r="E11" s="37"/>
      <c r="F11" s="38"/>
      <c r="G11" s="36"/>
      <c r="H11" s="36"/>
      <c r="I11" s="36"/>
      <c r="J11" s="37"/>
    </row>
    <row r="12" spans="4:10" ht="18">
      <c r="D12" s="36">
        <v>6</v>
      </c>
      <c r="E12" s="37"/>
      <c r="F12" s="38"/>
      <c r="G12" s="36"/>
      <c r="H12" s="36"/>
      <c r="I12" s="36"/>
      <c r="J12" s="37"/>
    </row>
    <row r="13" spans="4:10" ht="18">
      <c r="D13" s="36">
        <v>7</v>
      </c>
      <c r="E13" s="37"/>
      <c r="F13" s="38"/>
      <c r="G13" s="36"/>
      <c r="H13" s="36"/>
      <c r="I13" s="36"/>
      <c r="J13" s="37"/>
    </row>
    <row r="14" spans="4:10" ht="18">
      <c r="D14" s="36">
        <v>8</v>
      </c>
      <c r="E14" s="37"/>
      <c r="F14" s="38"/>
      <c r="G14" s="36"/>
      <c r="H14" s="36"/>
      <c r="I14" s="36"/>
      <c r="J14" s="37"/>
    </row>
    <row r="15" spans="4:10" ht="18">
      <c r="D15" s="36">
        <v>9</v>
      </c>
      <c r="E15" s="37"/>
      <c r="F15" s="38"/>
      <c r="G15" s="36"/>
      <c r="H15" s="36"/>
      <c r="I15" s="36"/>
      <c r="J15" s="37"/>
    </row>
    <row r="16" spans="4:10" ht="18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6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5" customHeight="1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5" customHeight="1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5" customHeight="1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3.2">
      <c r="A10" s="44" t="s">
        <v>97</v>
      </c>
      <c r="B10" s="29">
        <v>323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3.2">
      <c r="A11" s="4" t="s">
        <v>67</v>
      </c>
      <c r="B11" s="29">
        <v>0.6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3</v>
      </c>
      <c r="I11" s="6">
        <v>1</v>
      </c>
      <c r="J11" s="5" t="s">
        <v>115</v>
      </c>
    </row>
    <row r="12" spans="1:10" ht="43.2">
      <c r="A12" s="4" t="s">
        <v>68</v>
      </c>
      <c r="B12" s="29">
        <v>0.2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3</v>
      </c>
      <c r="I12" s="6">
        <v>1</v>
      </c>
      <c r="J12" s="5" t="s">
        <v>115</v>
      </c>
    </row>
    <row r="13" spans="1:10" ht="43.2">
      <c r="A13" s="4" t="s">
        <v>119</v>
      </c>
      <c r="B13" s="29">
        <v>0.2</v>
      </c>
      <c r="C13" s="2" t="s">
        <v>3</v>
      </c>
      <c r="D13" s="1" t="s">
        <v>23</v>
      </c>
      <c r="E13" s="1" t="s">
        <v>7</v>
      </c>
      <c r="F13" s="2" t="s">
        <v>40</v>
      </c>
      <c r="G13" s="1"/>
      <c r="H13" s="50">
        <f>[1]Initialization!$B$10</f>
        <v>3</v>
      </c>
      <c r="I13" s="6">
        <v>1</v>
      </c>
      <c r="J13" s="5" t="s">
        <v>115</v>
      </c>
    </row>
    <row r="14" spans="1:10" ht="14.4">
      <c r="A14" s="44" t="s">
        <v>107</v>
      </c>
      <c r="B14" s="29">
        <f>0.657*1000/1000000</f>
        <v>6.5700000000000003E-4</v>
      </c>
      <c r="C14" s="31" t="s">
        <v>108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109</v>
      </c>
    </row>
    <row r="15" spans="1:10" ht="14.4">
      <c r="A15" s="44" t="s">
        <v>110</v>
      </c>
      <c r="B15" s="29">
        <f>0.01113*0.001</f>
        <v>1.113E-5</v>
      </c>
      <c r="C15" s="31" t="s">
        <v>111</v>
      </c>
      <c r="D15" s="1" t="s">
        <v>27</v>
      </c>
      <c r="E15" s="1" t="s">
        <v>7</v>
      </c>
      <c r="F15" s="2" t="s">
        <v>48</v>
      </c>
      <c r="G15" s="1">
        <v>1</v>
      </c>
      <c r="H15" s="1">
        <v>1</v>
      </c>
      <c r="I15" s="6">
        <v>1</v>
      </c>
      <c r="J15" s="5" t="s">
        <v>112</v>
      </c>
    </row>
    <row r="16" spans="1:10" ht="14.4">
      <c r="A16" s="8" t="s">
        <v>78</v>
      </c>
      <c r="B16" s="30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79</v>
      </c>
    </row>
  </sheetData>
  <sheetProtection algorithmName="SHA-512" hashValue="AqVDlvdLnkT9Av9Rjx2rXuSW5TYgbecv1cqWsuk0RMU5z/quA+rQlHCfUNr4RGbA9aWORmund6IWOz206hG6dg==" saltValue="t7TUeWFKM+OwXHXSq5rmAw==" spinCount="100000" sheet="1" objects="1" scenarios="1" selectLockedCells="1"/>
  <mergeCells count="2">
    <mergeCell ref="A3:J3"/>
    <mergeCell ref="J4:J8"/>
  </mergeCells>
  <conditionalFormatting sqref="B10:B11 B14:B16">
    <cfRule type="expression" dxfId="22" priority="10">
      <formula>IF(AND($B10&lt;&gt;"",$I10=0),1,0)</formula>
    </cfRule>
    <cfRule type="expression" dxfId="21" priority="11">
      <formula>IF($B10&lt;&gt;"",1,0)</formula>
    </cfRule>
    <cfRule type="expression" dxfId="20" priority="12">
      <formula>$I10=0</formula>
    </cfRule>
  </conditionalFormatting>
  <conditionalFormatting sqref="J4">
    <cfRule type="expression" dxfId="19" priority="96">
      <formula>IF(COUNTA($B$10:$B$16)&lt;&gt;COUNTIF($I$10:$I$16,1),1,0)</formula>
    </cfRule>
    <cfRule type="expression" dxfId="18" priority="97">
      <formula>IF(COUNTA($B$10:$B$16)=COUNTIF($I$10:$I$16,1),1,0)</formula>
    </cfRule>
  </conditionalFormatting>
  <conditionalFormatting sqref="B12:B13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E10:E16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D10:D16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G2"/>
  <sheetViews>
    <sheetView topLeftCell="CF1" workbookViewId="0">
      <selection activeCell="CM2" sqref="CM2"/>
    </sheetView>
  </sheetViews>
  <sheetFormatPr defaultColWidth="8.77734375" defaultRowHeight="14.4"/>
  <sheetData>
    <row r="1" spans="1:7">
      <c r="A1" t="s">
        <v>97</v>
      </c>
      <c r="B1" t="s">
        <v>67</v>
      </c>
      <c r="C1" t="s">
        <v>68</v>
      </c>
      <c r="D1" t="s">
        <v>119</v>
      </c>
      <c r="E1" t="s">
        <v>107</v>
      </c>
      <c r="F1" t="s">
        <v>110</v>
      </c>
      <c r="G1" t="s">
        <v>78</v>
      </c>
    </row>
    <row r="2" spans="1:7">
      <c r="A2">
        <v>323</v>
      </c>
      <c r="B2">
        <v>0.6</v>
      </c>
      <c r="C2">
        <v>0.2</v>
      </c>
      <c r="D2">
        <v>0.2</v>
      </c>
      <c r="E2">
        <v>6.5700000000000003E-4</v>
      </c>
      <c r="F2">
        <v>1.113E-5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G2"/>
  <sheetViews>
    <sheetView topLeftCell="CC1" workbookViewId="0">
      <selection activeCell="CR2" sqref="CR2"/>
    </sheetView>
  </sheetViews>
  <sheetFormatPr defaultColWidth="8.77734375" defaultRowHeight="14.4"/>
  <sheetData>
    <row r="1" spans="1:7">
      <c r="A1" t="s">
        <v>97</v>
      </c>
      <c r="B1" t="s">
        <v>67</v>
      </c>
      <c r="C1" t="s">
        <v>68</v>
      </c>
      <c r="D1" t="s">
        <v>119</v>
      </c>
      <c r="E1" t="s">
        <v>107</v>
      </c>
      <c r="F1" t="s">
        <v>110</v>
      </c>
      <c r="G1" t="s">
        <v>78</v>
      </c>
    </row>
    <row r="2" spans="1:7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2022-12-08T20:13:37Z</dcterms:modified>
</cp:coreProperties>
</file>