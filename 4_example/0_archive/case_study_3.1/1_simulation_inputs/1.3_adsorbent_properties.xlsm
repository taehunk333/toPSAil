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1E8E7995-20F7-4498-BA0F-FACB3AFDB3AB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Isotherm'!$A$2:$J$62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1" i="53" l="1"/>
  <c r="I60" i="53"/>
  <c r="I59" i="53"/>
  <c r="I58" i="53"/>
  <c r="I57" i="53"/>
  <c r="I56" i="53"/>
  <c r="I55" i="53"/>
  <c r="I54" i="53"/>
  <c r="I53" i="53"/>
  <c r="I52" i="53"/>
  <c r="I51" i="53"/>
  <c r="I50" i="53"/>
  <c r="I49" i="53"/>
  <c r="I48" i="53"/>
  <c r="I47" i="53"/>
  <c r="I46" i="53"/>
  <c r="I45" i="53"/>
  <c r="I44" i="53"/>
  <c r="H61" i="53"/>
  <c r="H60" i="53"/>
  <c r="H59" i="53"/>
  <c r="H58" i="53"/>
  <c r="H57" i="53"/>
  <c r="H56" i="53"/>
  <c r="H55" i="53"/>
  <c r="H54" i="53"/>
  <c r="H53" i="53"/>
  <c r="H52" i="53"/>
  <c r="H51" i="53"/>
  <c r="H50" i="53"/>
  <c r="H49" i="53"/>
  <c r="H48" i="53"/>
  <c r="H47" i="53"/>
  <c r="H46" i="53"/>
  <c r="H45" i="53"/>
  <c r="H44" i="53"/>
  <c r="B20" i="53" l="1"/>
  <c r="B21" i="53"/>
  <c r="B22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<sst xmlns="http://schemas.openxmlformats.org/spreadsheetml/2006/main" count="727" uniqueCount="235">
  <si>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</si>
  <si>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</si>
  <si>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</si>
  <si>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</si>
  <si>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</si>
  <si>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</si>
  <si>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</si>
  <si>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</si>
  <si>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</si>
  <si>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</si>
  <si>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</si>
  <si>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</si>
  <si>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</si>
  <si>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</si>
  <si>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</si>
  <si>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</si>
  <si>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</si>
  <si>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</si>
  <si>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</si>
  <si>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</si>
  <si>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</si>
  <si>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</si>
  <si>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</si>
  <si>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</si>
  <si>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</si>
  <si>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</si>
  <si>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</si>
  <si>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</si>
  <si>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</si>
  <si>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</si>
  <si>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</si>
  <si>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</si>
  <si>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</si>
  <si>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</si>
  <si>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</si>
  <si>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</si>
  <si>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</si>
  <si>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</si>
  <si>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</si>
  <si>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</si>
  <si>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</si>
  <si>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</si>
  <si>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</si>
  <si>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</si>
  <si>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</si>
  <si>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</si>
  <si>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</si>
  <si>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</si>
  <si>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</si>
  <si>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</si>
  <si>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</si>
  <si>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</si>
  <si>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</si>
  <si>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</si>
  <si>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</si>
  <si>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</si>
  <si>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</si>
  <si>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</si>
  <si>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</si>
  <si>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</si>
  <si>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</si>
  <si>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</si>
  <si>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</si>
  <si>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</si>
  <si>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</si>
  <si>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</si>
  <si>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</si>
  <si>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</si>
  <si>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</si>
  <si>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</si>
  <si>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</si>
  <si>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</si>
  <si>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</si>
  <si>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</si>
  <si>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</si>
  <si>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</si>
  <si>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</si>
  <si>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</si>
  <si>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</si>
  <si>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</si>
  <si>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</si>
  <si>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</si>
  <si>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</si>
  <si>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</si>
  <si>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</si>
  <si>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</si>
  <si>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</si>
  <si>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</si>
  <si>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</si>
  <si>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</si>
  <si>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</si>
  <si>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</si>
  <si>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</si>
  <si>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</si>
  <si>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</si>
  <si>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</si>
  <si>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</si>
  <si>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</si>
  <si>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</si>
  <si>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</si>
  <si>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</si>
  <si>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</si>
  <si>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</si>
  <si>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</si>
  <si>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</si>
  <si>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</si>
  <si>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</si>
  <si>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</si>
  <si>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</si>
  <si>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</si>
  <si>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</si>
  <si>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</si>
  <si>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</si>
  <si>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</si>
  <si>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</si>
  <si>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</si>
  <si>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</si>
  <si>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</si>
  <si>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</si>
  <si>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</si>
  <si>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</si>
  <si>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</si>
  <si>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</si>
  <si>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</si>
  <si>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</si>
  <si>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</si>
  <si>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</si>
  <si>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</si>
  <si>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</si>
  <si>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</si>
  <si>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</si>
  <si>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</si>
  <si>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</si>
  <si>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</si>
  <si>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</si>
  <si>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</si>
  <si>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</si>
  <si>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</si>
  <si>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</si>
  <si>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</si>
  <si>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</si>
  <si>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</si>
  <si>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</si>
  <si>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</si>
  <si>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</si>
  <si>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</si>
  <si>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</si>
  <si>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</si>
  <si>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</si>
  <si>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</si>
  <si>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</si>
  <si>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</si>
  <si>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</si>
  <si>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</si>
  <si>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</si>
  <si>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</si>
  <si>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</si>
  <si>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</si>
  <si>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</si>
  <si>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</si>
  <si>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</si>
  <si>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</si>
  <si>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</si>
  <si>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</si>
  <si>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</si>
  <si>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</si>
  <si>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</si>
  <si>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</si>
  <si>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</si>
  <si>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</si>
  <si>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</si>
  <si>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</si>
  <si>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</si>
  <si>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</si>
  <si>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</si>
  <si>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</si>
  <si>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</si>
  <si>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</si>
  <si>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</si>
  <si>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</si>
  <si>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</si>
  <si>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</si>
  <si>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</si>
  <si>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</si>
  <si>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</si>
  <si>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</si>
  <si>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</si>
  <si>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</si>
  <si>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</si>
  <si>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</si>
  <si>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</si>
  <si>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</si>
  <si>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</si>
  <si>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</si>
  <si>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</si>
  <si>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</si>
  <si>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</si>
  <si>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</si>
  <si>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</si>
  <si>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</si>
  <si>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</si>
  <si>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</si>
  <si>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</si>
  <si>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</si>
  <si>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</si>
  <si>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</si>
  <si>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</si>
  <si>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</si>
  <si>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</si>
  <si>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qSatSiteOneC3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</si>
  <si>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</si>
  <si>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</si>
  <si>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</si>
  <si>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</si>
  <si>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qSatSiteTwoC3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</si>
  <si>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</si>
  <si>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</si>
  <si>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</si>
  <si>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</si>
  <si>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bSiteOneC3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</si>
  <si>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</si>
  <si>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</si>
  <si>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</si>
  <si>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</si>
  <si>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bSiteTwoC3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</si>
  <si>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</si>
  <si>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</si>
  <si>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</si>
  <si>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</si>
  <si>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nSiteOneC3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</si>
  <si>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</si>
  <si>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</si>
  <si>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</si>
  <si>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</si>
  <si>
    <t>nSiteTwoC3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</si>
</sst>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95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94" dataDxfId="192" headerRowBorderDxfId="193" tableBorderDxfId="191" totalsRowBorderDxfId="190">
  <autoFilter ref="A9:J11" xr:uid="{B089C5C3-2CCE-4800-96CA-2131BB6E3E4F}"/>
  <tableColumns count="10">
    <tableColumn id="1" xr3:uid="{A63D443C-23FA-C546-879B-699C109A0CA2}" name="Variable" dataDxfId="189"/>
    <tableColumn id="4" xr3:uid="{1A5FFB41-EB4E-E74A-8922-4B34B9316DE5}" name="Value" dataDxfId="188">
      <calculatedColumnFormula>0.0008*100</calculatedColumnFormula>
    </tableColumn>
    <tableColumn id="5" xr3:uid="{BF7F7945-F7EF-9B43-BD77-AD1154395D6F}" name="Unit" dataDxfId="187"/>
    <tableColumn id="6" xr3:uid="{97B66A41-BCC9-AB4A-9001-73F9BCD59411}" name="Comparisons" dataDxfId="186"/>
    <tableColumn id="7" xr3:uid="{0CC57FA7-D6D5-D04B-8A50-C681928970E3}" name="Variable Type" dataDxfId="185"/>
    <tableColumn id="8" xr3:uid="{793541F2-DD76-C241-9A02-11BCAFDBFB73}" name="Dependency" dataDxfId="184"/>
    <tableColumn id="12" xr3:uid="{77D37813-222C-3645-B2B0-7C5CE186734F}" name="Test 1" dataDxfId="183"/>
    <tableColumn id="10" xr3:uid="{705C6C59-C9FA-CF40-8C63-CC7BAA8D5513}" name="Test 2" dataDxfId="182"/>
    <tableColumn id="2" xr3:uid="{3CCF3320-E3BD-5A4C-926A-DD0EC2697FB0}" name="Test 3" dataDxfId="181"/>
    <tableColumn id="9" xr3:uid="{DFCD7E77-6792-EC4A-8937-7BD5661A57E7}" name="Description" dataDxfId="18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79" dataDxfId="177" headerRowBorderDxfId="178" tableBorderDxfId="176" totalsRowBorderDxfId="175">
  <autoFilter ref="A9:J13" xr:uid="{B089C5C3-2CCE-4800-96CA-2131BB6E3E4F}"/>
  <tableColumns count="10">
    <tableColumn id="1" xr3:uid="{20310A95-CEA4-0E46-A375-D38774A1331C}" name="Variable" dataDxfId="174"/>
    <tableColumn id="4" xr3:uid="{677D6E7A-ABBB-7F47-BEBA-202C00329494}" name="Value" dataDxfId="173"/>
    <tableColumn id="5" xr3:uid="{4C9D6E28-38C2-434B-8F96-F002277F8DF6}" name="Unit" dataDxfId="172"/>
    <tableColumn id="6" xr3:uid="{14421855-DDE0-1B4F-9E2F-0DCEAE184349}" name="Comparisons" dataDxfId="171"/>
    <tableColumn id="7" xr3:uid="{B52A6C11-F701-BB42-BCC5-C034770E9DBB}" name="Variable Type" dataDxfId="170"/>
    <tableColumn id="8" xr3:uid="{7995AC5C-141D-1241-85F4-ED670AA6D852}" name="Dependency" dataDxfId="169"/>
    <tableColumn id="12" xr3:uid="{36F66342-4897-3D48-B96B-71B0734889A5}" name="Test 1" dataDxfId="168"/>
    <tableColumn id="10" xr3:uid="{7FE5DC9B-6534-0E47-9DE7-3B926E4C9E93}" name="Test 2" dataDxfId="167"/>
    <tableColumn id="2" xr3:uid="{B9967632-3249-EA4A-A375-C9085B3EE56A}" name="Test 3" dataDxfId="166"/>
    <tableColumn id="9" xr3:uid="{A656D5B2-43BE-D144-B69B-B013AE6BC6D4}" name="Description" dataDxfId="1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64" dataDxfId="162" headerRowBorderDxfId="163" tableBorderDxfId="161" totalsRowBorderDxfId="160">
  <autoFilter ref="A9:J12" xr:uid="{B089C5C3-2CCE-4800-96CA-2131BB6E3E4F}"/>
  <tableColumns count="10">
    <tableColumn id="1" xr3:uid="{29F8658A-9F09-7042-A7EC-353D08C08D34}" name="Variable" dataDxfId="159"/>
    <tableColumn id="4" xr3:uid="{0AC5C09B-7B5C-9640-A6C7-5BA8E05A9F0D}" name="Value" dataDxfId="158"/>
    <tableColumn id="5" xr3:uid="{4A165AEE-D3E0-DB4C-9890-DA2D18843B58}" name="Unit" dataDxfId="157"/>
    <tableColumn id="6" xr3:uid="{23F62B44-EB3B-FD48-85F1-55541D28F146}" name="Comparisons" dataDxfId="156"/>
    <tableColumn id="7" xr3:uid="{24641755-61AF-6C44-A79C-0EC6F77B3090}" name="Variable Type" dataDxfId="155"/>
    <tableColumn id="8" xr3:uid="{8EB70C81-0937-1548-8A36-195915CD1F99}" name="Dependency" dataDxfId="154"/>
    <tableColumn id="12" xr3:uid="{636C1BEE-1088-1842-B84F-652A0A7EFF6A}" name="Test 1" dataDxfId="153"/>
    <tableColumn id="10" xr3:uid="{611EFDE4-0DDB-044D-8690-A970063DA108}" name="Test 2" dataDxfId="152"/>
    <tableColumn id="2" xr3:uid="{2E2B9EE9-BE3C-354D-8E63-B39DE80C44A0}" name="Test 3" dataDxfId="151"/>
    <tableColumn id="9" xr3:uid="{F8DFB1CD-985B-4E45-BA3D-DD47F4100DAE}" name="Description" dataDxfId="1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62" totalsRowShown="0" headerRowDxfId="149" dataDxfId="147" headerRowBorderDxfId="148" tableBorderDxfId="146" totalsRowBorderDxfId="145">
  <autoFilter ref="A9:J62" xr:uid="{B089C5C3-2CCE-4800-96CA-2131BB6E3E4F}"/>
  <tableColumns count="10">
    <tableColumn id="1" xr3:uid="{281F5226-2025-4C6E-999C-A8F575CB206B}" name="Variable" dataDxfId="144"/>
    <tableColumn id="4" xr3:uid="{907AC290-8B5F-4AFA-8DCB-C690B3734F6B}" name="Value" dataDxfId="143"/>
    <tableColumn id="5" xr3:uid="{76BE4CFE-05C6-43DC-A13C-4BFE2A2E4F38}" name="Unit" dataDxfId="142"/>
    <tableColumn id="6" xr3:uid="{8061F981-FF76-4C8B-B572-12CB713F43CB}" name="Comparisons" dataDxfId="141"/>
    <tableColumn id="7" xr3:uid="{2BCD4B9F-F682-4298-A3AA-A5F92D2263C4}" name="Variable Type" dataDxfId="140"/>
    <tableColumn id="8" xr3:uid="{1CC9FBBF-69F8-429A-814B-71DBAFF37359}" name="Dependency" dataDxfId="139"/>
    <tableColumn id="12" xr3:uid="{D2543F4F-0C85-4145-B5BB-64C7DAAA0F12}" name="Test 1" dataDxfId="138"/>
    <tableColumn id="10" xr3:uid="{4C9832B7-0AD2-4777-AAFC-C60DE2F7DA3B}" name="Test 2" dataDxfId="137"/>
    <tableColumn id="2" xr3:uid="{E95041DF-C927-4C37-AF74-78F291F45F62}" name="Test 3" dataDxfId="136"/>
    <tableColumn id="9" xr3:uid="{F7EA5B65-C16E-4E6D-B23B-ACC0E861E56F}" name="Description" dataDxfId="1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134" dataDxfId="132" headerRowBorderDxfId="133" tableBorderDxfId="131" totalsRowBorderDxfId="130">
  <autoFilter ref="A9:J13" xr:uid="{B089C5C3-2CCE-4800-96CA-2131BB6E3E4F}"/>
  <tableColumns count="10">
    <tableColumn id="1" xr3:uid="{44E0B3A5-6A4B-4795-9F7F-DFBC306A75AE}" name="Variable" dataDxfId="129"/>
    <tableColumn id="4" xr3:uid="{34601FCC-65BC-4521-A6D7-320915B57F27}" name="Value" dataDxfId="128">
      <calculatedColumnFormula>0.0147*8</calculatedColumnFormula>
    </tableColumn>
    <tableColumn id="5" xr3:uid="{36AA1FCE-8527-4F3E-BCD1-98FD13692D02}" name="Unit" dataDxfId="127"/>
    <tableColumn id="6" xr3:uid="{12237314-E311-4D61-9218-5391943A2DF3}" name="Comparisons" dataDxfId="126"/>
    <tableColumn id="7" xr3:uid="{602D3377-1190-430C-923B-FDC8A407022D}" name="Variable Type" dataDxfId="125"/>
    <tableColumn id="8" xr3:uid="{10F3779F-E5E0-418C-9D45-01C039CD3A06}" name="Dependency" dataDxfId="124"/>
    <tableColumn id="12" xr3:uid="{69811E65-CA30-400A-95DC-3E2E433E9B45}" name="Test 1" dataDxfId="123"/>
    <tableColumn id="10" xr3:uid="{653CF00F-2786-4470-A0B5-63F5C3F8853F}" name="Test 2" dataDxfId="122"/>
    <tableColumn id="2" xr3:uid="{FB2088F6-6335-4325-9E72-FE87533BD5DC}" name="Test 3" dataDxfId="121"/>
    <tableColumn id="9" xr3:uid="{5B622A13-3DAF-4FB5-869E-E869B7C199FB}" name="Description" dataDxfId="1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19" dataDxfId="117" headerRowBorderDxfId="118" tableBorderDxfId="116" totalsRowBorderDxfId="115">
  <autoFilter ref="A9:J11" xr:uid="{B089C5C3-2CCE-4800-96CA-2131BB6E3E4F}"/>
  <tableColumns count="10">
    <tableColumn id="1" xr3:uid="{DBE15C7C-7AE8-4197-9E17-CD007CF8C5FE}" name="Variable" dataDxfId="114"/>
    <tableColumn id="4" xr3:uid="{40508BC8-45BC-49EB-A17C-121430373278}" name="Value" dataDxfId="113"/>
    <tableColumn id="5" xr3:uid="{1CD86463-E067-4143-95C2-583D377FAAE6}" name="Unit" dataDxfId="112"/>
    <tableColumn id="6" xr3:uid="{1D18AAC5-0CB5-4DEB-B9B3-68FDCBC289FF}" name="Comparisons" dataDxfId="111"/>
    <tableColumn id="7" xr3:uid="{350A3D9D-FF88-48A6-9C9C-360DB7A75B19}" name="Variable Type" dataDxfId="110"/>
    <tableColumn id="8" xr3:uid="{C65F767F-A83E-4992-8442-9E9D0E9EE5C7}" name="Dependency" dataDxfId="109"/>
    <tableColumn id="12" xr3:uid="{CC077F18-CA37-4F98-A76A-E0D3A7D055BB}" name="Test 1" dataDxfId="108"/>
    <tableColumn id="10" xr3:uid="{F91A5AB3-846A-45A0-84A7-E06C47BD0B5C}" name="Test 2" dataDxfId="107"/>
    <tableColumn id="2" xr3:uid="{28BC6DC0-30C7-420F-8628-33D17D150141}" name="Test 3" dataDxfId="106"/>
    <tableColumn id="9" xr3:uid="{85DFE1D5-A6BC-434B-AF31-6872BC06B6FB}" name="Description" dataDxfId="10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04" priority="7">
      <formula>IF(AND($B11&lt;&gt;"",$I11=0),1,0)</formula>
    </cfRule>
    <cfRule type="expression" dxfId="103" priority="8">
      <formula>IF($B11&lt;&gt;"",1,0)</formula>
    </cfRule>
    <cfRule type="expression" dxfId="102" priority="9">
      <formula>$I11=0</formula>
    </cfRule>
  </conditionalFormatting>
  <conditionalFormatting sqref="B10">
    <cfRule type="expression" dxfId="101" priority="1">
      <formula>IF(AND($B10&lt;&gt;"",$I10=0),1,0)</formula>
    </cfRule>
    <cfRule type="expression" dxfId="100" priority="2">
      <formula>IF($B10&lt;&gt;"",1,0)</formula>
    </cfRule>
    <cfRule type="expression" dxfId="99" priority="3">
      <formula>$I10=0</formula>
    </cfRule>
  </conditionalFormatting>
  <conditionalFormatting sqref="J4">
    <cfRule type="expression" dxfId="98" priority="2056">
      <formula>IF(COUNTA($B$10:$B$11)&lt;&gt;COUNTIF($I$10:$I$11,1),1,0)</formula>
    </cfRule>
    <cfRule type="expression" dxfId="97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96" priority="7">
      <formula>IF(AND($B11&lt;&gt;"",$I11=0),1,0)</formula>
    </cfRule>
    <cfRule type="expression" dxfId="95" priority="8">
      <formula>IF($B11&lt;&gt;"",1,0)</formula>
    </cfRule>
    <cfRule type="expression" dxfId="94" priority="9">
      <formula>$I11=0</formula>
    </cfRule>
  </conditionalFormatting>
  <conditionalFormatting sqref="B10">
    <cfRule type="expression" dxfId="93" priority="1">
      <formula>IF(AND($B10&lt;&gt;"",$I10=0),1,0)</formula>
    </cfRule>
    <cfRule type="expression" dxfId="92" priority="2">
      <formula>IF($B10&lt;&gt;"",1,0)</formula>
    </cfRule>
    <cfRule type="expression" dxfId="91" priority="3">
      <formula>$I10=0</formula>
    </cfRule>
  </conditionalFormatting>
  <conditionalFormatting sqref="J4">
    <cfRule type="expression" dxfId="90" priority="2058">
      <formula>IF(COUNTA($B$10:$B$13)&lt;&gt;COUNTIF($I$10:$I$13,1),1,0)</formula>
    </cfRule>
    <cfRule type="expression" dxfId="89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88" priority="7">
      <formula>IF(AND($B10&lt;&gt;"",$I10=0),1,0)</formula>
    </cfRule>
    <cfRule type="expression" dxfId="87" priority="8">
      <formula>IF($B10&lt;&gt;"",1,0)</formula>
    </cfRule>
    <cfRule type="expression" dxfId="86" priority="9">
      <formula>$I10=0</formula>
    </cfRule>
  </conditionalFormatting>
  <conditionalFormatting sqref="J4">
    <cfRule type="expression" dxfId="85" priority="2062">
      <formula>IF(COUNTA($B$10:$B$12)&lt;&gt;COUNTIF($I$10:$I$12,1),1,0)</formula>
    </cfRule>
    <cfRule type="expression" dxfId="84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62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323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180</v>
      </c>
    </row>
    <row r="13" spans="1:10" ht="87.6">
      <c r="A13" s="59" t="s">
        <v>199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180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58.8">
      <c r="A16" s="4" t="s">
        <v>197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58.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02">
      <c r="A20" s="59" t="s">
        <v>163</v>
      </c>
      <c r="B20" s="33">
        <f>0.0000434*EXP(15675/(8.314*$B$10))</f>
        <v>1.487639278386854E-2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183</v>
      </c>
    </row>
    <row r="21" spans="1:10" ht="102">
      <c r="A21" s="59" t="s">
        <v>164</v>
      </c>
      <c r="B21" s="33">
        <f>0.0000179*EXP(15716/(8.314*$B$10))</f>
        <v>6.2300506970614433E-3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183</v>
      </c>
    </row>
    <row r="22" spans="1:10" ht="102">
      <c r="A22" s="59" t="s">
        <v>196</v>
      </c>
      <c r="B22" s="62">
        <f>0.0000000032*EXP(54729/(8.314*$B$10))</f>
        <v>2.2703229200334412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183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184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184</v>
      </c>
    </row>
    <row r="25" spans="1:10" ht="58.8">
      <c r="A25" s="59" t="s">
        <v>195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184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185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185</v>
      </c>
    </row>
    <row r="28" spans="1:10" ht="58.8">
      <c r="A28" s="59" t="s">
        <v>194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185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186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186</v>
      </c>
    </row>
    <row r="31" spans="1:10" ht="58.8">
      <c r="A31" s="59" t="s">
        <v>193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186</v>
      </c>
    </row>
    <row r="32" spans="1:10" ht="58.8">
      <c r="A32" s="59" t="s">
        <v>171</v>
      </c>
      <c r="B32" s="33"/>
      <c r="C32" s="57" t="s">
        <v>204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187</v>
      </c>
    </row>
    <row r="33" spans="1:10" ht="58.8">
      <c r="A33" s="59" t="s">
        <v>172</v>
      </c>
      <c r="B33" s="33"/>
      <c r="C33" s="57" t="s">
        <v>204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187</v>
      </c>
    </row>
    <row r="34" spans="1:10" ht="58.8">
      <c r="A34" s="59" t="s">
        <v>192</v>
      </c>
      <c r="B34" s="33"/>
      <c r="C34" s="57" t="s">
        <v>204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187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188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188</v>
      </c>
    </row>
    <row r="37" spans="1:10" ht="58.8">
      <c r="A37" s="59" t="s">
        <v>191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188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202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202</v>
      </c>
    </row>
    <row r="40" spans="1:10" ht="87.6">
      <c r="A40" s="59" t="s">
        <v>190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202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203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203</v>
      </c>
    </row>
    <row r="43" spans="1:10" ht="58.8">
      <c r="A43" s="59" t="s">
        <v>189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203</v>
      </c>
    </row>
    <row r="44" spans="1:10" ht="43.2">
      <c r="A44" s="70" t="s">
        <v>205</v>
      </c>
      <c r="B44" s="71"/>
      <c r="C44" s="35" t="s">
        <v>161</v>
      </c>
      <c r="D44" s="1" t="s">
        <v>24</v>
      </c>
      <c r="E44" s="1" t="s">
        <v>11</v>
      </c>
      <c r="F44" s="2" t="s">
        <v>5</v>
      </c>
      <c r="G44" s="1">
        <v>1</v>
      </c>
      <c r="H44" s="55">
        <f>[1]Initialization!$B$10</f>
        <v>3</v>
      </c>
      <c r="I44" s="44">
        <f>IF(OR('[2]Model Selection'!$B$10=5,'[2]Model Selection'!$B$10=6),1,0)</f>
        <v>0</v>
      </c>
      <c r="J44" s="72" t="s">
        <v>206</v>
      </c>
    </row>
    <row r="45" spans="1:10" ht="43.2">
      <c r="A45" s="70" t="s">
        <v>207</v>
      </c>
      <c r="B45" s="71"/>
      <c r="C45" s="35" t="s">
        <v>161</v>
      </c>
      <c r="D45" s="1" t="s">
        <v>24</v>
      </c>
      <c r="E45" s="1" t="s">
        <v>11</v>
      </c>
      <c r="F45" s="2" t="s">
        <v>5</v>
      </c>
      <c r="G45" s="1"/>
      <c r="H45" s="55">
        <f>[1]Initialization!$B$10</f>
        <v>3</v>
      </c>
      <c r="I45" s="44">
        <f>IF(OR('[2]Model Selection'!$B$10=5,'[2]Model Selection'!$B$10=6),1,0)</f>
        <v>0</v>
      </c>
      <c r="J45" s="72" t="s">
        <v>208</v>
      </c>
    </row>
    <row r="46" spans="1:10" ht="43.2">
      <c r="A46" s="70" t="s">
        <v>209</v>
      </c>
      <c r="B46" s="71"/>
      <c r="C46" s="35" t="s">
        <v>161</v>
      </c>
      <c r="D46" s="1" t="s">
        <v>24</v>
      </c>
      <c r="E46" s="1" t="s">
        <v>11</v>
      </c>
      <c r="F46" s="2" t="s">
        <v>5</v>
      </c>
      <c r="G46" s="1"/>
      <c r="H46" s="55">
        <f>[1]Initialization!$B$10</f>
        <v>3</v>
      </c>
      <c r="I46" s="44">
        <f>IF(OR('[2]Model Selection'!$B$10=5,'[2]Model Selection'!$B$10=6),1,0)</f>
        <v>0</v>
      </c>
      <c r="J46" s="72" t="s">
        <v>208</v>
      </c>
    </row>
    <row r="47" spans="1:10" ht="43.2">
      <c r="A47" s="70" t="s">
        <v>210</v>
      </c>
      <c r="B47" s="71"/>
      <c r="C47" s="35" t="s">
        <v>161</v>
      </c>
      <c r="D47" s="1" t="s">
        <v>24</v>
      </c>
      <c r="E47" s="1" t="s">
        <v>11</v>
      </c>
      <c r="F47" s="2" t="s">
        <v>5</v>
      </c>
      <c r="G47" s="1">
        <v>1</v>
      </c>
      <c r="H47" s="55">
        <f>[1]Initialization!$B$10</f>
        <v>3</v>
      </c>
      <c r="I47" s="44">
        <f>IF(OR('[2]Model Selection'!$B$10=5,'[2]Model Selection'!$B$10=6),1,0)</f>
        <v>0</v>
      </c>
      <c r="J47" s="72" t="s">
        <v>211</v>
      </c>
    </row>
    <row r="48" spans="1:10" ht="43.2">
      <c r="A48" s="70" t="s">
        <v>212</v>
      </c>
      <c r="B48" s="71"/>
      <c r="C48" s="35" t="s">
        <v>161</v>
      </c>
      <c r="D48" s="1" t="s">
        <v>24</v>
      </c>
      <c r="E48" s="1" t="s">
        <v>11</v>
      </c>
      <c r="F48" s="2" t="s">
        <v>5</v>
      </c>
      <c r="G48" s="1"/>
      <c r="H48" s="55">
        <f>[1]Initialization!$B$10</f>
        <v>3</v>
      </c>
      <c r="I48" s="44">
        <f>IF(OR('[2]Model Selection'!$B$10=5,'[2]Model Selection'!$B$10=6),1,0)</f>
        <v>0</v>
      </c>
      <c r="J48" s="72" t="s">
        <v>213</v>
      </c>
    </row>
    <row r="49" spans="1:10" ht="43.2">
      <c r="A49" s="70" t="s">
        <v>214</v>
      </c>
      <c r="B49" s="71"/>
      <c r="C49" s="35" t="s">
        <v>161</v>
      </c>
      <c r="D49" s="1" t="s">
        <v>24</v>
      </c>
      <c r="E49" s="1" t="s">
        <v>11</v>
      </c>
      <c r="F49" s="2" t="s">
        <v>5</v>
      </c>
      <c r="G49" s="1"/>
      <c r="H49" s="55">
        <f>[1]Initialization!$B$10</f>
        <v>3</v>
      </c>
      <c r="I49" s="44">
        <f>IF(OR('[2]Model Selection'!$B$10=5,'[2]Model Selection'!$B$10=6),1,0)</f>
        <v>0</v>
      </c>
      <c r="J49" s="72" t="s">
        <v>213</v>
      </c>
    </row>
    <row r="50" spans="1:10" ht="43.2">
      <c r="A50" s="70" t="s">
        <v>215</v>
      </c>
      <c r="B50" s="71"/>
      <c r="C50" s="35" t="s">
        <v>160</v>
      </c>
      <c r="D50" s="1" t="s">
        <v>24</v>
      </c>
      <c r="E50" s="1" t="s">
        <v>11</v>
      </c>
      <c r="F50" s="2" t="s">
        <v>5</v>
      </c>
      <c r="G50" s="1">
        <v>1</v>
      </c>
      <c r="H50" s="55">
        <f>[1]Initialization!$B$10</f>
        <v>3</v>
      </c>
      <c r="I50" s="44">
        <f>IF(OR('[2]Model Selection'!$B$10=5,'[2]Model Selection'!$B$10=6),1,0)</f>
        <v>0</v>
      </c>
      <c r="J50" s="72" t="s">
        <v>216</v>
      </c>
    </row>
    <row r="51" spans="1:10" ht="43.2">
      <c r="A51" s="70" t="s">
        <v>217</v>
      </c>
      <c r="B51" s="71"/>
      <c r="C51" s="35" t="s">
        <v>160</v>
      </c>
      <c r="D51" s="1" t="s">
        <v>24</v>
      </c>
      <c r="E51" s="1" t="s">
        <v>11</v>
      </c>
      <c r="F51" s="2" t="s">
        <v>5</v>
      </c>
      <c r="G51" s="1"/>
      <c r="H51" s="55">
        <f>[1]Initialization!$B$10</f>
        <v>3</v>
      </c>
      <c r="I51" s="44">
        <f>IF(OR('[2]Model Selection'!$B$10=5,'[2]Model Selection'!$B$10=6),1,0)</f>
        <v>0</v>
      </c>
      <c r="J51" s="72" t="s">
        <v>218</v>
      </c>
    </row>
    <row r="52" spans="1:10" ht="43.2">
      <c r="A52" s="70" t="s">
        <v>219</v>
      </c>
      <c r="B52" s="71"/>
      <c r="C52" s="35" t="s">
        <v>160</v>
      </c>
      <c r="D52" s="1" t="s">
        <v>24</v>
      </c>
      <c r="E52" s="1" t="s">
        <v>11</v>
      </c>
      <c r="F52" s="2" t="s">
        <v>5</v>
      </c>
      <c r="G52" s="1"/>
      <c r="H52" s="55">
        <f>[1]Initialization!$B$10</f>
        <v>3</v>
      </c>
      <c r="I52" s="44">
        <f>IF(OR('[2]Model Selection'!$B$10=5,'[2]Model Selection'!$B$10=6),1,0)</f>
        <v>0</v>
      </c>
      <c r="J52" s="72" t="s">
        <v>218</v>
      </c>
    </row>
    <row r="53" spans="1:10" ht="43.2">
      <c r="A53" s="70" t="s">
        <v>220</v>
      </c>
      <c r="B53" s="71"/>
      <c r="C53" s="35" t="s">
        <v>160</v>
      </c>
      <c r="D53" s="1" t="s">
        <v>24</v>
      </c>
      <c r="E53" s="1" t="s">
        <v>11</v>
      </c>
      <c r="F53" s="2" t="s">
        <v>5</v>
      </c>
      <c r="G53" s="1">
        <v>1</v>
      </c>
      <c r="H53" s="55">
        <f>[1]Initialization!$B$10</f>
        <v>3</v>
      </c>
      <c r="I53" s="44">
        <f>IF(OR('[2]Model Selection'!$B$10=5,'[2]Model Selection'!$B$10=6),1,0)</f>
        <v>0</v>
      </c>
      <c r="J53" s="72" t="s">
        <v>221</v>
      </c>
    </row>
    <row r="54" spans="1:10" ht="43.2">
      <c r="A54" s="70" t="s">
        <v>222</v>
      </c>
      <c r="B54" s="71"/>
      <c r="C54" s="35" t="s">
        <v>160</v>
      </c>
      <c r="D54" s="1" t="s">
        <v>24</v>
      </c>
      <c r="E54" s="1" t="s">
        <v>11</v>
      </c>
      <c r="F54" s="2" t="s">
        <v>5</v>
      </c>
      <c r="G54" s="1"/>
      <c r="H54" s="55">
        <f>[1]Initialization!$B$10</f>
        <v>3</v>
      </c>
      <c r="I54" s="44">
        <f>IF(OR('[2]Model Selection'!$B$10=5,'[2]Model Selection'!$B$10=6),1,0)</f>
        <v>0</v>
      </c>
      <c r="J54" s="72" t="s">
        <v>223</v>
      </c>
    </row>
    <row r="55" spans="1:10" ht="43.2">
      <c r="A55" s="70" t="s">
        <v>224</v>
      </c>
      <c r="B55" s="71"/>
      <c r="C55" s="35" t="s">
        <v>160</v>
      </c>
      <c r="D55" s="1" t="s">
        <v>24</v>
      </c>
      <c r="E55" s="1" t="s">
        <v>11</v>
      </c>
      <c r="F55" s="2" t="s">
        <v>5</v>
      </c>
      <c r="G55" s="1"/>
      <c r="H55" s="55">
        <f>[1]Initialization!$B$10</f>
        <v>3</v>
      </c>
      <c r="I55" s="44">
        <f>IF(OR('[2]Model Selection'!$B$10=5,'[2]Model Selection'!$B$10=6),1,0)</f>
        <v>0</v>
      </c>
      <c r="J55" s="72" t="s">
        <v>223</v>
      </c>
    </row>
    <row r="56" spans="1:10" ht="43.2">
      <c r="A56" s="70" t="s">
        <v>225</v>
      </c>
      <c r="B56" s="71"/>
      <c r="C56" s="35" t="s">
        <v>3</v>
      </c>
      <c r="D56" s="1" t="s">
        <v>24</v>
      </c>
      <c r="E56" s="1" t="s">
        <v>11</v>
      </c>
      <c r="F56" s="2" t="s">
        <v>5</v>
      </c>
      <c r="G56" s="1">
        <v>1</v>
      </c>
      <c r="H56" s="55">
        <f>[1]Initialization!$B$10</f>
        <v>3</v>
      </c>
      <c r="I56" s="44">
        <f>IF(OR('[2]Model Selection'!$B$10=5,'[2]Model Selection'!$B$10=6),1,0)</f>
        <v>0</v>
      </c>
      <c r="J56" s="72" t="s">
        <v>226</v>
      </c>
    </row>
    <row r="57" spans="1:10" ht="43.2">
      <c r="A57" s="70" t="s">
        <v>227</v>
      </c>
      <c r="B57" s="71"/>
      <c r="C57" s="35" t="s">
        <v>3</v>
      </c>
      <c r="D57" s="1" t="s">
        <v>24</v>
      </c>
      <c r="E57" s="1" t="s">
        <v>11</v>
      </c>
      <c r="F57" s="2" t="s">
        <v>5</v>
      </c>
      <c r="G57" s="1"/>
      <c r="H57" s="55">
        <f>[1]Initialization!$B$10</f>
        <v>3</v>
      </c>
      <c r="I57" s="44">
        <f>IF(OR('[2]Model Selection'!$B$10=5,'[2]Model Selection'!$B$10=6),1,0)</f>
        <v>0</v>
      </c>
      <c r="J57" s="72" t="s">
        <v>228</v>
      </c>
    </row>
    <row r="58" spans="1:10" ht="43.2">
      <c r="A58" s="70" t="s">
        <v>229</v>
      </c>
      <c r="B58" s="71"/>
      <c r="C58" s="35" t="s">
        <v>3</v>
      </c>
      <c r="D58" s="1" t="s">
        <v>24</v>
      </c>
      <c r="E58" s="1" t="s">
        <v>11</v>
      </c>
      <c r="F58" s="2" t="s">
        <v>5</v>
      </c>
      <c r="G58" s="1"/>
      <c r="H58" s="55">
        <f>[1]Initialization!$B$10</f>
        <v>3</v>
      </c>
      <c r="I58" s="44">
        <f>IF(OR('[2]Model Selection'!$B$10=5,'[2]Model Selection'!$B$10=6),1,0)</f>
        <v>0</v>
      </c>
      <c r="J58" s="72" t="s">
        <v>228</v>
      </c>
    </row>
    <row r="59" spans="1:10" ht="43.2">
      <c r="A59" s="70" t="s">
        <v>230</v>
      </c>
      <c r="B59" s="71"/>
      <c r="C59" s="35" t="s">
        <v>3</v>
      </c>
      <c r="D59" s="1" t="s">
        <v>24</v>
      </c>
      <c r="E59" s="1" t="s">
        <v>11</v>
      </c>
      <c r="F59" s="2" t="s">
        <v>5</v>
      </c>
      <c r="G59" s="1">
        <v>1</v>
      </c>
      <c r="H59" s="55">
        <f>[1]Initialization!$B$10</f>
        <v>3</v>
      </c>
      <c r="I59" s="44">
        <f>IF(OR('[2]Model Selection'!$B$10=5,'[2]Model Selection'!$B$10=6),1,0)</f>
        <v>0</v>
      </c>
      <c r="J59" s="72" t="s">
        <v>231</v>
      </c>
    </row>
    <row r="60" spans="1:10" ht="43.2">
      <c r="A60" s="70" t="s">
        <v>232</v>
      </c>
      <c r="B60" s="71"/>
      <c r="C60" s="35" t="s">
        <v>3</v>
      </c>
      <c r="D60" s="1" t="s">
        <v>24</v>
      </c>
      <c r="E60" s="1" t="s">
        <v>11</v>
      </c>
      <c r="F60" s="2" t="s">
        <v>5</v>
      </c>
      <c r="G60" s="1"/>
      <c r="H60" s="55">
        <f>[1]Initialization!$B$10</f>
        <v>3</v>
      </c>
      <c r="I60" s="44">
        <f>IF(OR('[2]Model Selection'!$B$10=5,'[2]Model Selection'!$B$10=6),1,0)</f>
        <v>0</v>
      </c>
      <c r="J60" s="72" t="s">
        <v>233</v>
      </c>
    </row>
    <row r="61" spans="1:10" ht="43.2">
      <c r="A61" s="70" t="s">
        <v>234</v>
      </c>
      <c r="B61" s="71"/>
      <c r="C61" s="35" t="s">
        <v>3</v>
      </c>
      <c r="D61" s="1" t="s">
        <v>24</v>
      </c>
      <c r="E61" s="1" t="s">
        <v>11</v>
      </c>
      <c r="F61" s="2" t="s">
        <v>5</v>
      </c>
      <c r="G61" s="1"/>
      <c r="H61" s="55">
        <f>[1]Initialization!$B$10</f>
        <v>3</v>
      </c>
      <c r="I61" s="44">
        <f>IF(OR('[2]Model Selection'!$B$10=5,'[2]Model Selection'!$B$10=6),1,0)</f>
        <v>0</v>
      </c>
      <c r="J61" s="72" t="s">
        <v>233</v>
      </c>
    </row>
    <row r="62" spans="1:10" ht="14.4">
      <c r="A62" s="8" t="s">
        <v>88</v>
      </c>
      <c r="B62" s="34"/>
      <c r="C62" s="9"/>
      <c r="D62" s="10"/>
      <c r="E62" s="10"/>
      <c r="F62" s="9"/>
      <c r="G62" s="10">
        <v>1</v>
      </c>
      <c r="H62" s="10">
        <v>1</v>
      </c>
      <c r="I62" s="11">
        <v>0</v>
      </c>
      <c r="J62" s="12" t="s">
        <v>89</v>
      </c>
    </row>
  </sheetData>
  <sheetProtection algorithmName="SHA-512" hashValue="36kp0SEC487AtbztVILYpSdw4+jVXlpnxTYVuTgFJKC/FMqoNGpGf+q3xoNx3iUQU8zW9KGp85zbp1lL6PwT9g==" saltValue="s7ZtIg02Zd2UT30uX30b7A==" spinCount="100000" sheet="1" objects="1" scenarios="1" selectLockedCells="1"/>
  <mergeCells count="2">
    <mergeCell ref="A3:J3"/>
    <mergeCell ref="J4:J8"/>
  </mergeCells>
  <conditionalFormatting sqref="B10:B11 B41 B38 B35 B32 B29 B26 B23 B20 B17 B14 B62:B1048576">
    <cfRule type="expression" dxfId="83" priority="82">
      <formula>IF(AND($B10&lt;&gt;"",$I10=0),1,0)</formula>
    </cfRule>
    <cfRule type="expression" dxfId="82" priority="83">
      <formula>IF($B10&lt;&gt;"",1,0)</formula>
    </cfRule>
    <cfRule type="expression" dxfId="81" priority="84">
      <formula>$I10=0</formula>
    </cfRule>
  </conditionalFormatting>
  <conditionalFormatting sqref="B14">
    <cfRule type="expression" dxfId="80" priority="73">
      <formula>IF(AND($B14&lt;&gt;"",$I14=0),1,0)</formula>
    </cfRule>
    <cfRule type="expression" dxfId="79" priority="74">
      <formula>IF($B14&lt;&gt;"",1,0)</formula>
    </cfRule>
    <cfRule type="expression" dxfId="78" priority="75">
      <formula>$I14=0</formula>
    </cfRule>
  </conditionalFormatting>
  <conditionalFormatting sqref="B10">
    <cfRule type="expression" dxfId="77" priority="70">
      <formula>IF(AND($B10&lt;&gt;"",$I10=0),1,0)</formula>
    </cfRule>
    <cfRule type="expression" dxfId="76" priority="71">
      <formula>IF($B10&lt;&gt;"",1,0)</formula>
    </cfRule>
    <cfRule type="expression" dxfId="75" priority="72">
      <formula>$I10=0</formula>
    </cfRule>
  </conditionalFormatting>
  <conditionalFormatting sqref="B42:B43">
    <cfRule type="expression" dxfId="74" priority="61">
      <formula>IF(AND($B42&lt;&gt;"",$I42=0),1,0)</formula>
    </cfRule>
    <cfRule type="expression" dxfId="73" priority="62">
      <formula>IF($B42&lt;&gt;"",1,0)</formula>
    </cfRule>
    <cfRule type="expression" dxfId="72" priority="63">
      <formula>$I42=0</formula>
    </cfRule>
  </conditionalFormatting>
  <conditionalFormatting sqref="B39:B40">
    <cfRule type="expression" dxfId="71" priority="58">
      <formula>IF(AND($B39&lt;&gt;"",$I39=0),1,0)</formula>
    </cfRule>
    <cfRule type="expression" dxfId="70" priority="59">
      <formula>IF($B39&lt;&gt;"",1,0)</formula>
    </cfRule>
    <cfRule type="expression" dxfId="69" priority="60">
      <formula>$I39=0</formula>
    </cfRule>
  </conditionalFormatting>
  <conditionalFormatting sqref="B36:B37">
    <cfRule type="expression" dxfId="68" priority="55">
      <formula>IF(AND($B36&lt;&gt;"",$I36=0),1,0)</formula>
    </cfRule>
    <cfRule type="expression" dxfId="67" priority="56">
      <formula>IF($B36&lt;&gt;"",1,0)</formula>
    </cfRule>
    <cfRule type="expression" dxfId="66" priority="57">
      <formula>$I36=0</formula>
    </cfRule>
  </conditionalFormatting>
  <conditionalFormatting sqref="B33:B34">
    <cfRule type="expression" dxfId="65" priority="52">
      <formula>IF(AND($B33&lt;&gt;"",$I33=0),1,0)</formula>
    </cfRule>
    <cfRule type="expression" dxfId="64" priority="53">
      <formula>IF($B33&lt;&gt;"",1,0)</formula>
    </cfRule>
    <cfRule type="expression" dxfId="63" priority="54">
      <formula>$I33=0</formula>
    </cfRule>
  </conditionalFormatting>
  <conditionalFormatting sqref="B30:B31">
    <cfRule type="expression" dxfId="62" priority="49">
      <formula>IF(AND($B30&lt;&gt;"",$I30=0),1,0)</formula>
    </cfRule>
    <cfRule type="expression" dxfId="61" priority="50">
      <formula>IF($B30&lt;&gt;"",1,0)</formula>
    </cfRule>
    <cfRule type="expression" dxfId="60" priority="51">
      <formula>$I30=0</formula>
    </cfRule>
  </conditionalFormatting>
  <conditionalFormatting sqref="B27:B28">
    <cfRule type="expression" dxfId="59" priority="46">
      <formula>IF(AND($B27&lt;&gt;"",$I27=0),1,0)</formula>
    </cfRule>
    <cfRule type="expression" dxfId="58" priority="47">
      <formula>IF($B27&lt;&gt;"",1,0)</formula>
    </cfRule>
    <cfRule type="expression" dxfId="57" priority="48">
      <formula>$I27=0</formula>
    </cfRule>
  </conditionalFormatting>
  <conditionalFormatting sqref="B24:B25">
    <cfRule type="expression" dxfId="56" priority="43">
      <formula>IF(AND($B24&lt;&gt;"",$I24=0),1,0)</formula>
    </cfRule>
    <cfRule type="expression" dxfId="55" priority="44">
      <formula>IF($B24&lt;&gt;"",1,0)</formula>
    </cfRule>
    <cfRule type="expression" dxfId="54" priority="45">
      <formula>$I24=0</formula>
    </cfRule>
  </conditionalFormatting>
  <conditionalFormatting sqref="B21:B22">
    <cfRule type="expression" dxfId="53" priority="40">
      <formula>IF(AND($B21&lt;&gt;"",$I21=0),1,0)</formula>
    </cfRule>
    <cfRule type="expression" dxfId="52" priority="41">
      <formula>IF($B21&lt;&gt;"",1,0)</formula>
    </cfRule>
    <cfRule type="expression" dxfId="51" priority="42">
      <formula>$I21=0</formula>
    </cfRule>
  </conditionalFormatting>
  <conditionalFormatting sqref="B18:B19">
    <cfRule type="expression" dxfId="50" priority="31">
      <formula>IF(AND($B18&lt;&gt;"",$I18=0),1,0)</formula>
    </cfRule>
    <cfRule type="expression" dxfId="49" priority="32">
      <formula>IF($B18&lt;&gt;"",1,0)</formula>
    </cfRule>
    <cfRule type="expression" dxfId="48" priority="33">
      <formula>$I18=0</formula>
    </cfRule>
  </conditionalFormatting>
  <conditionalFormatting sqref="B15:B16">
    <cfRule type="expression" dxfId="47" priority="28">
      <formula>IF(AND($B15&lt;&gt;"",$I15=0),1,0)</formula>
    </cfRule>
    <cfRule type="expression" dxfId="46" priority="29">
      <formula>IF($B15&lt;&gt;"",1,0)</formula>
    </cfRule>
    <cfRule type="expression" dxfId="45" priority="30">
      <formula>$I15=0</formula>
    </cfRule>
  </conditionalFormatting>
  <conditionalFormatting sqref="B15:B16">
    <cfRule type="expression" dxfId="44" priority="25">
      <formula>IF(AND($B15&lt;&gt;"",$I15=0),1,0)</formula>
    </cfRule>
    <cfRule type="expression" dxfId="43" priority="26">
      <formula>IF($B15&lt;&gt;"",1,0)</formula>
    </cfRule>
    <cfRule type="expression" dxfId="42" priority="27">
      <formula>$I15=0</formula>
    </cfRule>
  </conditionalFormatting>
  <conditionalFormatting sqref="B12:B13">
    <cfRule type="expression" dxfId="41" priority="22">
      <formula>IF(AND($B12&lt;&gt;"",$I12=0),1,0)</formula>
    </cfRule>
    <cfRule type="expression" dxfId="40" priority="23">
      <formula>IF($B12&lt;&gt;"",1,0)</formula>
    </cfRule>
    <cfRule type="expression" dxfId="39" priority="24">
      <formula>$I12=0</formula>
    </cfRule>
  </conditionalFormatting>
  <conditionalFormatting sqref="J4">
    <cfRule type="expression" dxfId="38" priority="2264">
      <formula>IF(COUNTA($B$10:$B$62)&lt;&gt;COUNTIF($I$10:$I$62,1),1,0)</formula>
    </cfRule>
    <cfRule type="expression" dxfId="37" priority="2265">
      <formula>IF(COUNTA($B$10:$B$62)=COUNTIF($I$10:$I$62,1),1,0)</formula>
    </cfRule>
  </conditionalFormatting>
  <conditionalFormatting sqref="B44:B45 B47:B48 B50:B51 B53:B54 B56:B57 B59:B60">
    <cfRule type="expression" dxfId="20" priority="19">
      <formula>IF(AND($B44&lt;&gt;"",$I44=0),1,0)</formula>
    </cfRule>
    <cfRule type="expression" dxfId="19" priority="20">
      <formula>IF($B44&lt;&gt;"",1,0)</formula>
    </cfRule>
    <cfRule type="expression" dxfId="18" priority="21">
      <formula>$I44=0</formula>
    </cfRule>
  </conditionalFormatting>
  <conditionalFormatting sqref="B46">
    <cfRule type="expression" dxfId="17" priority="16">
      <formula>IF(AND($B46&lt;&gt;"",$I46=0),1,0)</formula>
    </cfRule>
    <cfRule type="expression" dxfId="16" priority="17">
      <formula>IF($B46&lt;&gt;"",1,0)</formula>
    </cfRule>
    <cfRule type="expression" dxfId="15" priority="18">
      <formula>$I46=0</formula>
    </cfRule>
  </conditionalFormatting>
  <conditionalFormatting sqref="B49">
    <cfRule type="expression" dxfId="14" priority="13">
      <formula>IF(AND($B49&lt;&gt;"",$I49=0),1,0)</formula>
    </cfRule>
    <cfRule type="expression" dxfId="13" priority="14">
      <formula>IF($B49&lt;&gt;"",1,0)</formula>
    </cfRule>
    <cfRule type="expression" dxfId="12" priority="15">
      <formula>$I49=0</formula>
    </cfRule>
  </conditionalFormatting>
  <conditionalFormatting sqref="B52">
    <cfRule type="expression" dxfId="11" priority="10">
      <formula>IF(AND($B52&lt;&gt;"",$I52=0),1,0)</formula>
    </cfRule>
    <cfRule type="expression" dxfId="10" priority="11">
      <formula>IF($B52&lt;&gt;"",1,0)</formula>
    </cfRule>
    <cfRule type="expression" dxfId="9" priority="12">
      <formula>$I52=0</formula>
    </cfRule>
  </conditionalFormatting>
  <conditionalFormatting sqref="B55">
    <cfRule type="expression" dxfId="8" priority="7">
      <formula>IF(AND($B55&lt;&gt;"",$I55=0),1,0)</formula>
    </cfRule>
    <cfRule type="expression" dxfId="7" priority="8">
      <formula>IF($B55&lt;&gt;"",1,0)</formula>
    </cfRule>
    <cfRule type="expression" dxfId="6" priority="9">
      <formula>$I55=0</formula>
    </cfRule>
  </conditionalFormatting>
  <conditionalFormatting sqref="B58">
    <cfRule type="expression" dxfId="5" priority="4">
      <formula>IF(AND($B58&lt;&gt;"",$I58=0),1,0)</formula>
    </cfRule>
    <cfRule type="expression" dxfId="4" priority="5">
      <formula>IF($B58&lt;&gt;"",1,0)</formula>
    </cfRule>
    <cfRule type="expression" dxfId="3" priority="6">
      <formula>$I58=0</formula>
    </cfRule>
  </conditionalFormatting>
  <conditionalFormatting sqref="B61">
    <cfRule type="expression" dxfId="2" priority="1">
      <formula>IF(AND($B61&lt;&gt;"",$I61=0),1,0)</formula>
    </cfRule>
    <cfRule type="expression" dxfId="1" priority="2">
      <formula>IF($B61&lt;&gt;"",1,0)</formula>
    </cfRule>
    <cfRule type="expression" dxfId="0" priority="3">
      <formula>$I61=0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E10:E62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F10:F62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D10:D62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36" priority="13">
      <formula>IF(AND($B10&lt;&gt;"",$I10=0),1,0)</formula>
    </cfRule>
    <cfRule type="expression" dxfId="35" priority="14">
      <formula>IF($B10&lt;&gt;"",1,0)</formula>
    </cfRule>
    <cfRule type="expression" dxfId="34" priority="15">
      <formula>$I10=0</formula>
    </cfRule>
  </conditionalFormatting>
  <conditionalFormatting sqref="J4">
    <cfRule type="expression" dxfId="33" priority="2235">
      <formula>IF(COUNTA($B$10:$B$13)&lt;&gt;COUNTIF($I$10:$I$13,1),1,0)</formula>
    </cfRule>
    <cfRule type="expression" dxfId="32" priority="2236">
      <formula>IF(COUNTA($B$10:$B$13)=COUNTIF($I$10:$I$13,1),1,0)</formula>
    </cfRule>
  </conditionalFormatting>
  <conditionalFormatting sqref="B11:B12">
    <cfRule type="expression" dxfId="31" priority="1">
      <formula>IF(AND($B11&lt;&gt;"",$I11=0),1,0)</formula>
    </cfRule>
    <cfRule type="expression" dxfId="30" priority="2">
      <formula>IF($B11&lt;&gt;"",1,0)</formula>
    </cfRule>
    <cfRule type="expression" dxfId="29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yymk2eYduS+lHx47W+kf1xeLlFVhkQaEAy3p67AxL+A9p2lZ81d3UzytiKYnU52Bpjq/MwqxSuIsfTTL4ATiVg==" saltValue="la5j6KQSU0pmgQcXqx5BRQ==" spinCount="100000" sheet="1" objects="1" scenarios="1" selectLockedCells="1"/>
  <mergeCells count="2">
    <mergeCell ref="A3:J3"/>
    <mergeCell ref="J4:J8"/>
  </mergeCells>
  <conditionalFormatting sqref="B11">
    <cfRule type="expression" dxfId="28" priority="7">
      <formula>IF(AND($B11&lt;&gt;"",$I11=0),1,0)</formula>
    </cfRule>
    <cfRule type="expression" dxfId="27" priority="8">
      <formula>IF($B11&lt;&gt;"",1,0)</formula>
    </cfRule>
    <cfRule type="expression" dxfId="26" priority="9">
      <formula>$I11=0</formula>
    </cfRule>
  </conditionalFormatting>
  <conditionalFormatting sqref="B10">
    <cfRule type="expression" dxfId="25" priority="1">
      <formula>IF(AND($B10&lt;&gt;"",$I10=0),1,0)</formula>
    </cfRule>
    <cfRule type="expression" dxfId="24" priority="2">
      <formula>IF($B10&lt;&gt;"",1,0)</formula>
    </cfRule>
    <cfRule type="expression" dxfId="23" priority="3">
      <formula>$I10=0</formula>
    </cfRule>
  </conditionalFormatting>
  <conditionalFormatting sqref="J4">
    <cfRule type="expression" dxfId="22" priority="2054">
      <formula>IF(COUNTA($B$10:$B$11)&lt;&gt;COUNTIF($I$10:$I$11,1),1,0)</formula>
    </cfRule>
    <cfRule type="expression" dxfId="21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P2"/>
  <sheetViews>
    <sheetView workbookViewId="0">
      <selection activeCell="CM2" sqref="CM2"/>
    </sheetView>
  </sheetViews>
  <sheetFormatPr defaultColWidth="8.77734375" defaultRowHeight="14.4"/>
  <sheetData>
    <row r="1" spans="1:6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205</v>
      </c>
      <c r="AS1" t="s">
        <v>207</v>
      </c>
      <c r="AT1" t="s">
        <v>209</v>
      </c>
      <c r="AU1" t="s">
        <v>210</v>
      </c>
      <c r="AV1" t="s">
        <v>212</v>
      </c>
      <c r="AW1" t="s">
        <v>214</v>
      </c>
      <c r="AX1" t="s">
        <v>215</v>
      </c>
      <c r="AY1" t="s">
        <v>217</v>
      </c>
      <c r="AZ1" t="s">
        <v>219</v>
      </c>
      <c r="BA1" t="s">
        <v>220</v>
      </c>
      <c r="BB1" t="s">
        <v>222</v>
      </c>
      <c r="BC1" t="s">
        <v>224</v>
      </c>
      <c r="BD1" t="s">
        <v>225</v>
      </c>
      <c r="BE1" t="s">
        <v>227</v>
      </c>
      <c r="BF1" t="s">
        <v>229</v>
      </c>
      <c r="BG1" t="s">
        <v>230</v>
      </c>
      <c r="BH1" t="s">
        <v>232</v>
      </c>
      <c r="BI1" t="s">
        <v>234</v>
      </c>
      <c r="BJ1" t="s">
        <v>88</v>
      </c>
      <c r="BK1" t="s">
        <v>84</v>
      </c>
      <c r="BL1" t="s">
        <v>85</v>
      </c>
      <c r="BM1" t="s">
        <v>200</v>
      </c>
      <c r="BN1" t="s">
        <v>88</v>
      </c>
      <c r="BO1" t="s">
        <v>127</v>
      </c>
      <c r="BP1" t="s">
        <v>88</v>
      </c>
    </row>
    <row r="2" spans="1:68">
      <c r="A2">
        <v>0.08</v>
      </c>
      <c r="C2">
        <v>1</v>
      </c>
      <c r="G2">
        <v>1.1299999999999999E-3</v>
      </c>
      <c r="H2">
        <v>7.5646000000000003E-4</v>
      </c>
      <c r="J2">
        <v>323</v>
      </c>
      <c r="N2">
        <v>28.870999999999999</v>
      </c>
      <c r="O2">
        <v>29.675999999999998</v>
      </c>
      <c r="P2">
        <v>17.901</v>
      </c>
      <c r="T2">
        <v>1.487639278386854E-2</v>
      </c>
      <c r="U2">
        <v>6.2300506970614433E-3</v>
      </c>
      <c r="V2">
        <v>2.2703229200334412</v>
      </c>
      <c r="W2">
        <v>8.1359999999999992</v>
      </c>
      <c r="X2">
        <v>7.9169999999999998</v>
      </c>
      <c r="Y2">
        <v>13.12</v>
      </c>
      <c r="BK2">
        <v>0.1176</v>
      </c>
      <c r="BL2">
        <v>0.14080000000000001</v>
      </c>
      <c r="BM2">
        <v>9.8400000000000001E-2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P2"/>
  <sheetViews>
    <sheetView topLeftCell="CC1" workbookViewId="0">
      <selection activeCell="CR2" sqref="CR2"/>
    </sheetView>
  </sheetViews>
  <sheetFormatPr defaultColWidth="8.77734375" defaultRowHeight="14.4"/>
  <sheetData>
    <row r="1" spans="1:6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205</v>
      </c>
      <c r="AS1" t="s">
        <v>207</v>
      </c>
      <c r="AT1" t="s">
        <v>209</v>
      </c>
      <c r="AU1" t="s">
        <v>210</v>
      </c>
      <c r="AV1" t="s">
        <v>212</v>
      </c>
      <c r="AW1" t="s">
        <v>214</v>
      </c>
      <c r="AX1" t="s">
        <v>215</v>
      </c>
      <c r="AY1" t="s">
        <v>217</v>
      </c>
      <c r="AZ1" t="s">
        <v>219</v>
      </c>
      <c r="BA1" t="s">
        <v>220</v>
      </c>
      <c r="BB1" t="s">
        <v>222</v>
      </c>
      <c r="BC1" t="s">
        <v>224</v>
      </c>
      <c r="BD1" t="s">
        <v>225</v>
      </c>
      <c r="BE1" t="s">
        <v>227</v>
      </c>
      <c r="BF1" t="s">
        <v>229</v>
      </c>
      <c r="BG1" t="s">
        <v>230</v>
      </c>
      <c r="BH1" t="s">
        <v>232</v>
      </c>
      <c r="BI1" t="s">
        <v>234</v>
      </c>
      <c r="BJ1" t="s">
        <v>88</v>
      </c>
      <c r="BK1" t="s">
        <v>84</v>
      </c>
      <c r="BL1" t="s">
        <v>85</v>
      </c>
      <c r="BM1" t="s">
        <v>200</v>
      </c>
      <c r="BN1" t="s">
        <v>88</v>
      </c>
      <c r="BO1" t="s">
        <v>127</v>
      </c>
      <c r="BP1" t="s">
        <v>88</v>
      </c>
    </row>
    <row r="2" spans="1:6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0</v>
      </c>
      <c r="BO2">
        <v>0</v>
      </c>
      <c r="B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2023-04-13T22:39:17Z</dcterms:modified>
</cp:coreProperties>
</file>