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24BE5070-7779-47C7-951C-035EFD5CDE51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Properties'!$A$9:$J$10</definedName>
    <definedName name="_xlnm.Print_Area" localSheetId="0">'Revision History'!$C$3:$K$51</definedName>
    <definedName name="_xlnm.Print_Area" localSheetId="2">'Stream Properties'!$A$2:$J$15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" i="39" l="1"/>
  <c r="H11" i="39"/>
  <c r="B12" i="39" l="1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<sst xmlns="http://schemas.openxmlformats.org/spreadsheetml/2006/main" count="172" uniqueCount="119">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</sst>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5" totalsRowShown="0" headerRowDxfId="14" dataDxfId="12" headerRowBorderDxfId="13" tableBorderDxfId="11" totalsRowBorderDxfId="10">
  <autoFilter ref="A9:J15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2" hidden="1" customWidth="1"/>
    <col min="3" max="3" width="2.44140625" style="32" customWidth="1"/>
    <col min="4" max="4" width="13.77734375" style="32" customWidth="1"/>
    <col min="5" max="5" width="51.33203125" style="33" bestFit="1" customWidth="1"/>
    <col min="6" max="6" width="15.77734375" style="34" bestFit="1" customWidth="1"/>
    <col min="7" max="9" width="13.33203125" style="32" customWidth="1"/>
    <col min="10" max="10" width="48.77734375" style="32" customWidth="1"/>
    <col min="11" max="11" width="2.44140625" style="32" customWidth="1"/>
    <col min="12" max="12" width="0" style="32" hidden="1" customWidth="1"/>
    <col min="13" max="16384" width="9" style="32" hidden="1"/>
  </cols>
  <sheetData>
    <row r="3" spans="4:10"/>
    <row r="4" spans="4:10" ht="18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36">
      <c r="D5" s="51" t="s">
        <v>37</v>
      </c>
      <c r="E5" s="51"/>
      <c r="F5" s="51"/>
      <c r="G5" s="51"/>
      <c r="H5" s="51"/>
      <c r="I5" s="51"/>
      <c r="J5" s="51"/>
    </row>
    <row r="6" spans="4:10" ht="18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54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36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8">
      <c r="D9" s="36">
        <v>3</v>
      </c>
      <c r="E9" s="37"/>
      <c r="F9" s="38"/>
      <c r="G9" s="36"/>
      <c r="H9" s="36"/>
      <c r="I9" s="36"/>
      <c r="J9" s="37"/>
    </row>
    <row r="10" spans="4:10" ht="18">
      <c r="D10" s="36">
        <v>4</v>
      </c>
      <c r="E10" s="37"/>
      <c r="F10" s="38"/>
      <c r="G10" s="36"/>
      <c r="H10" s="36"/>
      <c r="I10" s="36"/>
      <c r="J10" s="37"/>
    </row>
    <row r="11" spans="4:10" ht="18">
      <c r="D11" s="36">
        <v>5</v>
      </c>
      <c r="E11" s="37"/>
      <c r="F11" s="38"/>
      <c r="G11" s="36"/>
      <c r="H11" s="36"/>
      <c r="I11" s="36"/>
      <c r="J11" s="37"/>
    </row>
    <row r="12" spans="4:10" ht="18">
      <c r="D12" s="36">
        <v>6</v>
      </c>
      <c r="E12" s="37"/>
      <c r="F12" s="38"/>
      <c r="G12" s="36"/>
      <c r="H12" s="36"/>
      <c r="I12" s="36"/>
      <c r="J12" s="37"/>
    </row>
    <row r="13" spans="4:10" ht="18">
      <c r="D13" s="36">
        <v>7</v>
      </c>
      <c r="E13" s="37"/>
      <c r="F13" s="38"/>
      <c r="G13" s="36"/>
      <c r="H13" s="36"/>
      <c r="I13" s="36"/>
      <c r="J13" s="37"/>
    </row>
    <row r="14" spans="4:10" ht="18">
      <c r="D14" s="36">
        <v>8</v>
      </c>
      <c r="E14" s="37"/>
      <c r="F14" s="38"/>
      <c r="G14" s="36"/>
      <c r="H14" s="36"/>
      <c r="I14" s="36"/>
      <c r="J14" s="37"/>
    </row>
    <row r="15" spans="4:10" ht="18">
      <c r="D15" s="36">
        <v>9</v>
      </c>
      <c r="E15" s="37"/>
      <c r="F15" s="38"/>
      <c r="G15" s="36"/>
      <c r="H15" s="36"/>
      <c r="I15" s="36"/>
      <c r="J15" s="37"/>
    </row>
    <row r="16" spans="4:10" ht="18">
      <c r="D16" s="36">
        <v>10</v>
      </c>
      <c r="E16" s="37"/>
      <c r="F16" s="38"/>
      <c r="G16" s="36"/>
      <c r="H16" s="36"/>
      <c r="I16" s="36"/>
      <c r="J16" s="39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52</v>
      </c>
      <c r="J13">
        <v>1</v>
      </c>
    </row>
    <row r="14" spans="1:21">
      <c r="B14" t="s">
        <v>21</v>
      </c>
      <c r="C14" t="s">
        <v>53</v>
      </c>
      <c r="J14">
        <v>2</v>
      </c>
    </row>
    <row r="15" spans="1:21">
      <c r="B15" t="s">
        <v>15</v>
      </c>
      <c r="C15" t="s">
        <v>54</v>
      </c>
    </row>
    <row r="16" spans="1:21">
      <c r="B16" t="s">
        <v>58</v>
      </c>
      <c r="C16" t="s">
        <v>55</v>
      </c>
      <c r="J16" t="s">
        <v>96</v>
      </c>
    </row>
    <row r="17" spans="2:10">
      <c r="B17" t="s">
        <v>18</v>
      </c>
      <c r="C17" t="s">
        <v>56</v>
      </c>
      <c r="J17" t="s">
        <v>8</v>
      </c>
    </row>
    <row r="18" spans="2:10">
      <c r="B18" t="s">
        <v>19</v>
      </c>
      <c r="C18" t="s">
        <v>57</v>
      </c>
      <c r="J18">
        <v>1</v>
      </c>
    </row>
    <row r="19" spans="2:10">
      <c r="C19" t="s">
        <v>29</v>
      </c>
      <c r="J19">
        <v>2</v>
      </c>
    </row>
    <row r="20" spans="2:10">
      <c r="C20" t="s">
        <v>4</v>
      </c>
      <c r="J20">
        <v>3</v>
      </c>
    </row>
    <row r="21" spans="2:10">
      <c r="C21" t="s">
        <v>42</v>
      </c>
      <c r="J21">
        <v>4</v>
      </c>
    </row>
    <row r="22" spans="2:10">
      <c r="C22" t="s">
        <v>41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5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8">
      <c r="A3" s="52" t="s">
        <v>30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3" t="str">
        <f>IF(COUNTIF(Table11082[Test 3],1)=COUNTA(Table11082[Value]),"Ready","Not Ready")</f>
        <v>Ready</v>
      </c>
    </row>
    <row r="5" spans="1:10" ht="14.55" customHeight="1">
      <c r="A5" s="17"/>
      <c r="B5" s="18"/>
      <c r="C5" s="45"/>
      <c r="D5" s="45"/>
      <c r="E5" s="45"/>
      <c r="F5" s="45"/>
      <c r="G5" s="19"/>
      <c r="H5" s="45"/>
      <c r="I5" s="45"/>
      <c r="J5" s="54"/>
    </row>
    <row r="6" spans="1:10" ht="14.55" customHeight="1">
      <c r="A6" s="17"/>
      <c r="B6" s="18"/>
      <c r="C6" s="45"/>
      <c r="D6" s="45"/>
      <c r="E6" s="45"/>
      <c r="F6" s="45"/>
      <c r="G6" s="19"/>
      <c r="H6" s="45"/>
      <c r="I6" s="45"/>
      <c r="J6" s="54"/>
    </row>
    <row r="7" spans="1:10" ht="14.55" customHeight="1">
      <c r="A7" s="17"/>
      <c r="B7" s="18"/>
      <c r="C7" s="45"/>
      <c r="D7" s="45"/>
      <c r="E7" s="45"/>
      <c r="F7" s="45"/>
      <c r="G7" s="19"/>
      <c r="H7" s="45"/>
      <c r="I7" s="45"/>
      <c r="J7" s="54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5"/>
    </row>
    <row r="9" spans="1:10" ht="14.4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43.2">
      <c r="A10" s="44" t="s">
        <v>97</v>
      </c>
      <c r="B10" s="29">
        <v>318.14999999999998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43.2">
      <c r="A11" s="4" t="s">
        <v>67</v>
      </c>
      <c r="B11" s="29">
        <v>0.21740000000000001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2</v>
      </c>
      <c r="I11" s="6">
        <v>1</v>
      </c>
      <c r="J11" s="5" t="s">
        <v>115</v>
      </c>
    </row>
    <row r="12" spans="1:10" ht="43.2">
      <c r="A12" s="4" t="s">
        <v>68</v>
      </c>
      <c r="B12" s="29">
        <f>1-B11</f>
        <v>0.78259999999999996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2</v>
      </c>
      <c r="I12" s="6">
        <v>1</v>
      </c>
      <c r="J12" s="5" t="s">
        <v>115</v>
      </c>
    </row>
    <row r="13" spans="1:10" ht="14.4">
      <c r="A13" s="44" t="s">
        <v>107</v>
      </c>
      <c r="B13" s="29">
        <v>1.1814E-3</v>
      </c>
      <c r="C13" s="31" t="s">
        <v>108</v>
      </c>
      <c r="D13" s="1" t="s">
        <v>27</v>
      </c>
      <c r="E13" s="1" t="s">
        <v>7</v>
      </c>
      <c r="F13" s="2" t="s">
        <v>48</v>
      </c>
      <c r="G13" s="1">
        <v>1</v>
      </c>
      <c r="H13" s="1">
        <v>1</v>
      </c>
      <c r="I13" s="6">
        <v>1</v>
      </c>
      <c r="J13" s="5" t="s">
        <v>109</v>
      </c>
    </row>
    <row r="14" spans="1:10" ht="14.4">
      <c r="A14" s="44" t="s">
        <v>110</v>
      </c>
      <c r="B14" s="29">
        <v>1.8369999999999999E-5</v>
      </c>
      <c r="C14" s="31" t="s">
        <v>111</v>
      </c>
      <c r="D14" s="1" t="s">
        <v>27</v>
      </c>
      <c r="E14" s="1" t="s">
        <v>7</v>
      </c>
      <c r="F14" s="2" t="s">
        <v>48</v>
      </c>
      <c r="G14" s="1">
        <v>1</v>
      </c>
      <c r="H14" s="1">
        <v>1</v>
      </c>
      <c r="I14" s="6">
        <v>1</v>
      </c>
      <c r="J14" s="5" t="s">
        <v>112</v>
      </c>
    </row>
    <row r="15" spans="1:10" ht="14.4">
      <c r="A15" s="8" t="s">
        <v>78</v>
      </c>
      <c r="B15" s="30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79</v>
      </c>
    </row>
  </sheetData>
  <sheetProtection algorithmName="SHA-512" hashValue="v4KmBZebx9MsElbVMp4PYbFPBNmUZKPyjz0wpKuRfnDCYgnr0QO1u9j4udeEL/51TmJuGWE6qeUOO0DNxLgOPg==" saltValue="Oy6ClCWH2AjJxOA++sbwWA==" spinCount="100000" sheet="1" objects="1" scenarios="1" selectLockedCells="1"/>
  <mergeCells count="2">
    <mergeCell ref="A3:J3"/>
    <mergeCell ref="J4:J8"/>
  </mergeCells>
  <conditionalFormatting sqref="B10:B15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85">
      <formula>IF(COUNTA($B$10:$B$15)&lt;&gt;COUNTIF($I$10:$I$15,1),1,0)</formula>
    </cfRule>
    <cfRule type="expression" dxfId="15" priority="86">
      <formula>IF(COUNTA($B$10:$B$15)=COUNTIF($I$10:$I$15,1),1,0)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E10:E15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D10:D15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F2"/>
  <sheetViews>
    <sheetView topLeftCell="CF1" workbookViewId="0">
      <selection activeCell="CM2" sqref="CM2"/>
    </sheetView>
  </sheetViews>
  <sheetFormatPr defaultColWidth="8.77734375" defaultRowHeight="14.4"/>
  <sheetData>
    <row r="1" spans="1:6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>
      <c r="A2">
        <v>318.14999999999998</v>
      </c>
      <c r="B2">
        <v>0.21740000000000001</v>
      </c>
      <c r="C2">
        <v>0.78259999999999996</v>
      </c>
      <c r="D2">
        <v>1.1814E-3</v>
      </c>
      <c r="E2">
        <v>1.8369999999999999E-5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F2"/>
  <sheetViews>
    <sheetView topLeftCell="CC1" workbookViewId="0">
      <selection activeCell="CR2" sqref="CR2"/>
    </sheetView>
  </sheetViews>
  <sheetFormatPr defaultColWidth="8.77734375" defaultRowHeight="14.4"/>
  <sheetData>
    <row r="1" spans="1:6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>
      <c r="A2">
        <v>1</v>
      </c>
      <c r="B2">
        <v>1</v>
      </c>
      <c r="C2">
        <v>1</v>
      </c>
      <c r="D2">
        <v>1</v>
      </c>
      <c r="E2">
        <v>1</v>
      </c>
      <c r="F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2022-11-24T17:10:06Z</dcterms:modified>
</cp:coreProperties>
</file>