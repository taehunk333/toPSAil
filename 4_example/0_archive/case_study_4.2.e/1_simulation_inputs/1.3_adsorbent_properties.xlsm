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.e\1_simulation_inputs\"/>
    </mc:Choice>
  </mc:AlternateContent>
  <xr:revisionPtr revIDLastSave="0" documentId="13_ncr:1_{6BA34C85-6109-4296-B997-8A89B8D64958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4" i="53" l="1"/>
  <c r="I43" i="53"/>
  <c r="I42" i="53"/>
  <c r="I41" i="53"/>
  <c r="I40" i="53"/>
  <c r="I39" i="53"/>
  <c r="I38" i="53"/>
  <c r="I37" i="53"/>
  <c r="I36" i="53"/>
  <c r="I35" i="53"/>
  <c r="I34" i="53"/>
  <c r="I33" i="53"/>
  <c r="H44" i="53"/>
  <c r="H43" i="53"/>
  <c r="H42" i="53"/>
  <c r="H41" i="53"/>
  <c r="H40" i="53"/>
  <c r="H39" i="53"/>
  <c r="H38" i="53"/>
  <c r="H37" i="53"/>
  <c r="H36" i="53"/>
  <c r="H35" i="53"/>
  <c r="H34" i="53"/>
  <c r="H33" i="53"/>
  <c r="B10" i="55" l="1"/>
  <c r="B22" i="53"/>
  <c r="B21" i="53"/>
  <c r="B26" i="53"/>
  <c r="B25" i="53"/>
  <c r="B11" i="58"/>
  <c r="B10" i="58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<sst xmlns="http://schemas.openxmlformats.org/spreadsheetml/2006/main" count="583" uniqueCount="216">
  <si>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</si>
  <si>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</si>
  <si>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</si>
  <si>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</si>
  <si>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</si>
  <si>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</si>
  <si>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</si>
  <si>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</si>
  <si>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</si>
  <si>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</si>
  <si>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</si>
  <si>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</si>
  <si>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</si>
  <si>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</si>
  <si>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</si>
  <si>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</si>
  <si>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</si>
  <si>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</si>
  <si>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</si>
  <si>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</si>
  <si>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</si>
  <si>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</si>
  <si>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</si>
  <si>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</si>
  <si>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</si>
  <si>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</si>
  <si>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</si>
  <si>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</si>
  <si>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</si>
  <si>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</si>
  <si>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</si>
  <si>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</si>
  <si>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</si>
  <si>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</si>
  <si>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</si>
  <si>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</si>
  <si>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</si>
  <si>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</si>
  <si>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</si>
  <si>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</si>
  <si>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</si>
  <si>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</si>
  <si>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</si>
  <si>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</si>
  <si>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</si>
  <si>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</si>
  <si>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</si>
  <si>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</si>
  <si>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</si>
  <si>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</si>
  <si>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</si>
  <si>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</si>
  <si>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</si>
  <si>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</si>
  <si>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</si>
  <si>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</si>
  <si>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</si>
  <si>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</si>
  <si>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</si>
  <si>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</si>
  <si>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</si>
  <si>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</si>
  <si>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</si>
  <si>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</si>
  <si>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</si>
  <si>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</si>
  <si>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</si>
  <si>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</si>
  <si>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</si>
  <si>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</si>
  <si>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</si>
  <si>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</si>
  <si>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</si>
  <si>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</si>
  <si>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</si>
  <si>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</si>
  <si>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</si>
  <si>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</si>
  <si>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</si>
  <si>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</si>
  <si>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</si>
  <si>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</si>
  <si>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</si>
  <si>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</si>
  <si>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</si>
  <si>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</si>
  <si>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</si>
  <si>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</si>
  <si>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</si>
  <si>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</si>
  <si>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</si>
  <si>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</si>
  <si>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</si>
  <si>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</si>
  <si>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</si>
  <si>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</si>
  <si>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</si>
  <si>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</si>
  <si>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</si>
  <si>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</si>
  <si>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</si>
  <si>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</si>
  <si>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</si>
  <si>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</si>
  <si>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</si>
  <si>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</si>
  <si>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</si>
  <si>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</si>
  <si>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</si>
  <si>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</si>
  <si>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</si>
  <si>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</si>
  <si>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</si>
  <si>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</si>
  <si>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</si>
  <si>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</si>
  <si>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</si>
  <si>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</si>
  <si>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</si>
  <si>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</si>
  <si>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</si>
  <si>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</si>
  <si>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</si>
  <si>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</si>
  <si>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</si>
  <si>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</si>
  <si>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</si>
  <si>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</si>
  <si>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</si>
  <si>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</si>
  <si>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</si>
  <si>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</si>
  <si>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</si>
  <si>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</si>
  <si>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</si>
  <si>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</si>
  <si>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</si>
  <si>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</si>
  <si>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</si>
  <si>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</si>
  <si>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</si>
  <si>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</si>
  <si>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</si>
  <si>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</si>
  <si>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</si>
  <si>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</si>
  <si>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</si>
  <si>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</si>
  <si>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</si>
  <si>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</si>
  <si>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</si>
  <si>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</si>
  <si>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</si>
  <si>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</si>
  <si>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</si>
  <si>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</si>
  <si>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</si>
  <si>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</si>
  <si>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</si>
  <si>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</si>
  <si>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</si>
  <si>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</si>
  <si>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</si>
  <si>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</si>
  <si>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</si>
  <si>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</si>
  <si>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</si>
  <si>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</si>
  <si>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</si>
  <si>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</si>
  <si>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</si>
  <si>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</si>
  <si>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</si>
  <si>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</si>
  <si>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</si>
  <si>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</si>
  <si>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</si>
  <si>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</si>
  <si>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</si>
  <si>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</si>
  <si>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</si>
  <si>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</si>
  <si>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</si>
  <si>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</si>
  <si>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</si>
  <si>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</si>
  <si>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</si>
  <si>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</si>
  <si>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</si>
  <si>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</si>
  <si>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</si>
  <si>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</si>
  <si>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t>qSatSiteOneC1</t>
  </si>
  <si>
    <t>[Dual-site Langmuir-Freundlich isotherm] The saturation capacity constant for the 1st adsorbate at the 1st adsorption site</t>
  </si>
  <si>
    <t>qSatSiteOneC2</t>
  </si>
  <si>
    <t>[Dual-site Langmuir-Freundlich isotherm] The saturation capacity constant for the 2nd adsorbate at the 1st adsorption site</t>
  </si>
  <si>
    <t>qSatSiteTwoC1</t>
  </si>
  <si>
    <t>[Dual-site Langmuir-Freundlich isotherm] The saturation capacity constant for the 1st adsorbate at the 2nd adsorption site</t>
  </si>
  <si>
    <t>qSatSiteTwoC2</t>
  </si>
  <si>
    <t>[Dual-site Langmuir-Freundlich isotherm] The saturation capacity constant for the 2nd adsorbate at the 2nd adsorption site</t>
  </si>
  <si>
    <t>bSiteOneC1</t>
  </si>
  <si>
    <t>[Dual-site Langmuir-Freundlich isotherm] The adsorption affinity constant for the 1st adsorbate at the 1st adsorption site</t>
  </si>
  <si>
    <t>bSiteOneC2</t>
  </si>
  <si>
    <t>[Dual-site Langmuir-Freundlich isotherm] The adsorption affinity constant for the 2nd adsorbate at the 1st adsorption site</t>
  </si>
  <si>
    <t>bSiteTwoC1</t>
  </si>
  <si>
    <t>[Dual-site Langmuir-Freundlich isotherm] The adsorption affinity constant for the 1st adsorbate at the 2nd adsorption site</t>
  </si>
  <si>
    <t>bSiteTwoC2</t>
  </si>
  <si>
    <t>[Dual-site Langmuir-Freundlich isotherm] The adsorption affinity constant for the 2nd adsorbate at the 2nd adsorption site</t>
  </si>
  <si>
    <t>nSiteOneC1</t>
  </si>
  <si>
    <t>[Dual-site Langmuir-Freundlich isotherm] The exponent for the 1st adsorbate at the 1st adsorption site</t>
  </si>
  <si>
    <t>nSiteOneC2</t>
  </si>
  <si>
    <t>[Dual-site Langmuir-Freundlich isotherm] The exponent for the 2nd adsorbate at the 1st adsorption site</t>
  </si>
  <si>
    <t>nSiteTwoC1</t>
  </si>
  <si>
    <t>[Dual-site Langmuir-Freundlich isotherm] The exponent for the 1st adsorbate at the 2nd adsorption site</t>
  </si>
  <si>
    <t>nSiteTwoC2</t>
  </si>
  <si>
    <t>[Dual-site Langmuir-Freundlich isotherm] The exponent for the 2nd adsorbate at the 2nd adsorption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</si>
</sst>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4" fillId="3" borderId="16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 refreshError="1"/>
      <sheetData sheetId="1">
        <row r="14">
          <cell r="B14">
            <v>1</v>
          </cell>
        </row>
      </sheetData>
      <sheetData sheetId="2">
        <row r="10">
          <cell r="B10">
            <v>4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32" dataDxfId="130" headerRowBorderDxfId="131" tableBorderDxfId="129" totalsRowBorderDxfId="128">
  <autoFilter ref="A9:J11" xr:uid="{B089C5C3-2CCE-4800-96CA-2131BB6E3E4F}"/>
  <tableColumns count="10">
    <tableColumn id="1" xr3:uid="{A63D443C-23FA-C546-879B-699C109A0CA2}" name="Variable" dataDxfId="127"/>
    <tableColumn id="4" xr3:uid="{1A5FFB41-EB4E-E74A-8922-4B34B9316DE5}" name="Value" dataDxfId="126"/>
    <tableColumn id="5" xr3:uid="{BF7F7945-F7EF-9B43-BD77-AD1154395D6F}" name="Unit" dataDxfId="125"/>
    <tableColumn id="6" xr3:uid="{97B66A41-BCC9-AB4A-9001-73F9BCD59411}" name="Comparisons" dataDxfId="124"/>
    <tableColumn id="7" xr3:uid="{0CC57FA7-D6D5-D04B-8A50-C681928970E3}" name="Variable Type" dataDxfId="123"/>
    <tableColumn id="8" xr3:uid="{793541F2-DD76-C241-9A02-11BCAFDBFB73}" name="Dependency" dataDxfId="122"/>
    <tableColumn id="12" xr3:uid="{77D37813-222C-3645-B2B0-7C5CE186734F}" name="Test 1" dataDxfId="121"/>
    <tableColumn id="10" xr3:uid="{705C6C59-C9FA-CF40-8C63-CC7BAA8D5513}" name="Test 2" dataDxfId="120"/>
    <tableColumn id="2" xr3:uid="{3CCF3320-E3BD-5A4C-926A-DD0EC2697FB0}" name="Test 3" dataDxfId="119"/>
    <tableColumn id="9" xr3:uid="{DFCD7E77-6792-EC4A-8937-7BD5661A57E7}" name="Description" dataDxfId="1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9" dataDxfId="107" headerRowBorderDxfId="108" tableBorderDxfId="106" totalsRowBorderDxfId="105">
  <autoFilter ref="A9:J13" xr:uid="{B089C5C3-2CCE-4800-96CA-2131BB6E3E4F}"/>
  <tableColumns count="10">
    <tableColumn id="1" xr3:uid="{20310A95-CEA4-0E46-A375-D38774A1331C}" name="Variable" dataDxfId="104"/>
    <tableColumn id="4" xr3:uid="{677D6E7A-ABBB-7F47-BEBA-202C00329494}" name="Value" dataDxfId="103"/>
    <tableColumn id="5" xr3:uid="{4C9D6E28-38C2-434B-8F96-F002277F8DF6}" name="Unit" dataDxfId="102"/>
    <tableColumn id="6" xr3:uid="{14421855-DDE0-1B4F-9E2F-0DCEAE184349}" name="Comparisons" dataDxfId="101"/>
    <tableColumn id="7" xr3:uid="{B52A6C11-F701-BB42-BCC5-C034770E9DBB}" name="Variable Type" dataDxfId="100"/>
    <tableColumn id="8" xr3:uid="{7995AC5C-141D-1241-85F4-ED670AA6D852}" name="Dependency" dataDxfId="99"/>
    <tableColumn id="12" xr3:uid="{36F66342-4897-3D48-B96B-71B0734889A5}" name="Test 1" dataDxfId="98"/>
    <tableColumn id="10" xr3:uid="{7FE5DC9B-6534-0E47-9DE7-3B926E4C9E93}" name="Test 2" dataDxfId="97"/>
    <tableColumn id="2" xr3:uid="{B9967632-3249-EA4A-A375-C9085B3EE56A}" name="Test 3" dataDxfId="96"/>
    <tableColumn id="9" xr3:uid="{A656D5B2-43BE-D144-B69B-B013AE6BC6D4}" name="Description" dataDxfId="9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9" dataDxfId="87" headerRowBorderDxfId="88" tableBorderDxfId="86" totalsRowBorderDxfId="85">
  <autoFilter ref="A9:J12" xr:uid="{B089C5C3-2CCE-4800-96CA-2131BB6E3E4F}"/>
  <tableColumns count="10">
    <tableColumn id="1" xr3:uid="{29F8658A-9F09-7042-A7EC-353D08C08D34}" name="Variable" dataDxfId="84"/>
    <tableColumn id="4" xr3:uid="{0AC5C09B-7B5C-9640-A6C7-5BA8E05A9F0D}" name="Value" dataDxfId="83"/>
    <tableColumn id="5" xr3:uid="{4A165AEE-D3E0-DB4C-9890-DA2D18843B58}" name="Unit" dataDxfId="82"/>
    <tableColumn id="6" xr3:uid="{23F62B44-EB3B-FD48-85F1-55541D28F146}" name="Comparisons" dataDxfId="81"/>
    <tableColumn id="7" xr3:uid="{24641755-61AF-6C44-A79C-0EC6F77B3090}" name="Variable Type" dataDxfId="80"/>
    <tableColumn id="8" xr3:uid="{8EB70C81-0937-1548-8A36-195915CD1F99}" name="Dependency" dataDxfId="79"/>
    <tableColumn id="12" xr3:uid="{636C1BEE-1088-1842-B84F-652A0A7EFF6A}" name="Test 1" dataDxfId="78"/>
    <tableColumn id="10" xr3:uid="{611EFDE4-0DDB-044D-8690-A970063DA108}" name="Test 2" dataDxfId="77"/>
    <tableColumn id="2" xr3:uid="{2E2B9EE9-BE3C-354D-8E63-B39DE80C44A0}" name="Test 3" dataDxfId="76"/>
    <tableColumn id="9" xr3:uid="{F8DFB1CD-985B-4E45-BA3D-DD47F4100DAE}" name="Description" dataDxfId="7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60" dataDxfId="58" headerRowBorderDxfId="59" tableBorderDxfId="57" totalsRowBorderDxfId="56">
  <autoFilter ref="A9:J45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>
      <calculatedColumnFormula>0.22*4.184*1000</calculatedColumnFormula>
    </tableColumn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6" t="s">
        <v>39</v>
      </c>
      <c r="E5" s="66"/>
      <c r="F5" s="66"/>
      <c r="G5" s="66"/>
      <c r="H5" s="66"/>
      <c r="I5" s="66"/>
      <c r="J5" s="66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7" t="s">
        <v>32</v>
      </c>
      <c r="B3" s="67"/>
      <c r="C3" s="67"/>
      <c r="D3" s="67"/>
      <c r="E3" s="67"/>
      <c r="F3" s="67"/>
      <c r="G3" s="67"/>
      <c r="H3" s="67"/>
      <c r="I3" s="67"/>
      <c r="J3" s="6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8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7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0.314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eFC+my+yXo8b8IMBvDGI63vIe/RciGG6l6S52xeVFzmpldLGwEUvTuVuGF8b8lixdmKrgU1CNoJfGSa7vCGh7Q==" saltValue="GQTjNz9+7sl1G9ArDF24jA==" spinCount="100000" sheet="1" objects="1" scenarios="1" selectLockedCells="1"/>
  <mergeCells count="2">
    <mergeCell ref="A3:J3"/>
    <mergeCell ref="J4:J8"/>
  </mergeCells>
  <conditionalFormatting sqref="B11">
    <cfRule type="expression" dxfId="140" priority="7">
      <formula>IF(AND($B11&lt;&gt;"",$I11=0),1,0)</formula>
    </cfRule>
    <cfRule type="expression" dxfId="139" priority="8">
      <formula>IF($B11&lt;&gt;"",1,0)</formula>
    </cfRule>
    <cfRule type="expression" dxfId="138" priority="9">
      <formula>$I11=0</formula>
    </cfRule>
  </conditionalFormatting>
  <conditionalFormatting sqref="B10">
    <cfRule type="expression" dxfId="137" priority="1">
      <formula>IF(AND($B10&lt;&gt;"",$I10=0),1,0)</formula>
    </cfRule>
    <cfRule type="expression" dxfId="136" priority="2">
      <formula>IF($B10&lt;&gt;"",1,0)</formula>
    </cfRule>
    <cfRule type="expression" dxfId="135" priority="3">
      <formula>$I10=0</formula>
    </cfRule>
  </conditionalFormatting>
  <conditionalFormatting sqref="J4">
    <cfRule type="expression" dxfId="134" priority="2056">
      <formula>IF(COUNTA($B$10:$B$11)&lt;&gt;COUNTIF($I$10:$I$11,1),1,0)</formula>
    </cfRule>
    <cfRule type="expression" dxfId="133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7" t="s">
        <v>32</v>
      </c>
      <c r="B3" s="67"/>
      <c r="C3" s="67"/>
      <c r="D3" s="67"/>
      <c r="E3" s="67"/>
      <c r="F3" s="67"/>
      <c r="G3" s="67"/>
      <c r="H3" s="67"/>
      <c r="I3" s="67"/>
      <c r="J3" s="6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8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7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7" priority="7">
      <formula>IF(AND($B11&lt;&gt;"",$I11=0),1,0)</formula>
    </cfRule>
    <cfRule type="expression" dxfId="116" priority="8">
      <formula>IF($B11&lt;&gt;"",1,0)</formula>
    </cfRule>
    <cfRule type="expression" dxfId="115" priority="9">
      <formula>$I11=0</formula>
    </cfRule>
  </conditionalFormatting>
  <conditionalFormatting sqref="B10">
    <cfRule type="expression" dxfId="114" priority="1">
      <formula>IF(AND($B10&lt;&gt;"",$I10=0),1,0)</formula>
    </cfRule>
    <cfRule type="expression" dxfId="113" priority="2">
      <formula>IF($B10&lt;&gt;"",1,0)</formula>
    </cfRule>
    <cfRule type="expression" dxfId="112" priority="3">
      <formula>$I10=0</formula>
    </cfRule>
  </conditionalFormatting>
  <conditionalFormatting sqref="J4">
    <cfRule type="expression" dxfId="111" priority="2058">
      <formula>IF(COUNTA($B$10:$B$13)&lt;&gt;COUNTIF($I$10:$I$13,1),1,0)</formula>
    </cfRule>
    <cfRule type="expression" dxfId="110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7" t="s">
        <v>32</v>
      </c>
      <c r="B3" s="67"/>
      <c r="C3" s="67"/>
      <c r="D3" s="67"/>
      <c r="E3" s="67"/>
      <c r="F3" s="67"/>
      <c r="G3" s="67"/>
      <c r="H3" s="67"/>
      <c r="I3" s="67"/>
      <c r="J3" s="6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8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7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1.16/1000</f>
        <v>1.16E-3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0.795/1000</f>
        <v>7.9500000000000003E-4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4" priority="7">
      <formula>IF(AND($B10&lt;&gt;"",$I10=0),1,0)</formula>
    </cfRule>
    <cfRule type="expression" dxfId="93" priority="8">
      <formula>IF($B10&lt;&gt;"",1,0)</formula>
    </cfRule>
    <cfRule type="expression" dxfId="92" priority="9">
      <formula>$I10=0</formula>
    </cfRule>
  </conditionalFormatting>
  <conditionalFormatting sqref="J4">
    <cfRule type="expression" dxfId="91" priority="2062">
      <formula>IF(COUNTA($B$10:$B$12)&lt;&gt;COUNTIF($I$10:$I$12,1),1,0)</formula>
    </cfRule>
    <cfRule type="expression" dxfId="90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abSelected="1" topLeftCell="A2" zoomScaleNormal="100" zoomScaleSheetLayoutView="85" workbookViewId="0">
      <pane ySplit="8" topLeftCell="A34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7" t="s">
        <v>32</v>
      </c>
      <c r="B3" s="67"/>
      <c r="C3" s="67"/>
      <c r="D3" s="67"/>
      <c r="E3" s="67"/>
      <c r="F3" s="67"/>
      <c r="G3" s="67"/>
      <c r="H3" s="67"/>
      <c r="I3" s="67"/>
      <c r="J3" s="6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8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7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303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0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>
        <f>4.31</f>
        <v>4.3099999999999996</v>
      </c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1</v>
      </c>
      <c r="J21" s="60" t="s">
        <v>184</v>
      </c>
    </row>
    <row r="22" spans="1:10" ht="58.8">
      <c r="A22" s="59" t="s">
        <v>168</v>
      </c>
      <c r="B22" s="33">
        <f>5.05</f>
        <v>5.05</v>
      </c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1</v>
      </c>
      <c r="J22" s="60" t="s">
        <v>184</v>
      </c>
    </row>
    <row r="23" spans="1:10" ht="58.8">
      <c r="A23" s="59" t="s">
        <v>169</v>
      </c>
      <c r="B23" s="33">
        <v>-1.06E-2</v>
      </c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1</v>
      </c>
      <c r="J23" s="60" t="s">
        <v>185</v>
      </c>
    </row>
    <row r="24" spans="1:10" ht="58.8">
      <c r="A24" s="59" t="s">
        <v>170</v>
      </c>
      <c r="B24" s="33">
        <v>-9.0500000000000008E-3</v>
      </c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1</v>
      </c>
      <c r="J24" s="60" t="s">
        <v>185</v>
      </c>
    </row>
    <row r="25" spans="1:10" ht="58.8">
      <c r="A25" s="59" t="s">
        <v>171</v>
      </c>
      <c r="B25" s="33">
        <f>0.002515/1.01325</f>
        <v>2.4821120157907722E-3</v>
      </c>
      <c r="C25" s="57" t="s">
        <v>190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1</v>
      </c>
      <c r="J25" s="60" t="s">
        <v>186</v>
      </c>
    </row>
    <row r="26" spans="1:10" ht="58.8">
      <c r="A26" s="59" t="s">
        <v>172</v>
      </c>
      <c r="B26" s="33">
        <f>0.001137/1.01325</f>
        <v>1.1221317542561065E-3</v>
      </c>
      <c r="C26" s="57" t="s">
        <v>190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1</v>
      </c>
      <c r="J26" s="60" t="s">
        <v>186</v>
      </c>
    </row>
    <row r="27" spans="1:10" ht="58.8">
      <c r="A27" s="59" t="s">
        <v>173</v>
      </c>
      <c r="B27" s="33">
        <v>458.2</v>
      </c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1</v>
      </c>
      <c r="J27" s="60" t="s">
        <v>187</v>
      </c>
    </row>
    <row r="28" spans="1:10" ht="58.8">
      <c r="A28" s="59" t="s">
        <v>174</v>
      </c>
      <c r="B28" s="33">
        <v>1617</v>
      </c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1</v>
      </c>
      <c r="J28" s="60" t="s">
        <v>187</v>
      </c>
    </row>
    <row r="29" spans="1:10" ht="87.6">
      <c r="A29" s="59" t="s">
        <v>175</v>
      </c>
      <c r="B29" s="33">
        <v>0.98599999999999999</v>
      </c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1</v>
      </c>
      <c r="J29" s="60" t="s">
        <v>191</v>
      </c>
    </row>
    <row r="30" spans="1:10" ht="87.6">
      <c r="A30" s="59" t="s">
        <v>176</v>
      </c>
      <c r="B30" s="33">
        <v>0.52449999999999997</v>
      </c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1</v>
      </c>
      <c r="J30" s="60" t="s">
        <v>191</v>
      </c>
    </row>
    <row r="31" spans="1:10" ht="58.8">
      <c r="A31" s="59" t="s">
        <v>177</v>
      </c>
      <c r="B31" s="33">
        <v>43.03</v>
      </c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1</v>
      </c>
      <c r="J31" s="60" t="s">
        <v>189</v>
      </c>
    </row>
    <row r="32" spans="1:10" ht="58.8">
      <c r="A32" s="46" t="s">
        <v>178</v>
      </c>
      <c r="B32" s="33">
        <v>256.5</v>
      </c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1</v>
      </c>
      <c r="J32" s="60" t="s">
        <v>189</v>
      </c>
    </row>
    <row r="33" spans="1:10" ht="43.2">
      <c r="A33" s="63" t="s">
        <v>192</v>
      </c>
      <c r="B33" s="64"/>
      <c r="C33" s="35" t="s">
        <v>161</v>
      </c>
      <c r="D33" s="1" t="s">
        <v>24</v>
      </c>
      <c r="E33" s="1" t="s">
        <v>11</v>
      </c>
      <c r="F33" s="2" t="s">
        <v>5</v>
      </c>
      <c r="G33" s="1">
        <v>1</v>
      </c>
      <c r="H33" s="55">
        <f>[1]Initialization!$B$10</f>
        <v>2</v>
      </c>
      <c r="I33" s="44">
        <f>IF(OR('[2]Model Selection'!$B$10=5,'[2]Model Selection'!$B$10=6),1,0)</f>
        <v>0</v>
      </c>
      <c r="J33" s="65" t="s">
        <v>193</v>
      </c>
    </row>
    <row r="34" spans="1:10" ht="43.2">
      <c r="A34" s="63" t="s">
        <v>194</v>
      </c>
      <c r="B34" s="64"/>
      <c r="C34" s="35" t="s">
        <v>161</v>
      </c>
      <c r="D34" s="1" t="s">
        <v>24</v>
      </c>
      <c r="E34" s="1" t="s">
        <v>11</v>
      </c>
      <c r="F34" s="2" t="s">
        <v>5</v>
      </c>
      <c r="G34" s="1"/>
      <c r="H34" s="55">
        <f>[1]Initialization!$B$10</f>
        <v>2</v>
      </c>
      <c r="I34" s="44">
        <f>IF(OR('[2]Model Selection'!$B$10=5,'[2]Model Selection'!$B$10=6),1,0)</f>
        <v>0</v>
      </c>
      <c r="J34" s="65" t="s">
        <v>195</v>
      </c>
    </row>
    <row r="35" spans="1:10" ht="43.2">
      <c r="A35" s="63" t="s">
        <v>196</v>
      </c>
      <c r="B35" s="64"/>
      <c r="C35" s="35" t="s">
        <v>161</v>
      </c>
      <c r="D35" s="1" t="s">
        <v>24</v>
      </c>
      <c r="E35" s="1" t="s">
        <v>11</v>
      </c>
      <c r="F35" s="2" t="s">
        <v>5</v>
      </c>
      <c r="G35" s="1">
        <v>1</v>
      </c>
      <c r="H35" s="55">
        <f>[1]Initialization!$B$10</f>
        <v>2</v>
      </c>
      <c r="I35" s="44">
        <f>IF(OR('[2]Model Selection'!$B$10=5,'[2]Model Selection'!$B$10=6),1,0)</f>
        <v>0</v>
      </c>
      <c r="J35" s="65" t="s">
        <v>197</v>
      </c>
    </row>
    <row r="36" spans="1:10" ht="43.2">
      <c r="A36" s="63" t="s">
        <v>198</v>
      </c>
      <c r="B36" s="64"/>
      <c r="C36" s="35" t="s">
        <v>161</v>
      </c>
      <c r="D36" s="1" t="s">
        <v>24</v>
      </c>
      <c r="E36" s="1" t="s">
        <v>11</v>
      </c>
      <c r="F36" s="2" t="s">
        <v>5</v>
      </c>
      <c r="G36" s="1"/>
      <c r="H36" s="55">
        <f>[1]Initialization!$B$10</f>
        <v>2</v>
      </c>
      <c r="I36" s="44">
        <f>IF(OR('[2]Model Selection'!$B$10=5,'[2]Model Selection'!$B$10=6),1,0)</f>
        <v>0</v>
      </c>
      <c r="J36" s="65" t="s">
        <v>199</v>
      </c>
    </row>
    <row r="37" spans="1:10" ht="43.2">
      <c r="A37" s="63" t="s">
        <v>200</v>
      </c>
      <c r="B37" s="64"/>
      <c r="C37" s="35" t="s">
        <v>160</v>
      </c>
      <c r="D37" s="1" t="s">
        <v>24</v>
      </c>
      <c r="E37" s="1" t="s">
        <v>11</v>
      </c>
      <c r="F37" s="2" t="s">
        <v>5</v>
      </c>
      <c r="G37" s="1">
        <v>1</v>
      </c>
      <c r="H37" s="55">
        <f>[1]Initialization!$B$10</f>
        <v>2</v>
      </c>
      <c r="I37" s="44">
        <f>IF(OR('[2]Model Selection'!$B$10=5,'[2]Model Selection'!$B$10=6),1,0)</f>
        <v>0</v>
      </c>
      <c r="J37" s="65" t="s">
        <v>201</v>
      </c>
    </row>
    <row r="38" spans="1:10" ht="43.2">
      <c r="A38" s="63" t="s">
        <v>202</v>
      </c>
      <c r="B38" s="64"/>
      <c r="C38" s="35" t="s">
        <v>160</v>
      </c>
      <c r="D38" s="1" t="s">
        <v>24</v>
      </c>
      <c r="E38" s="1" t="s">
        <v>11</v>
      </c>
      <c r="F38" s="2" t="s">
        <v>5</v>
      </c>
      <c r="G38" s="1"/>
      <c r="H38" s="55">
        <f>[1]Initialization!$B$10</f>
        <v>2</v>
      </c>
      <c r="I38" s="44">
        <f>IF(OR('[2]Model Selection'!$B$10=5,'[2]Model Selection'!$B$10=6),1,0)</f>
        <v>0</v>
      </c>
      <c r="J38" s="65" t="s">
        <v>203</v>
      </c>
    </row>
    <row r="39" spans="1:10" ht="43.2">
      <c r="A39" s="63" t="s">
        <v>204</v>
      </c>
      <c r="B39" s="64"/>
      <c r="C39" s="35" t="s">
        <v>160</v>
      </c>
      <c r="D39" s="1" t="s">
        <v>24</v>
      </c>
      <c r="E39" s="1" t="s">
        <v>11</v>
      </c>
      <c r="F39" s="2" t="s">
        <v>5</v>
      </c>
      <c r="G39" s="1">
        <v>1</v>
      </c>
      <c r="H39" s="55">
        <f>[1]Initialization!$B$10</f>
        <v>2</v>
      </c>
      <c r="I39" s="44">
        <f>IF(OR('[2]Model Selection'!$B$10=5,'[2]Model Selection'!$B$10=6),1,0)</f>
        <v>0</v>
      </c>
      <c r="J39" s="65" t="s">
        <v>205</v>
      </c>
    </row>
    <row r="40" spans="1:10" ht="43.2">
      <c r="A40" s="63" t="s">
        <v>206</v>
      </c>
      <c r="B40" s="64"/>
      <c r="C40" s="35" t="s">
        <v>160</v>
      </c>
      <c r="D40" s="1" t="s">
        <v>24</v>
      </c>
      <c r="E40" s="1" t="s">
        <v>11</v>
      </c>
      <c r="F40" s="2" t="s">
        <v>5</v>
      </c>
      <c r="G40" s="1"/>
      <c r="H40" s="55">
        <f>[1]Initialization!$B$10</f>
        <v>2</v>
      </c>
      <c r="I40" s="44">
        <f>IF(OR('[2]Model Selection'!$B$10=5,'[2]Model Selection'!$B$10=6),1,0)</f>
        <v>0</v>
      </c>
      <c r="J40" s="65" t="s">
        <v>207</v>
      </c>
    </row>
    <row r="41" spans="1:10" ht="43.2">
      <c r="A41" s="63" t="s">
        <v>208</v>
      </c>
      <c r="B41" s="64"/>
      <c r="C41" s="35" t="s">
        <v>3</v>
      </c>
      <c r="D41" s="1" t="s">
        <v>24</v>
      </c>
      <c r="E41" s="1" t="s">
        <v>11</v>
      </c>
      <c r="F41" s="2" t="s">
        <v>5</v>
      </c>
      <c r="G41" s="1">
        <v>1</v>
      </c>
      <c r="H41" s="55">
        <f>[1]Initialization!$B$10</f>
        <v>2</v>
      </c>
      <c r="I41" s="44">
        <f>IF(OR('[2]Model Selection'!$B$10=5,'[2]Model Selection'!$B$10=6),1,0)</f>
        <v>0</v>
      </c>
      <c r="J41" s="65" t="s">
        <v>209</v>
      </c>
    </row>
    <row r="42" spans="1:10" ht="43.2">
      <c r="A42" s="63" t="s">
        <v>210</v>
      </c>
      <c r="B42" s="64"/>
      <c r="C42" s="35" t="s">
        <v>3</v>
      </c>
      <c r="D42" s="1" t="s">
        <v>24</v>
      </c>
      <c r="E42" s="1" t="s">
        <v>11</v>
      </c>
      <c r="F42" s="2" t="s">
        <v>5</v>
      </c>
      <c r="G42" s="1"/>
      <c r="H42" s="55">
        <f>[1]Initialization!$B$10</f>
        <v>2</v>
      </c>
      <c r="I42" s="44">
        <f>IF(OR('[2]Model Selection'!$B$10=5,'[2]Model Selection'!$B$10=6),1,0)</f>
        <v>0</v>
      </c>
      <c r="J42" s="65" t="s">
        <v>211</v>
      </c>
    </row>
    <row r="43" spans="1:10" ht="43.2">
      <c r="A43" s="63" t="s">
        <v>212</v>
      </c>
      <c r="B43" s="64"/>
      <c r="C43" s="35" t="s">
        <v>3</v>
      </c>
      <c r="D43" s="1" t="s">
        <v>24</v>
      </c>
      <c r="E43" s="1" t="s">
        <v>11</v>
      </c>
      <c r="F43" s="2" t="s">
        <v>5</v>
      </c>
      <c r="G43" s="1">
        <v>1</v>
      </c>
      <c r="H43" s="55">
        <f>[1]Initialization!$B$10</f>
        <v>2</v>
      </c>
      <c r="I43" s="44">
        <f>IF(OR('[2]Model Selection'!$B$10=5,'[2]Model Selection'!$B$10=6),1,0)</f>
        <v>0</v>
      </c>
      <c r="J43" s="65" t="s">
        <v>213</v>
      </c>
    </row>
    <row r="44" spans="1:10" ht="43.2">
      <c r="A44" s="63" t="s">
        <v>214</v>
      </c>
      <c r="B44" s="64"/>
      <c r="C44" s="35" t="s">
        <v>3</v>
      </c>
      <c r="D44" s="1" t="s">
        <v>24</v>
      </c>
      <c r="E44" s="1" t="s">
        <v>11</v>
      </c>
      <c r="F44" s="2" t="s">
        <v>5</v>
      </c>
      <c r="G44" s="1"/>
      <c r="H44" s="55">
        <f>[1]Initialization!$B$10</f>
        <v>2</v>
      </c>
      <c r="I44" s="44">
        <f>IF(OR('[2]Model Selection'!$B$10=5,'[2]Model Selection'!$B$10=6),1,0)</f>
        <v>0</v>
      </c>
      <c r="J44" s="65" t="s">
        <v>215</v>
      </c>
    </row>
    <row r="45" spans="1:10" ht="14.4">
      <c r="A45" s="8" t="s">
        <v>88</v>
      </c>
      <c r="B45" s="34"/>
      <c r="C45" s="9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89</v>
      </c>
    </row>
  </sheetData>
  <sheetProtection algorithmName="SHA-512" hashValue="9BlmBTJce6A90iJHytY5Lw5eEPCZzyCngd+GwaHsIHMXKeExNUW2hVJVuyrVrOE1F3ffngLltAiLBxDusYmFFw==" saltValue="2sBS3JJjNABzzDVLFnc8yw==" spinCount="100000" sheet="1" objects="1" scenarios="1" selectLockedCells="1"/>
  <mergeCells count="2">
    <mergeCell ref="A3:J3"/>
    <mergeCell ref="J4:J8"/>
  </mergeCells>
  <conditionalFormatting sqref="B10:B32 B45:B1048576">
    <cfRule type="expression" dxfId="74" priority="22">
      <formula>IF(AND($B10&lt;&gt;"",$I10=0),1,0)</formula>
    </cfRule>
    <cfRule type="expression" dxfId="73" priority="23">
      <formula>IF($B10&lt;&gt;"",1,0)</formula>
    </cfRule>
    <cfRule type="expression" dxfId="72" priority="24">
      <formula>$I10=0</formula>
    </cfRule>
  </conditionalFormatting>
  <conditionalFormatting sqref="B13">
    <cfRule type="expression" dxfId="71" priority="13">
      <formula>IF(AND($B13&lt;&gt;"",$I13=0),1,0)</formula>
    </cfRule>
    <cfRule type="expression" dxfId="70" priority="14">
      <formula>IF($B13&lt;&gt;"",1,0)</formula>
    </cfRule>
    <cfRule type="expression" dxfId="69" priority="15">
      <formula>$I13=0</formula>
    </cfRule>
  </conditionalFormatting>
  <conditionalFormatting sqref="B10">
    <cfRule type="expression" dxfId="68" priority="10">
      <formula>IF(AND($B10&lt;&gt;"",$I10=0),1,0)</formula>
    </cfRule>
    <cfRule type="expression" dxfId="67" priority="11">
      <formula>IF($B10&lt;&gt;"",1,0)</formula>
    </cfRule>
    <cfRule type="expression" dxfId="66" priority="12">
      <formula>$I10=0</formula>
    </cfRule>
  </conditionalFormatting>
  <conditionalFormatting sqref="J4">
    <cfRule type="expression" dxfId="65" priority="2067">
      <formula>IF(COUNTA($B$10:$B$45)&lt;&gt;COUNTIF($I$10:$I$45,1),1,0)</formula>
    </cfRule>
    <cfRule type="expression" dxfId="64" priority="2068">
      <formula>IF(COUNTA($B$10:$B$45)=COUNTIF($I$10:$I$45,1),1,0)</formula>
    </cfRule>
  </conditionalFormatting>
  <conditionalFormatting sqref="B33:B44">
    <cfRule type="expression" dxfId="63" priority="1">
      <formula>IF(AND($B33&lt;&gt;"",$I33=0),1,0)</formula>
    </cfRule>
    <cfRule type="expression" dxfId="62" priority="2">
      <formula>IF($B33&lt;&gt;"",1,0)</formula>
    </cfRule>
    <cfRule type="expression" dxfId="61" priority="3">
      <formula>$I33=0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7" t="s">
        <v>32</v>
      </c>
      <c r="B3" s="67"/>
      <c r="C3" s="67"/>
      <c r="D3" s="67"/>
      <c r="E3" s="67"/>
      <c r="F3" s="67"/>
      <c r="G3" s="67"/>
      <c r="H3" s="67"/>
      <c r="I3" s="67"/>
      <c r="J3" s="6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8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7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0.58699999999999997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2.1000000000000001E-2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7" t="s">
        <v>32</v>
      </c>
      <c r="B3" s="67"/>
      <c r="C3" s="67"/>
      <c r="D3" s="67"/>
      <c r="E3" s="67"/>
      <c r="F3" s="67"/>
      <c r="G3" s="67"/>
      <c r="H3" s="67"/>
      <c r="I3" s="67"/>
      <c r="J3" s="6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8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7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62">
        <f t="shared" ref="B10" si="0">0.22*4.184*1000</f>
        <v>920.48000000000013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k2F+nt93Z4HIHVVaDkoH7ECuz9NQRurCqM8OAkg9jjSRIApu1WnOQ7kWGKLPVX4gZUknYpbmSVvDmXEVH2pcYA==" saltValue="r/ETCX3y7nqL3F079UE0n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71" t="s">
        <v>103</v>
      </c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topLeftCell="CF1"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0.314</v>
      </c>
      <c r="C2">
        <v>1</v>
      </c>
      <c r="G2">
        <v>1.16E-3</v>
      </c>
      <c r="H2">
        <v>7.9500000000000003E-4</v>
      </c>
      <c r="J2">
        <v>303</v>
      </c>
      <c r="U2">
        <v>4.3099999999999996</v>
      </c>
      <c r="V2">
        <v>5.05</v>
      </c>
      <c r="W2">
        <v>-1.06E-2</v>
      </c>
      <c r="X2">
        <v>-9.0500000000000008E-3</v>
      </c>
      <c r="Y2">
        <v>2.4821120157907722E-3</v>
      </c>
      <c r="Z2">
        <v>1.1221317542561065E-3</v>
      </c>
      <c r="AA2">
        <v>458.2</v>
      </c>
      <c r="AB2">
        <v>1617</v>
      </c>
      <c r="AC2">
        <v>0.98599999999999999</v>
      </c>
      <c r="AD2">
        <v>0.52449999999999997</v>
      </c>
      <c r="AE2">
        <v>43.03</v>
      </c>
      <c r="AF2">
        <v>256.5</v>
      </c>
      <c r="AT2">
        <v>0.58699999999999997</v>
      </c>
      <c r="AU2">
        <v>2.1000000000000001E-2</v>
      </c>
      <c r="AW2">
        <v>920.48000000000013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1</v>
      </c>
      <c r="AU2">
        <v>1</v>
      </c>
      <c r="AV2">
        <v>0</v>
      </c>
      <c r="AW2">
        <v>1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2023-04-13T23:38:15Z</dcterms:modified>
</cp:coreProperties>
</file>