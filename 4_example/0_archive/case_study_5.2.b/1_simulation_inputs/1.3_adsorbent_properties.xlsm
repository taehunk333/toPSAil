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2.b/1_simulation_inputs/"/>
    </mc:Choice>
  </mc:AlternateContent>
  <xr:revisionPtr revIDLastSave="0" documentId="13_ncr:1_{63FE81AE-C70C-924A-8EBA-F4A7B96DC22B}" xr6:coauthVersionLast="47" xr6:coauthVersionMax="47" xr10:uidLastSave="{00000000-0000-0000-0000-000000000000}"/>
  <bookViews>
    <workbookView xWindow="0" yWindow="0" windowWidth="25600" windowHeight="16000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54" l="1"/>
  <c r="B11" i="54"/>
  <c r="I44" i="53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6" i="53"/>
  <c r="I15" i="53"/>
  <c r="I14" i="53"/>
  <c r="I13" i="53"/>
  <c r="I20" i="53"/>
  <c r="I19" i="53"/>
  <c r="I11" i="53" l="1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H20" i="53"/>
  <c r="H19" i="53"/>
  <c r="I18" i="53"/>
  <c r="H18" i="53"/>
  <c r="I17" i="53"/>
  <c r="H17" i="53"/>
  <c r="H12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<sst xmlns="http://schemas.openxmlformats.org/spreadsheetml/2006/main" count="607" uniqueCount="228">
  <si>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</si>
  <si>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</si>
  <si>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</si>
  <si>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</si>
  <si>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</si>
  <si>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</si>
  <si>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</si>
  <si>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</si>
  <si>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</si>
  <si>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</si>
  <si>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</si>
  <si>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</si>
  <si>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</si>
  <si>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</si>
  <si>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</si>
  <si>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</si>
  <si>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</si>
  <si>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</si>
  <si>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</si>
  <si>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</si>
  <si>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</si>
  <si>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</si>
  <si>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</si>
  <si>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</si>
  <si>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</si>
  <si>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</si>
  <si>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</si>
  <si>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</si>
  <si>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</si>
  <si>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</si>
  <si>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</si>
  <si>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</si>
  <si>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</si>
  <si>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</si>
  <si>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</si>
  <si>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</si>
  <si>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</si>
  <si>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</si>
  <si>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</si>
  <si>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</si>
  <si>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</si>
  <si>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</si>
  <si>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</si>
  <si>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</si>
  <si>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</si>
  <si>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</si>
  <si>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</si>
  <si>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</si>
  <si>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</si>
  <si>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</si>
  <si>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</si>
  <si>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</si>
  <si>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</si>
  <si>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</si>
  <si>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</si>
  <si>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</si>
  <si>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</si>
  <si>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</si>
  <si>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</si>
  <si>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</si>
  <si>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</si>
  <si>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</si>
  <si>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</si>
  <si>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</si>
  <si>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</si>
  <si>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</si>
  <si>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</si>
  <si>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</si>
  <si>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</si>
  <si>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</si>
  <si>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</si>
  <si>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</si>
  <si>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</si>
  <si>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</si>
  <si>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</si>
  <si>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</si>
  <si>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</si>
  <si>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</si>
  <si>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</si>
  <si>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</si>
  <si>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</si>
  <si>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</si>
  <si>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</si>
  <si>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</si>
  <si>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</si>
  <si>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</si>
  <si>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</si>
  <si>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</si>
  <si>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</si>
  <si>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</si>
  <si>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</si>
  <si>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</si>
  <si>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</si>
  <si>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</si>
  <si>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</si>
  <si>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</si>
  <si>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</si>
  <si>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</si>
  <si>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</si>
  <si>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</si>
  <si>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</si>
  <si>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</si>
  <si>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</si>
  <si>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</si>
  <si>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</si>
  <si>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</si>
  <si>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</si>
  <si>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</si>
  <si>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</si>
  <si>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</si>
  <si>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</si>
  <si>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</si>
  <si>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</si>
  <si>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</si>
  <si>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</si>
  <si>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</si>
  <si>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</si>
  <si>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</si>
  <si>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</si>
  <si>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</si>
  <si>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</si>
  <si>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</si>
  <si>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</si>
  <si>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</si>
  <si>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</si>
  <si>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</si>
  <si>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</si>
  <si>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</si>
  <si>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</si>
  <si>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</si>
  <si>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</si>
  <si>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</si>
  <si>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</si>
  <si>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</si>
  <si>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</si>
  <si>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</si>
  <si>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</si>
  <si>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</si>
  <si>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</si>
  <si>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</si>
  <si>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</si>
  <si>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</si>
  <si>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</si>
  <si>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</si>
  <si>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</si>
  <si>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</si>
  <si>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</si>
  <si>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</si>
  <si>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</si>
  <si>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</si>
  <si>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</si>
  <si>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</si>
  <si>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</si>
  <si>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</si>
  <si>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</si>
  <si>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</si>
  <si>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</si>
  <si>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</si>
  <si>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</si>
  <si>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</si>
  <si>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</si>
  <si>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</si>
  <si>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</si>
  <si>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</si>
  <si>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</si>
  <si>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</si>
  <si>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</si>
  <si>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</si>
  <si>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</si>
  <si>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</si>
  <si>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</si>
  <si>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</si>
  <si>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</si>
  <si>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</si>
  <si>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</si>
  <si>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</si>
  <si>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</si>
  <si>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</si>
  <si>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</si>
  <si>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</si>
  <si>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</si>
  <si>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</si>
  <si>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</si>
  <si>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</si>
  <si>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</si>
  <si>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</si>
  <si>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</si>
  <si>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</si>
  <si>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</si>
  <si>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</si>
  <si>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 Isotherm] Adsorption affinity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</si>
  <si>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Isotherms]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</si>
  <si>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qSatSiteOneC1</t>
  </si>
  <si>
    <t>qSatSiteOneC2</t>
  </si>
  <si>
    <t>qSatSiteTwoC1</t>
  </si>
  <si>
    <t>qSatSiteTwoC2</t>
  </si>
  <si>
    <t>bSiteOneC1</t>
  </si>
  <si>
    <t>bSiteOneC2</t>
  </si>
  <si>
    <t>bSiteTwoC1</t>
  </si>
  <si>
    <t>bSiteTwoC2</t>
  </si>
  <si>
    <t>nSiteOneC1</t>
  </si>
  <si>
    <t>nSiteOneC2</t>
  </si>
  <si>
    <t>nSiteTwoC1</t>
  </si>
  <si>
    <t>nSiteTwoC2</t>
  </si>
  <si>
    <t>[Dual-site Langmuir-Freundlich isotherm] The saturation capacity constant for the 1st adsorbate at the 1st adsorption site</t>
  </si>
  <si>
    <t>[Dual-site Langmuir-Freundlich isotherm] The saturation capacity constant for the 2nd adsorbate at the 1st adsorption site</t>
  </si>
  <si>
    <t>[Dual-site Langmuir-Freundlich isotherm] The saturation capacity constant for the 2nd adsorbate at the 2nd adsorption site</t>
  </si>
  <si>
    <t>[Dual-site Langmuir-Freundlich isotherm] The saturation capacity constant for the 1st adsorbate at the 2nd adsorption site</t>
  </si>
  <si>
    <t>[Dual-site Langmuir-Freundlich isotherm] The adsorption affinity constant for the 1st adsorbate at the 1st adsorption site</t>
  </si>
  <si>
    <t>[Dual-site Langmuir-Freundlich isotherm] The adsorption affinity constant for the 2nd adsorbate at the 1st adsorption site</t>
  </si>
  <si>
    <t>[Dual-site Langmuir-Freundlich isotherm] The adsorption affinity constant for the 1st adsorbate at the 2nd adsorption site</t>
  </si>
  <si>
    <t>[Dual-site Langmuir-Freundlich isotherm] The adsorption affinity constant for the 2nd adsorbate at the 2nd adsorption site</t>
  </si>
  <si>
    <t>[Dual-site Langmuir-Freundlich isotherm] The exponent for the 1st adsorbate at the 1st adsorption site</t>
  </si>
  <si>
    <t>[Dual-site Langmuir-Freundlich isotherm] The exponent for the 2nd adsorbate at the 1st adsorption site</t>
  </si>
  <si>
    <t>[Dual-site Langmuir-Freundlich isotherm] The exponent for the 1st adsorbate at the 2nd adsorption site</t>
  </si>
  <si>
    <t>[Dual-site Langmuir-Freundlich isotherm] The exponent for the 2nd adsorbate at the 2nd adsorption site</t>
  </si>
  <si>
    <t>0.0613968 1.64921</t>
  </si>
  <si>
    <t>1.07878 0.689905</t>
  </si>
  <si>
    <t>1.28439 0.0491784</t>
  </si>
  <si>
    <t>2.04187 1.62899</t>
  </si>
  <si>
    <t>3.94032 0.0141117</t>
  </si>
  <si>
    <t>0.881856 3.03088</t>
  </si>
  <si>
    <t>0.0224337 0</t>
  </si>
  <si>
    <t>0.255131 1.84184</t>
  </si>
  <si>
    <t>1.07084 0.609815</t>
  </si>
  <si>
    <t>5.62217 4.53821</t>
  </si>
  <si>
    <t>0.693698 0</t>
  </si>
  <si>
    <t>0.794924 1.00793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</si>
</sst>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60" dataDxfId="58" headerRowBorderDxfId="59" tableBorderDxfId="57" totalsRowBorderDxfId="56">
  <autoFilter ref="A9:J4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1.1800000000000001E-3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HPGsGnagMEFX2vcGsT8P560sDXYNupqyXpE/N5hQwpOiy4h3FsSOiY8Rg0Lu6x8anx3MoUPOS3AwnjHrnRCkTQ==" saltValue="9gN4G6IcVLKllLLDzgLlLg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38" activePane="bottomLeft" state="frozen"/>
      <selection activeCell="A10" sqref="A10:J10"/>
      <selection pane="bottomLeft" activeCell="B33" sqref="B33:B4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298.14999999999998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/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2</v>
      </c>
      <c r="I11" s="44">
        <f>IF('[2]Model Selection'!$B$10=1,1,0)</f>
        <v>0</v>
      </c>
      <c r="J11" s="5" t="s">
        <v>180</v>
      </c>
    </row>
    <row r="12" spans="1:10" ht="98" x14ac:dyDescent="0.2">
      <c r="A12" s="46" t="s">
        <v>158</v>
      </c>
      <c r="B12" s="33"/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2</v>
      </c>
      <c r="I12" s="44">
        <f>IF('[2]Model Selection'!$B$10=1,1,0)</f>
        <v>0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186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186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IF(OR('[2]Model Selection'!$B$10=2),1,0)</f>
        <v>0</v>
      </c>
      <c r="J15" s="5" t="s">
        <v>190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IF(OR('[2]Model Selection'!$B$10=2),1,0)</f>
        <v>0</v>
      </c>
      <c r="J16" s="5" t="s">
        <v>190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5" t="s">
        <v>181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2</v>
      </c>
      <c r="I18" s="44">
        <f>IF('[2]Model Selection'!$B$10=3,1,0)</f>
        <v>0</v>
      </c>
      <c r="J18" s="5" t="s">
        <v>181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IF(OR('[2]Model Selection'!$B$10=3),1,0)</f>
        <v>0</v>
      </c>
      <c r="J19" s="5" t="s">
        <v>191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2</v>
      </c>
      <c r="I20" s="44">
        <f>IF(OR('[2]Model Selection'!$B$10=3),1,0)</f>
        <v>0</v>
      </c>
      <c r="J20" s="5" t="s">
        <v>191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5" t="s">
        <v>182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2</v>
      </c>
      <c r="I22" s="44">
        <f>IF('[2]Model Selection'!$B$10=4,1,0)</f>
        <v>0</v>
      </c>
      <c r="J22" s="5" t="s">
        <v>182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5" t="s">
        <v>183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2</v>
      </c>
      <c r="I24" s="44">
        <f>IF('[2]Model Selection'!$B$10=4,1,0)</f>
        <v>0</v>
      </c>
      <c r="J24" s="5" t="s">
        <v>183</v>
      </c>
    </row>
    <row r="25" spans="1:10" ht="66" x14ac:dyDescent="0.2">
      <c r="A25" s="46" t="s">
        <v>171</v>
      </c>
      <c r="B25" s="33"/>
      <c r="C25" s="35" t="s">
        <v>187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5" t="s">
        <v>184</v>
      </c>
    </row>
    <row r="26" spans="1:10" ht="66" x14ac:dyDescent="0.2">
      <c r="A26" s="46" t="s">
        <v>172</v>
      </c>
      <c r="B26" s="33"/>
      <c r="C26" s="35" t="s">
        <v>187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2</v>
      </c>
      <c r="I26" s="44">
        <f>IF('[2]Model Selection'!$B$10=4,1,0)</f>
        <v>0</v>
      </c>
      <c r="J26" s="5" t="s">
        <v>184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5" t="s">
        <v>185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2</v>
      </c>
      <c r="I28" s="44">
        <f>IF('[2]Model Selection'!$B$10=4,1,0)</f>
        <v>0</v>
      </c>
      <c r="J28" s="5" t="s">
        <v>185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5" t="s">
        <v>188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2</v>
      </c>
      <c r="I30" s="44">
        <f>IF('[2]Model Selection'!$B$10=4,1,0)</f>
        <v>0</v>
      </c>
      <c r="J30" s="5" t="s">
        <v>188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5" t="s">
        <v>189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2</v>
      </c>
      <c r="I32" s="44">
        <f>IF('[2]Model Selection'!$B$10=4,1,0)</f>
        <v>0</v>
      </c>
      <c r="J32" s="5" t="s">
        <v>189</v>
      </c>
    </row>
    <row r="33" spans="1:10" ht="48" x14ac:dyDescent="0.2">
      <c r="A33" s="46" t="s">
        <v>192</v>
      </c>
      <c r="B33" s="33" t="s">
        <v>216</v>
      </c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1</v>
      </c>
      <c r="J33" s="5" t="s">
        <v>204</v>
      </c>
    </row>
    <row r="34" spans="1:10" ht="48" x14ac:dyDescent="0.2">
      <c r="A34" s="46" t="s">
        <v>193</v>
      </c>
      <c r="B34" s="33" t="s">
        <v>217</v>
      </c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1</v>
      </c>
      <c r="J34" s="5" t="s">
        <v>205</v>
      </c>
    </row>
    <row r="35" spans="1:10" ht="48" x14ac:dyDescent="0.2">
      <c r="A35" s="46" t="s">
        <v>194</v>
      </c>
      <c r="B35" s="33" t="s">
        <v>218</v>
      </c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1</v>
      </c>
      <c r="J35" s="5" t="s">
        <v>207</v>
      </c>
    </row>
    <row r="36" spans="1:10" ht="48" x14ac:dyDescent="0.2">
      <c r="A36" s="46" t="s">
        <v>195</v>
      </c>
      <c r="B36" s="33" t="s">
        <v>219</v>
      </c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1</v>
      </c>
      <c r="J36" s="5" t="s">
        <v>206</v>
      </c>
    </row>
    <row r="37" spans="1:10" ht="48" x14ac:dyDescent="0.2">
      <c r="A37" s="46" t="s">
        <v>196</v>
      </c>
      <c r="B37" s="33" t="s">
        <v>220</v>
      </c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1</v>
      </c>
      <c r="J37" s="5" t="s">
        <v>208</v>
      </c>
    </row>
    <row r="38" spans="1:10" ht="48" x14ac:dyDescent="0.2">
      <c r="A38" s="46" t="s">
        <v>197</v>
      </c>
      <c r="B38" s="33" t="s">
        <v>221</v>
      </c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1</v>
      </c>
      <c r="J38" s="5" t="s">
        <v>209</v>
      </c>
    </row>
    <row r="39" spans="1:10" ht="48" x14ac:dyDescent="0.2">
      <c r="A39" s="46" t="s">
        <v>198</v>
      </c>
      <c r="B39" s="33" t="s">
        <v>222</v>
      </c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1</v>
      </c>
      <c r="J39" s="5" t="s">
        <v>210</v>
      </c>
    </row>
    <row r="40" spans="1:10" ht="48" x14ac:dyDescent="0.2">
      <c r="A40" s="46" t="s">
        <v>199</v>
      </c>
      <c r="B40" s="33" t="s">
        <v>223</v>
      </c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1</v>
      </c>
      <c r="J40" s="5" t="s">
        <v>211</v>
      </c>
    </row>
    <row r="41" spans="1:10" ht="32" x14ac:dyDescent="0.2">
      <c r="A41" s="46" t="s">
        <v>200</v>
      </c>
      <c r="B41" s="33" t="s">
        <v>224</v>
      </c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1</v>
      </c>
      <c r="J41" s="5" t="s">
        <v>212</v>
      </c>
    </row>
    <row r="42" spans="1:10" ht="32" x14ac:dyDescent="0.2">
      <c r="A42" s="46" t="s">
        <v>201</v>
      </c>
      <c r="B42" s="33" t="s">
        <v>225</v>
      </c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1</v>
      </c>
      <c r="J42" s="5" t="s">
        <v>213</v>
      </c>
    </row>
    <row r="43" spans="1:10" ht="32" x14ac:dyDescent="0.2">
      <c r="A43" s="46" t="s">
        <v>202</v>
      </c>
      <c r="B43" s="33" t="s">
        <v>226</v>
      </c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1</v>
      </c>
      <c r="J43" s="5" t="s">
        <v>214</v>
      </c>
    </row>
    <row r="44" spans="1:10" ht="32" x14ac:dyDescent="0.2">
      <c r="A44" s="46" t="s">
        <v>203</v>
      </c>
      <c r="B44" s="33" t="s">
        <v>227</v>
      </c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1</v>
      </c>
      <c r="J44" s="5" t="s">
        <v>215</v>
      </c>
    </row>
    <row r="45" spans="1:10" ht="16" x14ac:dyDescent="0.2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5+DtzL2heDdIAcACOQUat51FbTlSC2UEuFtoZWyry1no3I92KMiw3EiYYMZntZmPxwn4IWJ5DSTfJ90few8epw==" saltValue="kNNHNMv6M6Wu5iRj0dj3mw==" spinCount="100000" sheet="1" objects="1" scenarios="1" selectLockedCells="1"/>
  <mergeCells count="2">
    <mergeCell ref="A3:J3"/>
    <mergeCell ref="J4:J8"/>
  </mergeCells>
  <conditionalFormatting sqref="B10:B45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IF(COUNTA($B$10:$B$45)&lt;&gt;COUNTIF($I$10:$I$45,1),1,0)</formula>
    </cfRule>
    <cfRule type="expression" dxfId="61" priority="2065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f>0.01878*15</f>
        <v>0.28170000000000001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f>0.01087*15</f>
        <v>0.16305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m8gPbMD/yUJkT1Qxl0G5K6r4ywTD7av104nanW6FFkKQafbdCbNcLpPlXy/EuR3qcKDMSFyU423UsltaY1nlsQ==" saltValue="a2oroatRvUzKv69dDYF+2w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1" t="s">
        <v>103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193</v>
      </c>
      <c r="AI1" t="s">
        <v>194</v>
      </c>
      <c r="AJ1" t="s">
        <v>195</v>
      </c>
      <c r="AK1" t="s">
        <v>196</v>
      </c>
      <c r="AL1" t="s">
        <v>197</v>
      </c>
      <c r="AM1" t="s">
        <v>198</v>
      </c>
      <c r="AN1" t="s">
        <v>199</v>
      </c>
      <c r="AO1" t="s">
        <v>200</v>
      </c>
      <c r="AP1" t="s">
        <v>201</v>
      </c>
      <c r="AQ1" t="s">
        <v>202</v>
      </c>
      <c r="AR1" t="s">
        <v>203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0.04</v>
      </c>
      <c r="C2">
        <v>1</v>
      </c>
      <c r="G2">
        <v>1.552E-3</v>
      </c>
      <c r="H2">
        <v>1.1800000000000001E-3</v>
      </c>
      <c r="J2">
        <v>298.14999999999998</v>
      </c>
      <c r="AG2" t="s">
        <v>216</v>
      </c>
      <c r="AH2" t="s">
        <v>217</v>
      </c>
      <c r="AI2" t="s">
        <v>218</v>
      </c>
      <c r="AJ2" t="s">
        <v>219</v>
      </c>
      <c r="AK2" t="s">
        <v>220</v>
      </c>
      <c r="AL2" t="s">
        <v>221</v>
      </c>
      <c r="AM2" t="s">
        <v>222</v>
      </c>
      <c r="AN2" t="s">
        <v>223</v>
      </c>
      <c r="AO2" t="s">
        <v>224</v>
      </c>
      <c r="AP2" t="s">
        <v>225</v>
      </c>
      <c r="AQ2" t="s">
        <v>226</v>
      </c>
      <c r="AR2" t="s">
        <v>227</v>
      </c>
      <c r="AT2">
        <v>0.28170000000000001</v>
      </c>
      <c r="AU2">
        <v>0.16305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193</v>
      </c>
      <c r="AI1" t="s">
        <v>194</v>
      </c>
      <c r="AJ1" t="s">
        <v>195</v>
      </c>
      <c r="AK1" t="s">
        <v>196</v>
      </c>
      <c r="AL1" t="s">
        <v>197</v>
      </c>
      <c r="AM1" t="s">
        <v>198</v>
      </c>
      <c r="AN1" t="s">
        <v>199</v>
      </c>
      <c r="AO1" t="s">
        <v>200</v>
      </c>
      <c r="AP1" t="s">
        <v>201</v>
      </c>
      <c r="AQ1" t="s">
        <v>202</v>
      </c>
      <c r="AR1" t="s">
        <v>203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2023-07-06T16:05:57Z</dcterms:modified>
</cp:coreProperties>
</file>