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case_study_5.0/1_simulation_inputs/"/>
    </mc:Choice>
  </mc:AlternateContent>
  <xr:revisionPtr revIDLastSave="0" documentId="13_ncr:1_{5681E229-6287-3A4E-BFB1-B799E718E7AD}" xr6:coauthVersionLast="47" xr6:coauthVersionMax="47" xr10:uidLastSave="{00000000-0000-0000-0000-000000000000}"/>
  <bookViews>
    <workbookView xWindow="0" yWindow="0" windowWidth="25600" windowHeight="16000" tabRatio="818" activeTab="4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Isotherm'!$A$2:$J$45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54" l="1"/>
  <c r="B11" i="54"/>
  <c r="I44" i="53"/>
  <c r="I43" i="53"/>
  <c r="I42" i="53"/>
  <c r="I41" i="53"/>
  <c r="I40" i="53"/>
  <c r="I39" i="53"/>
  <c r="I38" i="53"/>
  <c r="I37" i="53"/>
  <c r="I36" i="53"/>
  <c r="I35" i="53"/>
  <c r="I34" i="53"/>
  <c r="I33" i="53"/>
  <c r="H44" i="53"/>
  <c r="H43" i="53"/>
  <c r="H42" i="53"/>
  <c r="H41" i="53"/>
  <c r="H40" i="53"/>
  <c r="H39" i="53"/>
  <c r="H38" i="53"/>
  <c r="H37" i="53"/>
  <c r="H36" i="53"/>
  <c r="H35" i="53"/>
  <c r="H34" i="53"/>
  <c r="H33" i="53"/>
  <c r="I16" i="53"/>
  <c r="I15" i="53"/>
  <c r="I14" i="53"/>
  <c r="I13" i="53"/>
  <c r="I20" i="53"/>
  <c r="I19" i="53"/>
  <c r="I11" i="53" l="1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H20" i="53"/>
  <c r="H19" i="53"/>
  <c r="I18" i="53"/>
  <c r="H18" i="53"/>
  <c r="I17" i="53"/>
  <c r="H17" i="53"/>
  <c r="H12" i="53" l="1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<sst xmlns="http://schemas.openxmlformats.org/spreadsheetml/2006/main" count="607" uniqueCount="228">
  <si>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</si>
  <si>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</si>
  <si>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</si>
  <si>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</si>
  <si>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</si>
  <si>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</si>
  <si>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</si>
  <si>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</si>
  <si>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</si>
  <si>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</si>
  <si>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</si>
  <si>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</si>
  <si>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</si>
  <si>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</si>
  <si>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</si>
  <si>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</si>
  <si>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</si>
  <si>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</si>
  <si>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</si>
  <si>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</si>
  <si>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</si>
  <si>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</si>
  <si>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</si>
  <si>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</si>
  <si>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</si>
  <si>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</si>
  <si>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</si>
  <si>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</si>
  <si>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</si>
  <si>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</si>
  <si>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</si>
  <si>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</si>
  <si>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</si>
  <si>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</si>
  <si>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</si>
  <si>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</si>
  <si>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</si>
  <si>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</si>
  <si>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</si>
  <si>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</si>
  <si>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</si>
  <si>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</si>
  <si>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</si>
  <si>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</si>
  <si>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</si>
  <si>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</si>
  <si>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</si>
  <si>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</si>
  <si>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</si>
  <si>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</si>
  <si>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</si>
  <si>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</si>
  <si>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</si>
  <si>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</si>
  <si>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</si>
  <si>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</si>
  <si>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</si>
  <si>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</si>
  <si>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</si>
  <si>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</si>
  <si>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</si>
  <si>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</si>
  <si>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</si>
  <si>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</si>
  <si>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</si>
  <si>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</si>
  <si>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</si>
  <si>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</si>
  <si>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</si>
  <si>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</si>
  <si>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</si>
  <si>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</si>
  <si>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</si>
  <si>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</si>
  <si>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</si>
  <si>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</si>
  <si>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</si>
  <si>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</si>
  <si>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</si>
  <si>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</si>
  <si>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</si>
  <si>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</si>
  <si>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</si>
  <si>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</si>
  <si>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</si>
  <si>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</si>
  <si>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</si>
  <si>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</si>
  <si>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</si>
  <si>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</si>
  <si>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</si>
  <si>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</si>
  <si>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</si>
  <si>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</si>
  <si>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</si>
  <si>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</si>
  <si>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</si>
  <si>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</si>
  <si>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</si>
  <si>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</si>
  <si>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</si>
  <si>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</si>
  <si>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</si>
  <si>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</si>
  <si>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</si>
  <si>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</si>
  <si>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</si>
  <si>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</si>
  <si>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</si>
  <si>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</si>
  <si>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</si>
  <si>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</si>
  <si>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</si>
  <si>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</si>
  <si>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</si>
  <si>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</si>
  <si>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</si>
  <si>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</si>
  <si>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</si>
  <si>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</si>
  <si>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</si>
  <si>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</si>
  <si>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</si>
  <si>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</si>
  <si>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</si>
  <si>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</si>
  <si>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</si>
  <si>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</si>
  <si>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</si>
  <si>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</si>
  <si>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</si>
  <si>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</si>
  <si>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</si>
  <si>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</si>
  <si>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</si>
  <si>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</si>
  <si>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</si>
  <si>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</si>
  <si>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</si>
  <si>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</si>
  <si>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</si>
  <si>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</si>
  <si>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</si>
  <si>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</si>
  <si>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</si>
  <si>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</si>
  <si>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</si>
  <si>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</si>
  <si>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</si>
  <si>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</si>
  <si>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</si>
  <si>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</si>
  <si>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</si>
  <si>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</si>
  <si>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</si>
  <si>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</si>
  <si>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</si>
  <si>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</si>
  <si>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</si>
  <si>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</si>
  <si>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</si>
  <si>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</si>
  <si>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</si>
  <si>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</si>
  <si>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</si>
  <si>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</si>
  <si>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</si>
  <si>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</si>
  <si>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</si>
  <si>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</si>
  <si>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</si>
  <si>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</si>
  <si>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</si>
  <si>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</si>
  <si>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</si>
  <si>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</si>
  <si>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</si>
  <si>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</si>
  <si>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</si>
  <si>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</si>
  <si>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</si>
  <si>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</si>
  <si>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</si>
  <si>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</si>
  <si>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</si>
  <si>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</si>
  <si>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</si>
  <si>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</si>
  <si>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</si>
  <si>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</si>
  <si>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[Extended Langmuir Isotherm] Adsorption affinity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</si>
  <si>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Isotherms]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</si>
  <si>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0.794825 0.981952</t>
  </si>
  <si>
    <t>2.42595 0.90201</t>
  </si>
  <si>
    <t>qSatSiteOneC1</t>
  </si>
  <si>
    <t>qSatSiteOneC2</t>
  </si>
  <si>
    <t>qSatSiteTwoC1</t>
  </si>
  <si>
    <t>qSatSiteTwoC2</t>
  </si>
  <si>
    <t>bSiteOneC1</t>
  </si>
  <si>
    <t>bSiteOneC2</t>
  </si>
  <si>
    <t>bSiteTwoC1</t>
  </si>
  <si>
    <t>bSiteTwoC2</t>
  </si>
  <si>
    <t>nSiteOneC1</t>
  </si>
  <si>
    <t>nSiteOneC2</t>
  </si>
  <si>
    <t>nSiteTwoC1</t>
  </si>
  <si>
    <t>nSiteTwoC2</t>
  </si>
  <si>
    <t>1.39171 0.682432</t>
  </si>
  <si>
    <t>1.95531 1.58394</t>
  </si>
  <si>
    <t>0.0180535 0.180319</t>
  </si>
  <si>
    <t>0.0475366 0.108644</t>
  </si>
  <si>
    <t>1.15514 1.6067</t>
  </si>
  <si>
    <t>0.80833 1.34023</t>
  </si>
  <si>
    <t>0.757749 2.46425</t>
  </si>
  <si>
    <t>10.2433 0.569159</t>
  </si>
  <si>
    <t>7.37924 4.45363</t>
  </si>
  <si>
    <t>0.767558 0.746109</t>
  </si>
  <si>
    <t>[Dual-site Langmuir-Freundlich isotherm] The saturation capacity constant for the 1st adsorbate at the 1st adsorption site</t>
  </si>
  <si>
    <t>[Dual-site Langmuir-Freundlich isotherm] The saturation capacity constant for the 2nd adsorbate at the 1st adsorption site</t>
  </si>
  <si>
    <t>[Dual-site Langmuir-Freundlich isotherm] The saturation capacity constant for the 2nd adsorbate at the 2nd adsorption site</t>
  </si>
  <si>
    <t>[Dual-site Langmuir-Freundlich isotherm] The saturation capacity constant for the 1st adsorbate at the 2nd adsorption site</t>
  </si>
  <si>
    <t>[Dual-site Langmuir-Freundlich isotherm] The adsorption affinity constant for the 1st adsorbate at the 1st adsorption site</t>
  </si>
  <si>
    <t>[Dual-site Langmuir-Freundlich isotherm] The adsorption affinity constant for the 2nd adsorbate at the 1st adsorption site</t>
  </si>
  <si>
    <t>[Dual-site Langmuir-Freundlich isotherm] The adsorption affinity constant for the 1st adsorbate at the 2nd adsorption site</t>
  </si>
  <si>
    <t>[Dual-site Langmuir-Freundlich isotherm] The adsorption affinity constant for the 2nd adsorbate at the 2nd adsorption site</t>
  </si>
  <si>
    <t>[Dual-site Langmuir-Freundlich isotherm] The exponent for the 1st adsorbate at the 1st adsorption site</t>
  </si>
  <si>
    <t>[Dual-site Langmuir-Freundlich isotherm] The exponent for the 2nd adsorbate at the 1st adsorption site</t>
  </si>
  <si>
    <t>[Dual-site Langmuir-Freundlich isotherm] The exponent for the 1st adsorbate at the 2nd adsorption site</t>
  </si>
  <si>
    <t>[Dual-site Langmuir-Freundlich isotherm] The exponent for the 2nd adsorbate at the 2nd adsorption 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</si>
</sst>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3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874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355165" y="1184087"/>
          <a:ext cx="4820052" cy="44843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>
        <row r="10">
          <cell r="B10">
            <v>5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5" totalsRowShown="0" headerRowDxfId="60" dataDxfId="58" headerRowBorderDxfId="59" tableBorderDxfId="57" totalsRowBorderDxfId="56">
  <autoFilter ref="A9:J45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5" zeroHeight="1" x14ac:dyDescent="0.2"/>
  <cols>
    <col min="1" max="2" width="3.33203125" style="36" hidden="1" customWidth="1"/>
    <col min="3" max="3" width="2.5" style="36" customWidth="1"/>
    <col min="4" max="4" width="13.83203125" style="36" customWidth="1"/>
    <col min="5" max="5" width="51.33203125" style="37" bestFit="1" customWidth="1"/>
    <col min="6" max="6" width="15.83203125" style="38" bestFit="1" customWidth="1"/>
    <col min="7" max="9" width="13.33203125" style="36" customWidth="1"/>
    <col min="10" max="10" width="48.83203125" style="36" customWidth="1"/>
    <col min="11" max="11" width="2.5" style="36" customWidth="1"/>
    <col min="12" max="12" width="0" style="36" hidden="1" customWidth="1"/>
    <col min="13" max="16384" width="9" style="36" hidden="1"/>
  </cols>
  <sheetData>
    <row r="3" spans="4:10" x14ac:dyDescent="0.2"/>
    <row r="4" spans="4:10" ht="19" x14ac:dyDescent="0.25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40" x14ac:dyDescent="0.2">
      <c r="D5" s="56" t="s">
        <v>39</v>
      </c>
      <c r="E5" s="56"/>
      <c r="F5" s="56"/>
      <c r="G5" s="56"/>
      <c r="H5" s="56"/>
      <c r="I5" s="56"/>
      <c r="J5" s="56"/>
    </row>
    <row r="6" spans="4:10" ht="20" x14ac:dyDescent="0.2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40" x14ac:dyDescent="0.2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40" x14ac:dyDescent="0.2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9" x14ac:dyDescent="0.2">
      <c r="D9" s="40">
        <v>3</v>
      </c>
      <c r="E9" s="41"/>
      <c r="F9" s="42"/>
      <c r="G9" s="40"/>
      <c r="H9" s="40"/>
      <c r="I9" s="40"/>
      <c r="J9" s="41"/>
    </row>
    <row r="10" spans="4:10" ht="19" x14ac:dyDescent="0.2">
      <c r="D10" s="40">
        <v>4</v>
      </c>
      <c r="E10" s="41"/>
      <c r="F10" s="42"/>
      <c r="G10" s="40"/>
      <c r="H10" s="40"/>
      <c r="I10" s="40"/>
      <c r="J10" s="41"/>
    </row>
    <row r="11" spans="4:10" ht="19" x14ac:dyDescent="0.2">
      <c r="D11" s="40">
        <v>5</v>
      </c>
      <c r="E11" s="41"/>
      <c r="F11" s="42"/>
      <c r="G11" s="40"/>
      <c r="H11" s="40"/>
      <c r="I11" s="40"/>
      <c r="J11" s="41"/>
    </row>
    <row r="12" spans="4:10" ht="19" x14ac:dyDescent="0.2">
      <c r="D12" s="40">
        <v>6</v>
      </c>
      <c r="E12" s="41"/>
      <c r="F12" s="42"/>
      <c r="G12" s="40"/>
      <c r="H12" s="40"/>
      <c r="I12" s="40"/>
      <c r="J12" s="41"/>
    </row>
    <row r="13" spans="4:10" ht="19" x14ac:dyDescent="0.2">
      <c r="D13" s="40">
        <v>7</v>
      </c>
      <c r="E13" s="41"/>
      <c r="F13" s="42"/>
      <c r="G13" s="40"/>
      <c r="H13" s="40"/>
      <c r="I13" s="40"/>
      <c r="J13" s="41"/>
    </row>
    <row r="14" spans="4:10" ht="19" x14ac:dyDescent="0.2">
      <c r="D14" s="40">
        <v>8</v>
      </c>
      <c r="E14" s="41"/>
      <c r="F14" s="42"/>
      <c r="G14" s="40"/>
      <c r="H14" s="40"/>
      <c r="I14" s="40"/>
      <c r="J14" s="41"/>
    </row>
    <row r="15" spans="4:10" ht="19" x14ac:dyDescent="0.2">
      <c r="D15" s="40">
        <v>9</v>
      </c>
      <c r="E15" s="41"/>
      <c r="F15" s="42"/>
      <c r="G15" s="40"/>
      <c r="H15" s="40"/>
      <c r="I15" s="40"/>
      <c r="J15" s="41"/>
    </row>
    <row r="16" spans="4:10" ht="19" x14ac:dyDescent="0.2">
      <c r="D16" s="40">
        <v>10</v>
      </c>
      <c r="E16" s="41"/>
      <c r="F16" s="42"/>
      <c r="G16" s="40"/>
      <c r="H16" s="40"/>
      <c r="I16" s="40"/>
      <c r="J16" s="43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 x14ac:dyDescent="0.2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 x14ac:dyDescent="0.2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 x14ac:dyDescent="0.2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139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57" t="s">
        <v>32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IF(COUNTIF(Table1931213142[Test 3],1)=COUNTA(Table1931213142[Value]),"Ready","Not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" t="s">
        <v>149</v>
      </c>
      <c r="B10" s="33">
        <v>0.04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6" x14ac:dyDescent="0.2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Rq/leBQC87MAlQicwMIYJGCCsaU9F4Z/voFXMO6p1RJaIMh0XDR9kv2fYFpfLK1qyVtSBIxHx+p0r6sYYjDBfw==" saltValue="IIembNLO7xPmZzkd91yuKQ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57" t="s">
        <v>32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IF(COUNTIF(Table1931213143[Test 3],1)=COUNTA(Table1931213143[Value]),"Ready","Not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80" x14ac:dyDescent="0.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6" x14ac:dyDescent="0.2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6" x14ac:dyDescent="0.2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6" x14ac:dyDescent="0.2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57" t="s">
        <v>32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IF(COUNTIF(Table1931213144[Test 3],1)=COUNTA(Table1931213144[Value]),"Ready","Not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32" x14ac:dyDescent="0.2">
      <c r="A11" s="4" t="s">
        <v>67</v>
      </c>
      <c r="B11" s="33">
        <v>1.1800000000000001E-3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6" x14ac:dyDescent="0.2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HPGsGnagMEFX2vcGsT8P560sDXYNupqyXpE/N5hQwpOiy4h3FsSOiY8Rg0Lu6x8anx3MoUPOS3AwnjHrnRCkTQ==" saltValue="9gN4G6IcVLKllLLDzgLlLg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5"/>
  <sheetViews>
    <sheetView showGridLines="0" topLeftCell="A2" zoomScaleNormal="100" zoomScaleSheetLayoutView="85" workbookViewId="0">
      <pane ySplit="8" topLeftCell="A32" activePane="bottomLeft" state="frozen"/>
      <selection activeCell="A10" sqref="A10:J10"/>
      <selection pane="bottomLeft" activeCell="B41" sqref="B4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4.5" customHeight="1" x14ac:dyDescent="0.2"/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57" t="s">
        <v>32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IF(COUNTIF(Table193121314[Test 3],1)=COUNTA(Table193121314[Value]),"Ready","Not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6" t="s">
        <v>132</v>
      </c>
      <c r="B10" s="33">
        <v>298.14999999999998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98" x14ac:dyDescent="0.2">
      <c r="A11" s="46" t="s">
        <v>157</v>
      </c>
      <c r="B11" s="33"/>
      <c r="C11" s="35" t="s">
        <v>159</v>
      </c>
      <c r="D11" s="1" t="s">
        <v>24</v>
      </c>
      <c r="E11" s="1" t="s">
        <v>7</v>
      </c>
      <c r="F11" s="2" t="s">
        <v>5</v>
      </c>
      <c r="G11" s="1">
        <v>1</v>
      </c>
      <c r="H11" s="55">
        <f>[1]Initialization!$B$10</f>
        <v>2</v>
      </c>
      <c r="I11" s="44">
        <f>IF('[2]Model Selection'!$B$10=1,1,0)</f>
        <v>0</v>
      </c>
      <c r="J11" s="5" t="s">
        <v>180</v>
      </c>
    </row>
    <row r="12" spans="1:10" ht="98" x14ac:dyDescent="0.2">
      <c r="A12" s="46" t="s">
        <v>158</v>
      </c>
      <c r="B12" s="33"/>
      <c r="C12" s="35" t="s">
        <v>159</v>
      </c>
      <c r="D12" s="1" t="s">
        <v>24</v>
      </c>
      <c r="E12" s="1" t="s">
        <v>7</v>
      </c>
      <c r="F12" s="2" t="s">
        <v>5</v>
      </c>
      <c r="G12" s="1"/>
      <c r="H12" s="55">
        <f>[1]Initialization!$B$10</f>
        <v>2</v>
      </c>
      <c r="I12" s="44">
        <f>IF('[2]Model Selection'!$B$10=1,1,0)</f>
        <v>0</v>
      </c>
      <c r="J12" s="5" t="s">
        <v>180</v>
      </c>
    </row>
    <row r="13" spans="1:10" ht="50" x14ac:dyDescent="0.2">
      <c r="A13" s="4" t="s">
        <v>71</v>
      </c>
      <c r="B13" s="33"/>
      <c r="C13" s="35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186</v>
      </c>
    </row>
    <row r="14" spans="1:10" ht="50" x14ac:dyDescent="0.2">
      <c r="A14" s="4" t="s">
        <v>74</v>
      </c>
      <c r="B14" s="33"/>
      <c r="C14" s="35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186</v>
      </c>
    </row>
    <row r="15" spans="1:10" ht="66" x14ac:dyDescent="0.2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IF(OR('[2]Model Selection'!$B$10=2),1,0)</f>
        <v>0</v>
      </c>
      <c r="J15" s="5" t="s">
        <v>190</v>
      </c>
    </row>
    <row r="16" spans="1:10" ht="66" x14ac:dyDescent="0.2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IF(OR('[2]Model Selection'!$B$10=2),1,0)</f>
        <v>0</v>
      </c>
      <c r="J16" s="5" t="s">
        <v>190</v>
      </c>
    </row>
    <row r="17" spans="1:10" ht="98" x14ac:dyDescent="0.2">
      <c r="A17" s="46" t="s">
        <v>163</v>
      </c>
      <c r="B17" s="33"/>
      <c r="C17" s="35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5" t="s">
        <v>181</v>
      </c>
    </row>
    <row r="18" spans="1:10" ht="98" x14ac:dyDescent="0.2">
      <c r="A18" s="46" t="s">
        <v>164</v>
      </c>
      <c r="B18" s="33"/>
      <c r="C18" s="35" t="s">
        <v>160</v>
      </c>
      <c r="D18" s="1" t="s">
        <v>24</v>
      </c>
      <c r="E18" s="1" t="s">
        <v>7</v>
      </c>
      <c r="F18" s="2" t="s">
        <v>5</v>
      </c>
      <c r="G18" s="1"/>
      <c r="H18" s="55">
        <f>[1]Initialization!$B$10</f>
        <v>2</v>
      </c>
      <c r="I18" s="44">
        <f>IF('[2]Model Selection'!$B$10=3,1,0)</f>
        <v>0</v>
      </c>
      <c r="J18" s="5" t="s">
        <v>181</v>
      </c>
    </row>
    <row r="19" spans="1:10" ht="50" x14ac:dyDescent="0.2">
      <c r="A19" s="46" t="s">
        <v>165</v>
      </c>
      <c r="B19" s="33"/>
      <c r="C19" s="35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IF(OR('[2]Model Selection'!$B$10=3),1,0)</f>
        <v>0</v>
      </c>
      <c r="J19" s="5" t="s">
        <v>191</v>
      </c>
    </row>
    <row r="20" spans="1:10" ht="50" x14ac:dyDescent="0.2">
      <c r="A20" s="46" t="s">
        <v>166</v>
      </c>
      <c r="B20" s="33"/>
      <c r="C20" s="35" t="s">
        <v>3</v>
      </c>
      <c r="D20" s="1" t="s">
        <v>24</v>
      </c>
      <c r="E20" s="1" t="s">
        <v>7</v>
      </c>
      <c r="F20" s="2" t="s">
        <v>5</v>
      </c>
      <c r="G20" s="1"/>
      <c r="H20" s="55">
        <f>[1]Initialization!$B$10</f>
        <v>2</v>
      </c>
      <c r="I20" s="44">
        <f>IF(OR('[2]Model Selection'!$B$10=3),1,0)</f>
        <v>0</v>
      </c>
      <c r="J20" s="5" t="s">
        <v>191</v>
      </c>
    </row>
    <row r="21" spans="1:10" ht="66" x14ac:dyDescent="0.2">
      <c r="A21" s="46" t="s">
        <v>167</v>
      </c>
      <c r="B21" s="33"/>
      <c r="C21" s="35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5" t="s">
        <v>182</v>
      </c>
    </row>
    <row r="22" spans="1:10" ht="66" x14ac:dyDescent="0.2">
      <c r="A22" s="46" t="s">
        <v>168</v>
      </c>
      <c r="B22" s="33"/>
      <c r="C22" s="35" t="s">
        <v>161</v>
      </c>
      <c r="D22" s="1" t="s">
        <v>24</v>
      </c>
      <c r="E22" s="1" t="s">
        <v>7</v>
      </c>
      <c r="F22" s="2" t="s">
        <v>5</v>
      </c>
      <c r="G22" s="1"/>
      <c r="H22" s="55">
        <f>[1]Initialization!$B$10</f>
        <v>2</v>
      </c>
      <c r="I22" s="44">
        <f>IF('[2]Model Selection'!$B$10=4,1,0)</f>
        <v>0</v>
      </c>
      <c r="J22" s="5" t="s">
        <v>182</v>
      </c>
    </row>
    <row r="23" spans="1:10" ht="66" x14ac:dyDescent="0.2">
      <c r="A23" s="46" t="s">
        <v>169</v>
      </c>
      <c r="B23" s="33"/>
      <c r="C23" s="35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5" t="s">
        <v>183</v>
      </c>
    </row>
    <row r="24" spans="1:10" ht="66" x14ac:dyDescent="0.2">
      <c r="A24" s="46" t="s">
        <v>170</v>
      </c>
      <c r="B24" s="33"/>
      <c r="C24" s="35" t="s">
        <v>179</v>
      </c>
      <c r="D24" s="1" t="s">
        <v>24</v>
      </c>
      <c r="E24" s="1" t="s">
        <v>7</v>
      </c>
      <c r="F24" s="2" t="s">
        <v>5</v>
      </c>
      <c r="G24" s="1"/>
      <c r="H24" s="55">
        <f>[1]Initialization!$B$10</f>
        <v>2</v>
      </c>
      <c r="I24" s="44">
        <f>IF('[2]Model Selection'!$B$10=4,1,0)</f>
        <v>0</v>
      </c>
      <c r="J24" s="5" t="s">
        <v>183</v>
      </c>
    </row>
    <row r="25" spans="1:10" ht="66" x14ac:dyDescent="0.2">
      <c r="A25" s="46" t="s">
        <v>171</v>
      </c>
      <c r="B25" s="33"/>
      <c r="C25" s="35" t="s">
        <v>187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5" t="s">
        <v>184</v>
      </c>
    </row>
    <row r="26" spans="1:10" ht="66" x14ac:dyDescent="0.2">
      <c r="A26" s="46" t="s">
        <v>172</v>
      </c>
      <c r="B26" s="33"/>
      <c r="C26" s="35" t="s">
        <v>187</v>
      </c>
      <c r="D26" s="1" t="s">
        <v>24</v>
      </c>
      <c r="E26" s="1" t="s">
        <v>7</v>
      </c>
      <c r="F26" s="2" t="s">
        <v>5</v>
      </c>
      <c r="G26" s="1"/>
      <c r="H26" s="55">
        <f>[1]Initialization!$B$10</f>
        <v>2</v>
      </c>
      <c r="I26" s="44">
        <f>IF('[2]Model Selection'!$B$10=4,1,0)</f>
        <v>0</v>
      </c>
      <c r="J26" s="5" t="s">
        <v>184</v>
      </c>
    </row>
    <row r="27" spans="1:10" ht="66" x14ac:dyDescent="0.2">
      <c r="A27" s="46" t="s">
        <v>173</v>
      </c>
      <c r="B27" s="33"/>
      <c r="C27" s="35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5" t="s">
        <v>185</v>
      </c>
    </row>
    <row r="28" spans="1:10" ht="66" x14ac:dyDescent="0.2">
      <c r="A28" s="46" t="s">
        <v>174</v>
      </c>
      <c r="B28" s="33"/>
      <c r="C28" s="35" t="s">
        <v>20</v>
      </c>
      <c r="D28" s="1" t="s">
        <v>24</v>
      </c>
      <c r="E28" s="1" t="s">
        <v>7</v>
      </c>
      <c r="F28" s="2" t="s">
        <v>5</v>
      </c>
      <c r="G28" s="1"/>
      <c r="H28" s="55">
        <f>[1]Initialization!$B$10</f>
        <v>2</v>
      </c>
      <c r="I28" s="44">
        <f>IF('[2]Model Selection'!$B$10=4,1,0)</f>
        <v>0</v>
      </c>
      <c r="J28" s="5" t="s">
        <v>185</v>
      </c>
    </row>
    <row r="29" spans="1:10" ht="98" x14ac:dyDescent="0.2">
      <c r="A29" s="46" t="s">
        <v>175</v>
      </c>
      <c r="B29" s="33"/>
      <c r="C29" s="35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5" t="s">
        <v>188</v>
      </c>
    </row>
    <row r="30" spans="1:10" ht="98" x14ac:dyDescent="0.2">
      <c r="A30" s="46" t="s">
        <v>176</v>
      </c>
      <c r="B30" s="33"/>
      <c r="C30" s="35" t="s">
        <v>3</v>
      </c>
      <c r="D30" s="1" t="s">
        <v>24</v>
      </c>
      <c r="E30" s="1" t="s">
        <v>7</v>
      </c>
      <c r="F30" s="2" t="s">
        <v>5</v>
      </c>
      <c r="G30" s="1"/>
      <c r="H30" s="55">
        <f>[1]Initialization!$B$10</f>
        <v>2</v>
      </c>
      <c r="I30" s="44">
        <f>IF('[2]Model Selection'!$B$10=4,1,0)</f>
        <v>0</v>
      </c>
      <c r="J30" s="5" t="s">
        <v>188</v>
      </c>
    </row>
    <row r="31" spans="1:10" ht="66" x14ac:dyDescent="0.2">
      <c r="A31" s="46" t="s">
        <v>177</v>
      </c>
      <c r="B31" s="33"/>
      <c r="C31" s="35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5" t="s">
        <v>189</v>
      </c>
    </row>
    <row r="32" spans="1:10" ht="66" x14ac:dyDescent="0.2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1"/>
      <c r="H32" s="55">
        <f>[1]Initialization!$B$10</f>
        <v>2</v>
      </c>
      <c r="I32" s="44">
        <f>IF('[2]Model Selection'!$B$10=4,1,0)</f>
        <v>0</v>
      </c>
      <c r="J32" s="5" t="s">
        <v>189</v>
      </c>
    </row>
    <row r="33" spans="1:10" ht="48" x14ac:dyDescent="0.2">
      <c r="A33" s="46" t="s">
        <v>194</v>
      </c>
      <c r="B33" s="33" t="s">
        <v>193</v>
      </c>
      <c r="C33" s="35" t="s">
        <v>161</v>
      </c>
      <c r="D33" s="1" t="s">
        <v>24</v>
      </c>
      <c r="E33" s="1" t="s">
        <v>11</v>
      </c>
      <c r="F33" s="2" t="s">
        <v>5</v>
      </c>
      <c r="G33" s="1">
        <v>1</v>
      </c>
      <c r="H33" s="55">
        <f>[1]Initialization!$B$10</f>
        <v>2</v>
      </c>
      <c r="I33" s="44">
        <f>IF(OR('[2]Model Selection'!$B$10=5,'[2]Model Selection'!$B$10=6),1,0)</f>
        <v>1</v>
      </c>
      <c r="J33" s="5" t="s">
        <v>216</v>
      </c>
    </row>
    <row r="34" spans="1:10" ht="48" x14ac:dyDescent="0.2">
      <c r="A34" s="46" t="s">
        <v>195</v>
      </c>
      <c r="B34" s="33" t="s">
        <v>192</v>
      </c>
      <c r="C34" s="35" t="s">
        <v>161</v>
      </c>
      <c r="D34" s="1" t="s">
        <v>24</v>
      </c>
      <c r="E34" s="1" t="s">
        <v>11</v>
      </c>
      <c r="F34" s="2" t="s">
        <v>5</v>
      </c>
      <c r="G34" s="1"/>
      <c r="H34" s="55">
        <f>[1]Initialization!$B$10</f>
        <v>2</v>
      </c>
      <c r="I34" s="44">
        <f>IF(OR('[2]Model Selection'!$B$10=5,'[2]Model Selection'!$B$10=6),1,0)</f>
        <v>1</v>
      </c>
      <c r="J34" s="5" t="s">
        <v>217</v>
      </c>
    </row>
    <row r="35" spans="1:10" ht="48" x14ac:dyDescent="0.2">
      <c r="A35" s="46" t="s">
        <v>196</v>
      </c>
      <c r="B35" s="33" t="s">
        <v>206</v>
      </c>
      <c r="C35" s="35" t="s">
        <v>161</v>
      </c>
      <c r="D35" s="1" t="s">
        <v>24</v>
      </c>
      <c r="E35" s="1" t="s">
        <v>11</v>
      </c>
      <c r="F35" s="2" t="s">
        <v>5</v>
      </c>
      <c r="G35" s="1">
        <v>1</v>
      </c>
      <c r="H35" s="55">
        <f>[1]Initialization!$B$10</f>
        <v>2</v>
      </c>
      <c r="I35" s="44">
        <f>IF(OR('[2]Model Selection'!$B$10=5,'[2]Model Selection'!$B$10=6),1,0)</f>
        <v>1</v>
      </c>
      <c r="J35" s="5" t="s">
        <v>219</v>
      </c>
    </row>
    <row r="36" spans="1:10" ht="48" x14ac:dyDescent="0.2">
      <c r="A36" s="46" t="s">
        <v>197</v>
      </c>
      <c r="B36" s="33" t="s">
        <v>207</v>
      </c>
      <c r="C36" s="35" t="s">
        <v>161</v>
      </c>
      <c r="D36" s="1" t="s">
        <v>24</v>
      </c>
      <c r="E36" s="1" t="s">
        <v>11</v>
      </c>
      <c r="F36" s="2" t="s">
        <v>5</v>
      </c>
      <c r="G36" s="1"/>
      <c r="H36" s="55">
        <f>[1]Initialization!$B$10</f>
        <v>2</v>
      </c>
      <c r="I36" s="44">
        <f>IF(OR('[2]Model Selection'!$B$10=5,'[2]Model Selection'!$B$10=6),1,0)</f>
        <v>1</v>
      </c>
      <c r="J36" s="5" t="s">
        <v>218</v>
      </c>
    </row>
    <row r="37" spans="1:10" ht="48" x14ac:dyDescent="0.2">
      <c r="A37" s="46" t="s">
        <v>198</v>
      </c>
      <c r="B37" s="33" t="s">
        <v>208</v>
      </c>
      <c r="C37" s="35" t="s">
        <v>160</v>
      </c>
      <c r="D37" s="1" t="s">
        <v>24</v>
      </c>
      <c r="E37" s="1" t="s">
        <v>11</v>
      </c>
      <c r="F37" s="2" t="s">
        <v>5</v>
      </c>
      <c r="G37" s="1">
        <v>1</v>
      </c>
      <c r="H37" s="55">
        <f>[1]Initialization!$B$10</f>
        <v>2</v>
      </c>
      <c r="I37" s="44">
        <f>IF(OR('[2]Model Selection'!$B$10=5,'[2]Model Selection'!$B$10=6),1,0)</f>
        <v>1</v>
      </c>
      <c r="J37" s="5" t="s">
        <v>220</v>
      </c>
    </row>
    <row r="38" spans="1:10" ht="48" x14ac:dyDescent="0.2">
      <c r="A38" s="46" t="s">
        <v>199</v>
      </c>
      <c r="B38" s="33" t="s">
        <v>210</v>
      </c>
      <c r="C38" s="35" t="s">
        <v>160</v>
      </c>
      <c r="D38" s="1" t="s">
        <v>24</v>
      </c>
      <c r="E38" s="1" t="s">
        <v>11</v>
      </c>
      <c r="F38" s="2" t="s">
        <v>5</v>
      </c>
      <c r="G38" s="1"/>
      <c r="H38" s="55">
        <f>[1]Initialization!$B$10</f>
        <v>2</v>
      </c>
      <c r="I38" s="44">
        <f>IF(OR('[2]Model Selection'!$B$10=5,'[2]Model Selection'!$B$10=6),1,0)</f>
        <v>1</v>
      </c>
      <c r="J38" s="5" t="s">
        <v>221</v>
      </c>
    </row>
    <row r="39" spans="1:10" ht="48" x14ac:dyDescent="0.2">
      <c r="A39" s="46" t="s">
        <v>200</v>
      </c>
      <c r="B39" s="33" t="s">
        <v>209</v>
      </c>
      <c r="C39" s="35" t="s">
        <v>160</v>
      </c>
      <c r="D39" s="1" t="s">
        <v>24</v>
      </c>
      <c r="E39" s="1" t="s">
        <v>11</v>
      </c>
      <c r="F39" s="2" t="s">
        <v>5</v>
      </c>
      <c r="G39" s="1">
        <v>1</v>
      </c>
      <c r="H39" s="55">
        <f>[1]Initialization!$B$10</f>
        <v>2</v>
      </c>
      <c r="I39" s="44">
        <f>IF(OR('[2]Model Selection'!$B$10=5,'[2]Model Selection'!$B$10=6),1,0)</f>
        <v>1</v>
      </c>
      <c r="J39" s="5" t="s">
        <v>222</v>
      </c>
    </row>
    <row r="40" spans="1:10" ht="48" x14ac:dyDescent="0.2">
      <c r="A40" s="46" t="s">
        <v>201</v>
      </c>
      <c r="B40" s="33" t="s">
        <v>211</v>
      </c>
      <c r="C40" s="35" t="s">
        <v>160</v>
      </c>
      <c r="D40" s="1" t="s">
        <v>24</v>
      </c>
      <c r="E40" s="1" t="s">
        <v>11</v>
      </c>
      <c r="F40" s="2" t="s">
        <v>5</v>
      </c>
      <c r="G40" s="1"/>
      <c r="H40" s="55">
        <f>[1]Initialization!$B$10</f>
        <v>2</v>
      </c>
      <c r="I40" s="44">
        <f>IF(OR('[2]Model Selection'!$B$10=5,'[2]Model Selection'!$B$10=6),1,0)</f>
        <v>1</v>
      </c>
      <c r="J40" s="5" t="s">
        <v>223</v>
      </c>
    </row>
    <row r="41" spans="1:10" ht="32" x14ac:dyDescent="0.2">
      <c r="A41" s="46" t="s">
        <v>202</v>
      </c>
      <c r="B41" s="33" t="s">
        <v>212</v>
      </c>
      <c r="C41" s="35" t="s">
        <v>3</v>
      </c>
      <c r="D41" s="1" t="s">
        <v>24</v>
      </c>
      <c r="E41" s="1" t="s">
        <v>11</v>
      </c>
      <c r="F41" s="2" t="s">
        <v>5</v>
      </c>
      <c r="G41" s="1">
        <v>1</v>
      </c>
      <c r="H41" s="55">
        <f>[1]Initialization!$B$10</f>
        <v>2</v>
      </c>
      <c r="I41" s="44">
        <f>IF(OR('[2]Model Selection'!$B$10=5,'[2]Model Selection'!$B$10=6),1,0)</f>
        <v>1</v>
      </c>
      <c r="J41" s="5" t="s">
        <v>224</v>
      </c>
    </row>
    <row r="42" spans="1:10" ht="32" x14ac:dyDescent="0.2">
      <c r="A42" s="46" t="s">
        <v>203</v>
      </c>
      <c r="B42" s="33" t="s">
        <v>214</v>
      </c>
      <c r="C42" s="35" t="s">
        <v>3</v>
      </c>
      <c r="D42" s="1" t="s">
        <v>24</v>
      </c>
      <c r="E42" s="1" t="s">
        <v>11</v>
      </c>
      <c r="F42" s="2" t="s">
        <v>5</v>
      </c>
      <c r="G42" s="1"/>
      <c r="H42" s="55">
        <f>[1]Initialization!$B$10</f>
        <v>2</v>
      </c>
      <c r="I42" s="44">
        <f>IF(OR('[2]Model Selection'!$B$10=5,'[2]Model Selection'!$B$10=6),1,0)</f>
        <v>1</v>
      </c>
      <c r="J42" s="5" t="s">
        <v>225</v>
      </c>
    </row>
    <row r="43" spans="1:10" ht="32" x14ac:dyDescent="0.2">
      <c r="A43" s="46" t="s">
        <v>204</v>
      </c>
      <c r="B43" s="33" t="s">
        <v>213</v>
      </c>
      <c r="C43" s="35" t="s">
        <v>3</v>
      </c>
      <c r="D43" s="1" t="s">
        <v>24</v>
      </c>
      <c r="E43" s="1" t="s">
        <v>11</v>
      </c>
      <c r="F43" s="2" t="s">
        <v>5</v>
      </c>
      <c r="G43" s="1">
        <v>1</v>
      </c>
      <c r="H43" s="55">
        <f>[1]Initialization!$B$10</f>
        <v>2</v>
      </c>
      <c r="I43" s="44">
        <f>IF(OR('[2]Model Selection'!$B$10=5,'[2]Model Selection'!$B$10=6),1,0)</f>
        <v>1</v>
      </c>
      <c r="J43" s="5" t="s">
        <v>226</v>
      </c>
    </row>
    <row r="44" spans="1:10" ht="32" x14ac:dyDescent="0.2">
      <c r="A44" s="46" t="s">
        <v>205</v>
      </c>
      <c r="B44" s="33" t="s">
        <v>215</v>
      </c>
      <c r="C44" s="35" t="s">
        <v>3</v>
      </c>
      <c r="D44" s="1" t="s">
        <v>24</v>
      </c>
      <c r="E44" s="1" t="s">
        <v>11</v>
      </c>
      <c r="F44" s="2" t="s">
        <v>5</v>
      </c>
      <c r="G44" s="1"/>
      <c r="H44" s="55">
        <f>[1]Initialization!$B$10</f>
        <v>2</v>
      </c>
      <c r="I44" s="44">
        <f>IF(OR('[2]Model Selection'!$B$10=5,'[2]Model Selection'!$B$10=6),1,0)</f>
        <v>1</v>
      </c>
      <c r="J44" s="5" t="s">
        <v>227</v>
      </c>
    </row>
    <row r="45" spans="1:10" ht="16" x14ac:dyDescent="0.2">
      <c r="A45" s="8" t="s">
        <v>88</v>
      </c>
      <c r="B45" s="34"/>
      <c r="C45" s="9"/>
      <c r="D45" s="10"/>
      <c r="E45" s="10"/>
      <c r="F45" s="9"/>
      <c r="G45" s="10">
        <v>1</v>
      </c>
      <c r="H45" s="10">
        <v>1</v>
      </c>
      <c r="I45" s="11">
        <v>0</v>
      </c>
      <c r="J45" s="12" t="s">
        <v>89</v>
      </c>
    </row>
  </sheetData>
  <sheetProtection algorithmName="SHA-512" hashValue="XwM6qE1x+4RWI8wTP4lzNqifqeESEnyo+uCW0iocCzTSnktTyQN1yfV0MoTyekOA9d7a9qKpdgFd1QSACouxfg==" saltValue="zfhd68OewcuEZcoik+6QAw==" spinCount="100000" sheet="1" objects="1" scenarios="1" selectLockedCells="1"/>
  <mergeCells count="2">
    <mergeCell ref="A3:J3"/>
    <mergeCell ref="J4:J8"/>
  </mergeCells>
  <conditionalFormatting sqref="B10:B45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IF(COUNTA($B$10:$B$45)&lt;&gt;COUNTIF($I$10:$I$45,1),1,0)</formula>
    </cfRule>
    <cfRule type="expression" dxfId="61" priority="2065">
      <formula>IF(COUNTA($B$10:$B$45)=COUNTIF($I$10:$I$45,1),1,0)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E10:E45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F10:F45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57" t="s">
        <v>32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IF(COUNTIF(Table19312131415[Test 3],1)=COUNTA(Table19312131415[Value]),"Ready","Not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" t="s">
        <v>84</v>
      </c>
      <c r="B10" s="33">
        <f>0.01878*15</f>
        <v>0.28170000000000001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32" x14ac:dyDescent="0.2">
      <c r="A11" s="4" t="s">
        <v>85</v>
      </c>
      <c r="B11" s="33">
        <f>0.01087*15</f>
        <v>0.16305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6" x14ac:dyDescent="0.2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m8gPbMD/yUJkT1Qxl0G5K6r4ywTD7av104nanW6FFkKQafbdCbNcLpPlXy/EuR3qcKDMSFyU423UsltaY1nlsQ==" saltValue="a2oroatRvUzKv69dDYF+2w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57" t="s">
        <v>32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IF(COUNTIF(Table1931213141516[Test 3],1)=COUNTA(Table1931213141516[Value]),"Ready","Not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6" x14ac:dyDescent="0.2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+GxNW1yEw5jwezPSpOpLpUNauJE5awg9e0gvFz9Ai9cEvYCGrBesla9U76Ch08GyFiQrnJ9Wq2eztH2NSLrI+w==" saltValue="cDG082F3MY2wTWZVtPHPWg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baseColWidth="10" defaultColWidth="0" defaultRowHeight="14.5" customHeight="1" zeroHeight="1" x14ac:dyDescent="0.2"/>
  <cols>
    <col min="1" max="2" width="8.83203125" style="48" customWidth="1"/>
    <col min="3" max="3" width="13.1640625" style="48" customWidth="1"/>
    <col min="4" max="4" width="13.5" style="48" customWidth="1"/>
    <col min="5" max="7" width="8.83203125" style="48" customWidth="1"/>
    <col min="8" max="8" width="14.8320312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83203125" style="48" customWidth="1"/>
    <col min="13" max="18" width="8.83203125" style="48" customWidth="1"/>
    <col min="19" max="48" width="0" style="48" hidden="1" customWidth="1"/>
    <col min="49" max="16384" width="8.83203125" style="48" hidden="1"/>
  </cols>
  <sheetData>
    <row r="1" spans="1:18" ht="14.5" customHeight="1" x14ac:dyDescent="0.2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5" x14ac:dyDescent="0.2">
      <c r="A2" s="61" t="s">
        <v>103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</row>
    <row r="3" spans="1:18" ht="15" x14ac:dyDescent="0.2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5" x14ac:dyDescent="0.2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5" x14ac:dyDescent="0.2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5" x14ac:dyDescent="0.2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5" x14ac:dyDescent="0.2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5" x14ac:dyDescent="0.2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5" x14ac:dyDescent="0.2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5" x14ac:dyDescent="0.2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5" x14ac:dyDescent="0.2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5" x14ac:dyDescent="0.2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5" x14ac:dyDescent="0.2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5" x14ac:dyDescent="0.2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5" x14ac:dyDescent="0.2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5" x14ac:dyDescent="0.2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5" x14ac:dyDescent="0.2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5" x14ac:dyDescent="0.2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5" x14ac:dyDescent="0.2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5" x14ac:dyDescent="0.2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5" x14ac:dyDescent="0.2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5" x14ac:dyDescent="0.2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5" x14ac:dyDescent="0.2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5" x14ac:dyDescent="0.2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5" x14ac:dyDescent="0.2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5" x14ac:dyDescent="0.2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5" x14ac:dyDescent="0.2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5" x14ac:dyDescent="0.2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5" x14ac:dyDescent="0.2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5" x14ac:dyDescent="0.2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5" x14ac:dyDescent="0.2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5" x14ac:dyDescent="0.2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5" x14ac:dyDescent="0.2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5" x14ac:dyDescent="0.2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5" x14ac:dyDescent="0.2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5" x14ac:dyDescent="0.2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5" x14ac:dyDescent="0.2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5" x14ac:dyDescent="0.2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5" x14ac:dyDescent="0.2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5" x14ac:dyDescent="0.2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5" x14ac:dyDescent="0.2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5" x14ac:dyDescent="0.2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5" x14ac:dyDescent="0.2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5" x14ac:dyDescent="0.2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5" x14ac:dyDescent="0.2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5" x14ac:dyDescent="0.2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5" x14ac:dyDescent="0.2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5" x14ac:dyDescent="0.2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5" x14ac:dyDescent="0.2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5" x14ac:dyDescent="0.2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5" x14ac:dyDescent="0.2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5" x14ac:dyDescent="0.2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5" x14ac:dyDescent="0.2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5" x14ac:dyDescent="0.2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5" x14ac:dyDescent="0.2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5" x14ac:dyDescent="0.2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5" x14ac:dyDescent="0.2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5" x14ac:dyDescent="0.2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5" x14ac:dyDescent="0.2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99</v>
      </c>
    </row>
    <row r="2" spans="1:1" x14ac:dyDescent="0.2">
      <c r="A2" t="s">
        <v>97</v>
      </c>
    </row>
    <row r="3" spans="1:1" x14ac:dyDescent="0.2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workbookViewId="0"/>
  </sheetViews>
  <sheetFormatPr baseColWidth="10" defaultColWidth="8.83203125" defaultRowHeight="15" x14ac:dyDescent="0.2"/>
  <sheetData>
    <row r="1" spans="1:50" x14ac:dyDescent="0.2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194</v>
      </c>
      <c r="AH1" t="s">
        <v>195</v>
      </c>
      <c r="AI1" t="s">
        <v>196</v>
      </c>
      <c r="AJ1" t="s">
        <v>197</v>
      </c>
      <c r="AK1" t="s">
        <v>198</v>
      </c>
      <c r="AL1" t="s">
        <v>199</v>
      </c>
      <c r="AM1" t="s">
        <v>200</v>
      </c>
      <c r="AN1" t="s">
        <v>201</v>
      </c>
      <c r="AO1" t="s">
        <v>202</v>
      </c>
      <c r="AP1" t="s">
        <v>203</v>
      </c>
      <c r="AQ1" t="s">
        <v>204</v>
      </c>
      <c r="AR1" t="s">
        <v>205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 x14ac:dyDescent="0.2">
      <c r="A2">
        <v>0.04</v>
      </c>
      <c r="C2">
        <v>1</v>
      </c>
      <c r="G2">
        <v>1.552E-3</v>
      </c>
      <c r="H2">
        <v>1.1800000000000001E-3</v>
      </c>
      <c r="J2">
        <v>298.14999999999998</v>
      </c>
      <c r="AG2" t="s">
        <v>193</v>
      </c>
      <c r="AH2" t="s">
        <v>192</v>
      </c>
      <c r="AI2" t="s">
        <v>206</v>
      </c>
      <c r="AJ2" t="s">
        <v>207</v>
      </c>
      <c r="AK2" t="s">
        <v>208</v>
      </c>
      <c r="AL2" t="s">
        <v>210</v>
      </c>
      <c r="AM2" t="s">
        <v>209</v>
      </c>
      <c r="AN2" t="s">
        <v>211</v>
      </c>
      <c r="AO2" t="s">
        <v>212</v>
      </c>
      <c r="AP2" t="s">
        <v>214</v>
      </c>
      <c r="AQ2" t="s">
        <v>213</v>
      </c>
      <c r="AR2" t="s">
        <v>215</v>
      </c>
      <c r="AT2">
        <v>0.28170000000000001</v>
      </c>
      <c r="AU2">
        <v>0.16305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50" x14ac:dyDescent="0.2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194</v>
      </c>
      <c r="AH1" t="s">
        <v>195</v>
      </c>
      <c r="AI1" t="s">
        <v>196</v>
      </c>
      <c r="AJ1" t="s">
        <v>197</v>
      </c>
      <c r="AK1" t="s">
        <v>198</v>
      </c>
      <c r="AL1" t="s">
        <v>199</v>
      </c>
      <c r="AM1" t="s">
        <v>200</v>
      </c>
      <c r="AN1" t="s">
        <v>201</v>
      </c>
      <c r="AO1" t="s">
        <v>202</v>
      </c>
      <c r="AP1" t="s">
        <v>203</v>
      </c>
      <c r="AQ1" t="s">
        <v>204</v>
      </c>
      <c r="AR1" t="s">
        <v>205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 x14ac:dyDescent="0.2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1</v>
      </c>
      <c r="AH2">
        <v>1</v>
      </c>
      <c r="AI2">
        <v>1</v>
      </c>
      <c r="AJ2">
        <v>1</v>
      </c>
      <c r="AK2">
        <v>1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0</v>
      </c>
      <c r="AT2">
        <v>1</v>
      </c>
      <c r="AU2">
        <v>1</v>
      </c>
      <c r="AV2">
        <v>0</v>
      </c>
      <c r="AW2">
        <v>0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2023-05-22T00:32:50Z</dcterms:modified>
</cp:coreProperties>
</file>