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developmentKozenyCarman\0_settings\"/>
    </mc:Choice>
  </mc:AlternateContent>
  <xr:revisionPtr revIDLastSave="0" documentId="13_ncr:1_{09FC43B6-87DB-4982-ABDC-87010423D7D6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r:id="rId4"/>
    <sheet name="PFD" sheetId="41" r:id="rId5"/>
    <sheet name="Reference" sheetId="2" state="hidden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  <externalReference r:id="rId11"/>
  </externalReferences>
  <definedNames>
    <definedName name="_xlnm._FilterDatabase" localSheetId="1" hidden="1">Initialization!$B$9:$K$25</definedName>
    <definedName name="_xlnm._FilterDatabase" localSheetId="2" hidden="1">'Model Selection'!$B$9:$K$20</definedName>
    <definedName name="_xlnm.Print_Area" localSheetId="1">Initialization!$B$2:$K$25</definedName>
    <definedName name="_xlnm.Print_Area" localSheetId="2">'Model Selection'!$B$2:$K$20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1" i="41" l="1"/>
  <c r="A1" i="41"/>
  <c r="Q1" i="40"/>
  <c r="A1" i="40"/>
  <c r="K4" i="39"/>
  <c r="K2" i="39"/>
  <c r="B2" i="39"/>
  <c r="K2" i="10" l="1"/>
  <c r="K4" i="10" l="1"/>
  <c r="B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H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H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<sst xmlns="http://schemas.openxmlformats.org/spreadsheetml/2006/main" count="346" uniqueCount="140">
  <si>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</si>
  <si>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</si>
  <si>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</si>
  <si>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</si>
  <si>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</si>
  <si>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</si>
  <si>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</si>
  <si>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</si>
  <si>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</si>
  <si>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</si>
  <si>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</si>
  <si>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</si>
  <si>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</si>
  <si>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</si>
  <si>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</si>
  <si>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</si>
  <si>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</si>
  <si>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</si>
  <si>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</si>
  <si>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</si>
  <si>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0 = isothermal column,
1 = non-isothermal column.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</si>
  <si>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</si>
  <si>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</si>
  <si>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</si>
  <si>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</si>
  <si>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</si>
  <si>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</si>
  <si>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</si>
  <si>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</si>
  <si>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</si>
  <si>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</si>
  <si>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</si>
  <si>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</si>
  <si>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</si>
  <si>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</si>
  <si>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</si>
  <si>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</si>
  <si>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</si>
  <si>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</si>
  <si>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</si>
  <si>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0 = explicit isotherm model,
1 = implicit isotherm model.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</si>
  <si>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</si>
  <si>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</si>
  <si>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</si>
  <si>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</si>
  <si>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</si>
  <si>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</si>
  <si>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</si>
  <si>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</si>
  <si>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</si>
  <si>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</si>
  <si>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</si>
  <si>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</si>
  <si>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</si>
  <si>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</si>
  <si>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</si>
  <si>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</si>
  <si>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</si>
  <si>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</si>
  <si>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</si>
  <si>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time driven mode,
1 = event driven mode.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</si>
  <si>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</si>
  <si>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</si>
  <si>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</si>
  <si>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</si>
  <si>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</si>
  <si>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</si>
  <si>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</si>
  <si>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</si>
  <si>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</si>
  <si>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</si>
  <si>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</si>
  <si>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</si>
  <si>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</si>
  <si>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</si>
  <si>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</si>
  <si>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</si>
  <si>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</si>
  <si>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</si>
  <si>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</si>
  <si>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</si>
  <si>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0 = explicit rate model,
1 = implicit rate model.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</si>
  <si>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</si>
  <si>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</si>
  <si>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</si>
  <si>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</si>
  <si>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</si>
  <si>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</si>
  <si>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</si>
  <si>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</si>
  <si>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</si>
  <si>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</si>
  <si>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modSp8</t>
  </si>
  <si>
    <t>modSp9</t>
  </si>
  <si>
    <t>modSp10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</si>
  <si>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</si>
  <si>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</si>
  <si>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</si>
  <si>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</si>
  <si>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</si>
  <si>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</si>
  <si>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</si>
  <si>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</si>
  <si>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</si>
  <si>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</si>
  <si>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</si>
  <si>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</si>
  <si>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no axial dispersion,
1 = axial dispersion.</t>
  </si>
  <si>
    <t>0 = ideal gas law,
1 = other equation of state.</t>
  </si>
  <si>
    <t>0 = only recover the raffinate product,
1 = recover raffinate and extract products.</t>
  </si>
  <si>
    <t>0 = a single layered adsorbent bed,
1 = a multi-layered adsorbent bed.</t>
  </si>
  <si>
    <t>0 = a uni-bed PSA process,
1 = a multi-bed PSA process.</t>
  </si>
  <si>
    <t>0 = pressure driven operation,
1 = controlled operation.</t>
  </si>
  <si>
    <t>0 = no axial pressure drop,
1 = axial pressure drop.</t>
  </si>
  <si>
    <t>0 = feed already available at a high pressure,
1 = feed compression required.</t>
  </si>
  <si>
    <t>0 = depressurization to the ambient pressure,
1 = vacuum pump is used for de-pressurization.</t>
  </si>
  <si>
    <t>Specify an equation of states:
0 = custom EOS,
1 = ideal gas law,
2 = TBD,
3 = TBD,
4 = TBD,
5 = TBD, 
6 = TBD, 
7 = TBD, 
8 = TBD, 
9 = TBD.</t>
  </si>
  <si>
    <t>Specify an adsorption rate model:
0 = custom rate model,
1 = LDF adsorption kinetics model,
2 = TBD,
3 = TBD,
4 = TBD,
5 = TBD, 
6 = TBD, 
7 = TBD, 
8 = TBD, 
9 = TBD.</t>
  </si>
  <si>
    <t>Specify an adsorption isotherm model:
0 = custom isotherm,
1 = linear isotherm,
2 = extended Langmuir isotherm,
3 = TBD,
4 = TBD,
5 = TBD, 
6 = TBD, 
7 = TBD, 
8 = TBD, 
9 = TBD.</t>
  </si>
  <si>
    <t>Specify a valve model:
0 = custom valve,
1 = a linear valve, 
2 = TBD,
3 = TBD,
4 = TBD,
5 = TBD,
6 = TBD,
7 = TBD,
8 = TBD,
9 = TBD.</t>
  </si>
  <si>
    <t xml:space="preserve">Specify a heat capacity model: 
0 = a constant heat capacity model,
1 = a temperature dependent polynomial model,
2 = TBD,
3 = TBD,
4 = TBD,
5 = TBD,
6 = TBD,
7 = TBD, 
8 = TBD, 
9 = TBD.
</t>
  </si>
  <si>
    <t>TBD:
0 = TBD,
1 = TBD,
2 = TBD,
3 = TBD, 
4 = TBD, 
5 = TBD, 
6 = TBD, 
7 = TBD,
8 = TBD,
9 = TBD.</t>
  </si>
  <si>
    <t>0 = TBD,
1 = TBD.</t>
  </si>
  <si>
    <t>Specify a momentum balance model:
0 = no axial pressure drop, 
1 = Karman-Kozeny equation,
2 = Ergun equation,
3 = TBD,
4 = TBD, 
5 = TBD,
6 = TBD, 
7 = TBD,
8 = TBD,
9 = TBD.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</si>
  <si>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</si>
  <si>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</si>
  <si>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</si>
  <si>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</si>
  <si>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</si>
  <si>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</si>
  <si>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</si>
  <si>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</si>
  <si>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Specify a cyclic steady state (CSS) convergence model: 
0 = overall states,
1 = 1st column ststes,
2 = all column states,
3 = the raffinate product tank states,
4 = TBD,
5 = TBD,
6 = TBD,
7 = TBD,
8 = TBD,
9 = TBD.</t>
  </si>
  <si>
    <t>Purpose/Summary</t>
  </si>
  <si>
    <t>Initial development of the "cycle_organization.xlsm" sheet.</t>
  </si>
  <si>
    <t>REV. NO.1 (6/8/2022)</t>
  </si>
  <si>
    <t>Pressure Swing Adsorption Process Flow Diagram (PFD)</t>
  </si>
  <si>
    <t>TBD</t>
  </si>
  <si>
    <t>Initialization of the Simulation Environment</t>
  </si>
  <si>
    <t>Information on Model Selection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</si>
</sst>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3" borderId="6" xfId="0" applyFont="1" applyFill="1" applyBorder="1" applyAlignment="1" applyProtection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4" fillId="3" borderId="12" xfId="0" applyFont="1" applyFill="1" applyBorder="1" applyAlignment="1" applyProtection="1">
      <alignment horizontal="center" vertical="center"/>
    </xf>
    <xf numFmtId="0" fontId="4" fillId="3" borderId="10" xfId="0" applyFont="1" applyFill="1" applyBorder="1" applyAlignment="1" applyProtection="1">
      <alignment horizontal="left" vertical="center" indent="1"/>
    </xf>
    <xf numFmtId="0" fontId="4" fillId="3" borderId="10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left" vertical="center" wrapText="1" indent="1"/>
    </xf>
    <xf numFmtId="0" fontId="4" fillId="4" borderId="3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center" vertical="center"/>
    </xf>
    <xf numFmtId="0" fontId="4" fillId="4" borderId="4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left" vertical="center"/>
    </xf>
    <xf numFmtId="0" fontId="4" fillId="4" borderId="2" xfId="0" applyFont="1" applyFill="1" applyBorder="1" applyAlignment="1" applyProtection="1">
      <alignment horizontal="center" vertical="center"/>
    </xf>
    <xf numFmtId="0" fontId="12" fillId="5" borderId="6" xfId="0" applyFont="1" applyFill="1" applyBorder="1" applyAlignment="1" applyProtection="1">
      <alignment horizontal="left" vertical="center"/>
    </xf>
    <xf numFmtId="0" fontId="9" fillId="5" borderId="7" xfId="0" applyFont="1" applyFill="1" applyBorder="1" applyAlignment="1" applyProtection="1">
      <alignment horizontal="center" vertical="center"/>
    </xf>
    <xf numFmtId="0" fontId="12" fillId="5" borderId="8" xfId="0" applyFont="1" applyFill="1" applyBorder="1" applyAlignment="1" applyProtection="1">
      <alignment horizontal="right" vertical="center"/>
    </xf>
    <xf numFmtId="0" fontId="8" fillId="5" borderId="5" xfId="0" applyFont="1" applyFill="1" applyBorder="1" applyAlignment="1" applyProtection="1">
      <alignment horizontal="center" vertical="center"/>
    </xf>
    <xf numFmtId="0" fontId="8" fillId="5" borderId="9" xfId="0" applyFont="1" applyFill="1" applyBorder="1" applyAlignment="1" applyProtection="1">
      <alignment horizontal="center" vertical="center"/>
    </xf>
    <xf numFmtId="0" fontId="8" fillId="5" borderId="9" xfId="0" applyFont="1" applyFill="1" applyBorder="1" applyAlignment="1" applyProtection="1">
      <alignment horizontal="center" vertical="center" wrapText="1"/>
    </xf>
    <xf numFmtId="0" fontId="8" fillId="5" borderId="4" xfId="0" applyFont="1" applyFill="1" applyBorder="1" applyAlignment="1" applyProtection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 applyProtection="1">
      <alignment vertical="center"/>
    </xf>
    <xf numFmtId="0" fontId="4" fillId="0" borderId="0" xfId="1" applyFont="1" applyAlignment="1" applyProtection="1">
      <alignment vertical="center" wrapText="1"/>
    </xf>
    <xf numFmtId="0" fontId="4" fillId="0" borderId="0" xfId="1" applyFont="1" applyAlignment="1" applyProtection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 applyProtection="1">
      <alignment horizontal="center" vertical="center"/>
    </xf>
    <xf numFmtId="0" fontId="3" fillId="0" borderId="1" xfId="1" applyFont="1" applyBorder="1" applyAlignment="1" applyProtection="1">
      <alignment horizontal="left" vertical="center" wrapText="1" indent="1"/>
    </xf>
    <xf numFmtId="14" fontId="3" fillId="0" borderId="1" xfId="1" applyNumberFormat="1" applyFont="1" applyBorder="1" applyAlignment="1" applyProtection="1">
      <alignment horizontal="center" vertical="center"/>
    </xf>
    <xf numFmtId="0" fontId="3" fillId="0" borderId="1" xfId="1" applyFont="1" applyBorder="1" applyAlignment="1" applyProtection="1">
      <alignment horizontal="left" vertical="center" indent="1"/>
    </xf>
    <xf numFmtId="0" fontId="4" fillId="4" borderId="0" xfId="0" applyFont="1" applyFill="1" applyBorder="1" applyAlignment="1" applyProtection="1">
      <alignment horizontal="left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4" borderId="0" xfId="0" applyFont="1" applyFill="1" applyBorder="1" applyAlignment="1" applyProtection="1">
      <alignment horizontal="left" vertical="center"/>
    </xf>
    <xf numFmtId="0" fontId="6" fillId="3" borderId="1" xfId="1" applyFont="1" applyFill="1" applyBorder="1" applyAlignment="1" applyProtection="1">
      <alignment horizontal="center" vertical="center" wrapText="1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0" borderId="0" xfId="0" applyFont="1"/>
    <xf numFmtId="0" fontId="7" fillId="4" borderId="6" xfId="0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4" fillId="4" borderId="7" xfId="0" applyFont="1" applyFill="1" applyBorder="1"/>
    <xf numFmtId="0" fontId="4" fillId="4" borderId="8" xfId="0" applyFont="1" applyFill="1" applyBorder="1"/>
    <xf numFmtId="0" fontId="4" fillId="3" borderId="0" xfId="0" applyFont="1" applyFill="1"/>
    <xf numFmtId="0" fontId="4" fillId="3" borderId="13" xfId="0" applyFont="1" applyFill="1" applyBorder="1"/>
    <xf numFmtId="0" fontId="5" fillId="0" borderId="2" xfId="1" applyFont="1" applyBorder="1" applyAlignment="1" applyProtection="1">
      <alignment horizontal="center" vertical="center"/>
    </xf>
    <xf numFmtId="0" fontId="6" fillId="4" borderId="1" xfId="0" applyFont="1" applyFill="1" applyBorder="1" applyAlignment="1" applyProtection="1">
      <alignment horizontal="center" vertical="center"/>
    </xf>
    <xf numFmtId="0" fontId="6" fillId="4" borderId="12" xfId="0" applyFont="1" applyFill="1" applyBorder="1" applyAlignment="1" applyProtection="1">
      <alignment horizontal="center" vertical="center"/>
    </xf>
    <xf numFmtId="0" fontId="6" fillId="4" borderId="13" xfId="0" applyFont="1" applyFill="1" applyBorder="1" applyAlignment="1" applyProtection="1">
      <alignment horizontal="center" vertical="center"/>
    </xf>
    <xf numFmtId="0" fontId="6" fillId="4" borderId="5" xfId="0" applyFont="1" applyFill="1" applyBorder="1" applyAlignment="1" applyProtection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80680</xdr:colOff>
      <xdr:row>4</xdr:row>
      <xdr:rowOff>0</xdr:rowOff>
    </xdr:from>
    <xdr:to>
      <xdr:col>5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1671"/>
          <a:ext cx="6129194" cy="559218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80680</xdr:colOff>
      <xdr:row>4</xdr:row>
      <xdr:rowOff>0</xdr:rowOff>
    </xdr:from>
    <xdr:to>
      <xdr:col>5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591671"/>
          <a:ext cx="6129194" cy="559218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403412</xdr:colOff>
      <xdr:row>2</xdr:row>
      <xdr:rowOff>107576</xdr:rowOff>
    </xdr:from>
    <xdr:to>
      <xdr:col>17</xdr:col>
      <xdr:colOff>188258</xdr:colOff>
      <xdr:row>51</xdr:row>
      <xdr:rowOff>17930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403412" y="473336"/>
          <a:ext cx="10148046" cy="887147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kim333/Documents/GitHub/toPSAil/4_example/development/4_cycle_organization/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kim333/Documents/GitHub/toPSAil/4_example/development/3_unit_properties/3.1_adsorber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Step Durations"/>
      <sheetName val="Step Events"/>
      <sheetName val="Adsorber Valves"/>
      <sheetName val="Flowsheet Valves"/>
      <sheetName val="Help"/>
      <sheetName val="PFD"/>
      <sheetName val="Cv"/>
      <sheetName val="maintenance check list"/>
      <sheetName val="Data(Transposed)"/>
      <sheetName val="Data(Test)"/>
    </sheetNames>
    <sheetDataSet>
      <sheetData sheetId="0">
        <row r="4">
          <cell r="D4" t="str">
            <v>REV. NO.1 (6/8/2022)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Geometry"/>
      <sheetName val="Adsorber Packing"/>
      <sheetName val="Adsorber Design"/>
      <sheetName val="Physical Properties"/>
      <sheetName val="Help"/>
      <sheetName val="PFD"/>
      <sheetName val="maintenance check list"/>
      <sheetName val="Data(Transposed)"/>
      <sheetName val="Data(Test)"/>
    </sheetNames>
    <sheetDataSet>
      <sheetData sheetId="0">
        <row r="4">
          <cell r="J4" t="str">
            <v>Scott Research Group (jkscottresearchgroup.com)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B9:K25" totalsRowShown="0" headerRowDxfId="34" dataDxfId="32" headerRowBorderDxfId="33" tableBorderDxfId="31" totalsRowBorderDxfId="30">
  <autoFilter ref="B9:K25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B9:K20" totalsRowShown="0" headerRowDxfId="14" dataDxfId="12" headerRowBorderDxfId="13" tableBorderDxfId="11" totalsRowBorderDxfId="10">
  <autoFilter ref="B9:K20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2098560F-C92A-4527-B73B-CDE0FA861BCD}">
    <text>place 1 if we want to keep the row when re-initializing. Otherwise, leave it as a blank.</text>
  </threadedComment>
  <threadedComment ref="I9" dT="2020-11-26T18:35:03.27" personId="{7F98AE94-13FB-49E1-9262-339C11E0EDB4}" id="{02C02106-AE8E-4FEF-8B35-8F0B8F7C1FE9}">
    <text>supply a value greater than 1 if you want to duplicate the row</text>
  </threadedComment>
  <threadedComment ref="J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J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ABAAE104-1442-420E-AD26-C6CAD21BF900}">
    <text>place 1 if we want to keep the row when re-initializing. Otherwise, leave it as a blank.</text>
  </threadedComment>
  <threadedComment ref="I9" dT="2020-11-26T18:35:03.27" personId="{7F98AE94-13FB-49E1-9262-339C11E0EDB4}" id="{74D95228-D979-4953-A89D-649833238ADF}">
    <text>supply a value greater than 1 if you want to duplicate the row</text>
  </threadedComment>
  <threadedComment ref="J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J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="70" zoomScaleNormal="85" zoomScaleSheetLayoutView="70" workbookViewId="0">
      <selection activeCell="E9" sqref="E9"/>
    </sheetView>
  </sheetViews>
  <sheetFormatPr defaultColWidth="0" defaultRowHeight="14.4" zeroHeight="1"/>
  <cols>
    <col min="1" max="2" width="3.33203125" style="29" hidden="1" customWidth="1"/>
    <col min="3" max="3" width="2.44140625" style="29" customWidth="1"/>
    <col min="4" max="4" width="13.88671875" style="29" customWidth="1"/>
    <col min="5" max="5" width="51.33203125" style="30" bestFit="1" customWidth="1"/>
    <col min="6" max="6" width="15.77734375" style="31" bestFit="1" customWidth="1"/>
    <col min="7" max="9" width="13.33203125" style="29" customWidth="1"/>
    <col min="10" max="10" width="48.88671875" style="29" customWidth="1"/>
    <col min="11" max="11" width="2.44140625" style="29" customWidth="1"/>
    <col min="12" max="12" width="0" style="29" hidden="1" customWidth="1"/>
    <col min="13" max="16384" width="9" style="29" hidden="1"/>
  </cols>
  <sheetData>
    <row r="3" spans="4:10"/>
    <row r="4" spans="4:10" ht="18">
      <c r="D4" s="45" t="s">
        <v>135</v>
      </c>
      <c r="E4" s="46"/>
      <c r="F4" s="47"/>
      <c r="G4" s="48"/>
      <c r="H4" s="48"/>
      <c r="I4" s="48"/>
      <c r="J4" s="32" t="s">
        <v>89</v>
      </c>
    </row>
    <row r="5" spans="4:10" ht="36">
      <c r="D5" s="63" t="s">
        <v>37</v>
      </c>
      <c r="E5" s="63"/>
      <c r="F5" s="63"/>
      <c r="G5" s="63"/>
      <c r="H5" s="63"/>
      <c r="I5" s="63"/>
      <c r="J5" s="63"/>
    </row>
    <row r="6" spans="4:10" ht="18">
      <c r="D6" s="41" t="s">
        <v>31</v>
      </c>
      <c r="E6" s="41" t="s">
        <v>133</v>
      </c>
      <c r="F6" s="41" t="s">
        <v>32</v>
      </c>
      <c r="G6" s="41" t="s">
        <v>33</v>
      </c>
      <c r="H6" s="41" t="s">
        <v>34</v>
      </c>
      <c r="I6" s="41" t="s">
        <v>35</v>
      </c>
      <c r="J6" s="41" t="s">
        <v>36</v>
      </c>
    </row>
    <row r="7" spans="4:10" ht="36">
      <c r="D7" s="33">
        <v>1</v>
      </c>
      <c r="E7" s="42" t="s">
        <v>134</v>
      </c>
      <c r="F7" s="43">
        <v>44720</v>
      </c>
      <c r="G7" s="44" t="s">
        <v>38</v>
      </c>
      <c r="H7" s="33"/>
      <c r="I7" s="33"/>
      <c r="J7" s="34"/>
    </row>
    <row r="8" spans="4:10" ht="18">
      <c r="D8" s="33">
        <v>2</v>
      </c>
      <c r="E8" s="34"/>
      <c r="F8" s="35"/>
      <c r="G8" s="33"/>
      <c r="H8" s="33"/>
      <c r="I8" s="33"/>
      <c r="J8" s="34"/>
    </row>
    <row r="9" spans="4:10" ht="18">
      <c r="D9" s="33">
        <v>3</v>
      </c>
      <c r="E9" s="34"/>
      <c r="F9" s="35"/>
      <c r="G9" s="33"/>
      <c r="H9" s="33"/>
      <c r="I9" s="33"/>
      <c r="J9" s="34"/>
    </row>
    <row r="10" spans="4:10" ht="18">
      <c r="D10" s="33">
        <v>4</v>
      </c>
      <c r="E10" s="34"/>
      <c r="F10" s="35"/>
      <c r="G10" s="33"/>
      <c r="H10" s="33"/>
      <c r="I10" s="33"/>
      <c r="J10" s="34"/>
    </row>
    <row r="11" spans="4:10" ht="18">
      <c r="D11" s="33">
        <v>5</v>
      </c>
      <c r="E11" s="34"/>
      <c r="F11" s="35"/>
      <c r="G11" s="33"/>
      <c r="H11" s="33"/>
      <c r="I11" s="33"/>
      <c r="J11" s="34"/>
    </row>
    <row r="12" spans="4:10" ht="18">
      <c r="D12" s="33">
        <v>6</v>
      </c>
      <c r="E12" s="34"/>
      <c r="F12" s="35"/>
      <c r="G12" s="33"/>
      <c r="H12" s="33"/>
      <c r="I12" s="33"/>
      <c r="J12" s="34"/>
    </row>
    <row r="13" spans="4:10" ht="18">
      <c r="D13" s="33">
        <v>7</v>
      </c>
      <c r="E13" s="34"/>
      <c r="F13" s="35"/>
      <c r="G13" s="33"/>
      <c r="H13" s="33"/>
      <c r="I13" s="33"/>
      <c r="J13" s="34"/>
    </row>
    <row r="14" spans="4:10" ht="18">
      <c r="D14" s="33">
        <v>8</v>
      </c>
      <c r="E14" s="34"/>
      <c r="F14" s="35"/>
      <c r="G14" s="33"/>
      <c r="H14" s="33"/>
      <c r="I14" s="33"/>
      <c r="J14" s="34"/>
    </row>
    <row r="15" spans="4:10" ht="18">
      <c r="D15" s="33">
        <v>9</v>
      </c>
      <c r="E15" s="34"/>
      <c r="F15" s="35"/>
      <c r="G15" s="33"/>
      <c r="H15" s="33"/>
      <c r="I15" s="33"/>
      <c r="J15" s="34"/>
    </row>
    <row r="16" spans="4:10" ht="18">
      <c r="D16" s="33">
        <v>10</v>
      </c>
      <c r="E16" s="34"/>
      <c r="F16" s="35"/>
      <c r="G16" s="33"/>
      <c r="H16" s="33"/>
      <c r="I16" s="33"/>
      <c r="J16" s="3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5"/>
  <sheetViews>
    <sheetView showGridLines="0" topLeftCell="B2" zoomScale="85" zoomScaleNormal="85" zoomScaleSheetLayoutView="70" workbookViewId="0">
      <pane ySplit="8" topLeftCell="A13" activePane="bottomLeft" state="frozen"/>
      <selection activeCell="B2" sqref="B2"/>
      <selection pane="bottomLeft" activeCell="C15" sqref="C15"/>
    </sheetView>
  </sheetViews>
  <sheetFormatPr defaultColWidth="0" defaultRowHeight="14.4" customHeight="1" zeroHeight="1"/>
  <cols>
    <col min="1" max="1" width="3.77734375" style="3" hidden="1" customWidth="1"/>
    <col min="2" max="2" width="17" style="3" bestFit="1" customWidth="1"/>
    <col min="3" max="3" width="22.21875" style="3" customWidth="1"/>
    <col min="4" max="4" width="20" style="3" customWidth="1"/>
    <col min="5" max="5" width="24.21875" style="3" customWidth="1"/>
    <col min="6" max="6" width="17.33203125" style="3" customWidth="1"/>
    <col min="7" max="7" width="13.109375" style="3" customWidth="1"/>
    <col min="8" max="10" width="15" style="3" customWidth="1"/>
    <col min="11" max="11" width="57.44140625" style="3" customWidth="1"/>
    <col min="12" max="16384" width="8.88671875" style="3" hidden="1"/>
  </cols>
  <sheetData>
    <row r="2" spans="2:11">
      <c r="B2" s="20" t="str">
        <f>'Revision History'!$D$4</f>
        <v>REV. NO.1 (6/8/2022)</v>
      </c>
      <c r="C2" s="21"/>
      <c r="D2" s="21"/>
      <c r="E2" s="21"/>
      <c r="F2" s="21"/>
      <c r="G2" s="21"/>
      <c r="H2" s="21"/>
      <c r="I2" s="21"/>
      <c r="J2" s="21"/>
      <c r="K2" s="22" t="str">
        <f>'Revision History'!$J$4</f>
        <v>Scott Research Group (jkscottresearchgroup.com)</v>
      </c>
    </row>
    <row r="3" spans="2:11" ht="18">
      <c r="B3" s="64" t="s">
        <v>30</v>
      </c>
      <c r="C3" s="64"/>
      <c r="D3" s="64"/>
      <c r="E3" s="64"/>
      <c r="F3" s="64"/>
      <c r="G3" s="64"/>
      <c r="H3" s="64"/>
      <c r="I3" s="64"/>
      <c r="J3" s="64"/>
      <c r="K3" s="64"/>
    </row>
    <row r="4" spans="2:11" ht="14.4" customHeight="1">
      <c r="B4" s="13"/>
      <c r="C4" s="14"/>
      <c r="D4" s="40"/>
      <c r="E4" s="15"/>
      <c r="F4" s="15"/>
      <c r="G4" s="15"/>
      <c r="H4" s="15"/>
      <c r="I4" s="15"/>
      <c r="J4" s="14"/>
      <c r="K4" s="65" t="str">
        <f>IF(COUNTIF(Table132[Test 3],1)=COUNTA(Table132[Value]),"Ready","Not Ready")</f>
        <v>Ready</v>
      </c>
    </row>
    <row r="5" spans="2:11" ht="14.4" customHeight="1">
      <c r="B5" s="13"/>
      <c r="C5" s="14"/>
      <c r="D5" s="40"/>
      <c r="E5" s="15"/>
      <c r="F5" s="15"/>
      <c r="G5" s="15"/>
      <c r="H5" s="15"/>
      <c r="I5" s="15"/>
      <c r="J5" s="15"/>
      <c r="K5" s="66"/>
    </row>
    <row r="6" spans="2:11" ht="14.4" customHeight="1">
      <c r="B6" s="13"/>
      <c r="C6" s="14"/>
      <c r="D6" s="40"/>
      <c r="E6" s="15"/>
      <c r="F6" s="15"/>
      <c r="G6" s="15"/>
      <c r="H6" s="15"/>
      <c r="I6" s="15"/>
      <c r="J6" s="15"/>
      <c r="K6" s="66"/>
    </row>
    <row r="7" spans="2:11" ht="14.4" customHeight="1">
      <c r="B7" s="13"/>
      <c r="C7" s="14"/>
      <c r="D7" s="40"/>
      <c r="E7" s="15"/>
      <c r="F7" s="15"/>
      <c r="G7" s="15"/>
      <c r="H7" s="15"/>
      <c r="I7" s="15"/>
      <c r="J7" s="15"/>
      <c r="K7" s="66"/>
    </row>
    <row r="8" spans="2:11" ht="14.4" customHeight="1">
      <c r="B8" s="16"/>
      <c r="C8" s="17"/>
      <c r="D8" s="18"/>
      <c r="E8" s="19"/>
      <c r="F8" s="19"/>
      <c r="G8" s="19"/>
      <c r="H8" s="19"/>
      <c r="I8" s="19"/>
      <c r="J8" s="19"/>
      <c r="K8" s="67"/>
    </row>
    <row r="9" spans="2:11">
      <c r="B9" s="23" t="s">
        <v>0</v>
      </c>
      <c r="C9" s="24" t="s">
        <v>1</v>
      </c>
      <c r="D9" s="24" t="s">
        <v>2</v>
      </c>
      <c r="E9" s="24" t="s">
        <v>14</v>
      </c>
      <c r="F9" s="24" t="s">
        <v>66</v>
      </c>
      <c r="G9" s="25" t="s">
        <v>39</v>
      </c>
      <c r="H9" s="25" t="s">
        <v>67</v>
      </c>
      <c r="I9" s="24" t="s">
        <v>68</v>
      </c>
      <c r="J9" s="26" t="s">
        <v>77</v>
      </c>
      <c r="K9" s="26" t="s">
        <v>12</v>
      </c>
    </row>
    <row r="10" spans="2:11" ht="28.8">
      <c r="B10" s="4" t="s">
        <v>45</v>
      </c>
      <c r="C10" s="27">
        <v>0</v>
      </c>
      <c r="D10" s="2" t="s">
        <v>3</v>
      </c>
      <c r="E10" s="39" t="s">
        <v>59</v>
      </c>
      <c r="F10" s="39" t="s">
        <v>6</v>
      </c>
      <c r="G10" s="2" t="s">
        <v>41</v>
      </c>
      <c r="H10" s="39">
        <v>1</v>
      </c>
      <c r="I10" s="39">
        <v>1</v>
      </c>
      <c r="J10" s="6">
        <v>1</v>
      </c>
      <c r="K10" s="5" t="s">
        <v>111</v>
      </c>
    </row>
    <row r="11" spans="2:11" ht="28.8">
      <c r="B11" s="4" t="s">
        <v>44</v>
      </c>
      <c r="C11" s="27">
        <v>0</v>
      </c>
      <c r="D11" s="2" t="s">
        <v>3</v>
      </c>
      <c r="E11" s="39" t="s">
        <v>59</v>
      </c>
      <c r="F11" s="39" t="s">
        <v>6</v>
      </c>
      <c r="G11" s="2" t="s">
        <v>41</v>
      </c>
      <c r="H11" s="39">
        <v>1</v>
      </c>
      <c r="I11" s="39">
        <v>1</v>
      </c>
      <c r="J11" s="6">
        <v>1</v>
      </c>
      <c r="K11" s="5" t="s">
        <v>61</v>
      </c>
    </row>
    <row r="12" spans="2:11" ht="28.8">
      <c r="B12" s="4" t="s">
        <v>46</v>
      </c>
      <c r="C12" s="27">
        <v>0</v>
      </c>
      <c r="D12" s="2" t="s">
        <v>3</v>
      </c>
      <c r="E12" s="39" t="s">
        <v>59</v>
      </c>
      <c r="F12" s="39" t="s">
        <v>6</v>
      </c>
      <c r="G12" s="2" t="s">
        <v>41</v>
      </c>
      <c r="H12" s="39">
        <v>1</v>
      </c>
      <c r="I12" s="39">
        <v>1</v>
      </c>
      <c r="J12" s="6">
        <v>1</v>
      </c>
      <c r="K12" s="5" t="s">
        <v>112</v>
      </c>
    </row>
    <row r="13" spans="2:11" ht="28.8">
      <c r="B13" s="4" t="s">
        <v>47</v>
      </c>
      <c r="C13" s="27">
        <v>1</v>
      </c>
      <c r="D13" s="2" t="s">
        <v>3</v>
      </c>
      <c r="E13" s="39" t="s">
        <v>59</v>
      </c>
      <c r="F13" s="39" t="s">
        <v>6</v>
      </c>
      <c r="G13" s="2" t="s">
        <v>41</v>
      </c>
      <c r="H13" s="39">
        <v>1</v>
      </c>
      <c r="I13" s="39">
        <v>1</v>
      </c>
      <c r="J13" s="6">
        <v>1</v>
      </c>
      <c r="K13" s="5" t="s">
        <v>60</v>
      </c>
    </row>
    <row r="14" spans="2:11" ht="28.8">
      <c r="B14" s="4" t="s">
        <v>48</v>
      </c>
      <c r="C14" s="27">
        <v>1</v>
      </c>
      <c r="D14" s="2" t="s">
        <v>3</v>
      </c>
      <c r="E14" s="39" t="s">
        <v>59</v>
      </c>
      <c r="F14" s="39" t="s">
        <v>6</v>
      </c>
      <c r="G14" s="2" t="s">
        <v>41</v>
      </c>
      <c r="H14" s="39">
        <v>1</v>
      </c>
      <c r="I14" s="39">
        <v>1</v>
      </c>
      <c r="J14" s="6">
        <v>1</v>
      </c>
      <c r="K14" s="5" t="s">
        <v>20</v>
      </c>
    </row>
    <row r="15" spans="2:11" ht="28.8">
      <c r="B15" s="4" t="s">
        <v>49</v>
      </c>
      <c r="C15" s="27">
        <v>1</v>
      </c>
      <c r="D15" s="2" t="s">
        <v>3</v>
      </c>
      <c r="E15" s="39" t="s">
        <v>59</v>
      </c>
      <c r="F15" s="39" t="s">
        <v>6</v>
      </c>
      <c r="G15" s="2" t="s">
        <v>41</v>
      </c>
      <c r="H15" s="39">
        <v>1</v>
      </c>
      <c r="I15" s="39">
        <v>1</v>
      </c>
      <c r="J15" s="6">
        <v>1</v>
      </c>
      <c r="K15" s="5" t="s">
        <v>113</v>
      </c>
    </row>
    <row r="16" spans="2:11" ht="28.8">
      <c r="B16" s="4" t="s">
        <v>50</v>
      </c>
      <c r="C16" s="27">
        <v>0</v>
      </c>
      <c r="D16" s="2" t="s">
        <v>3</v>
      </c>
      <c r="E16" s="39" t="s">
        <v>59</v>
      </c>
      <c r="F16" s="39" t="s">
        <v>6</v>
      </c>
      <c r="G16" s="2" t="s">
        <v>41</v>
      </c>
      <c r="H16" s="39">
        <v>1</v>
      </c>
      <c r="I16" s="39">
        <v>1</v>
      </c>
      <c r="J16" s="6">
        <v>1</v>
      </c>
      <c r="K16" s="5" t="s">
        <v>108</v>
      </c>
    </row>
    <row r="17" spans="2:11" ht="28.8">
      <c r="B17" s="4" t="s">
        <v>51</v>
      </c>
      <c r="C17" s="27">
        <v>0</v>
      </c>
      <c r="D17" s="2" t="s">
        <v>3</v>
      </c>
      <c r="E17" s="39" t="s">
        <v>59</v>
      </c>
      <c r="F17" s="39" t="s">
        <v>6</v>
      </c>
      <c r="G17" s="2" t="s">
        <v>41</v>
      </c>
      <c r="H17" s="39">
        <v>1</v>
      </c>
      <c r="I17" s="39">
        <v>1</v>
      </c>
      <c r="J17" s="6">
        <v>1</v>
      </c>
      <c r="K17" s="5" t="s">
        <v>40</v>
      </c>
    </row>
    <row r="18" spans="2:11" ht="28.8">
      <c r="B18" s="4" t="s">
        <v>52</v>
      </c>
      <c r="C18" s="27">
        <v>0</v>
      </c>
      <c r="D18" s="2" t="s">
        <v>3</v>
      </c>
      <c r="E18" s="39" t="s">
        <v>59</v>
      </c>
      <c r="F18" s="39" t="s">
        <v>6</v>
      </c>
      <c r="G18" s="2" t="s">
        <v>41</v>
      </c>
      <c r="H18" s="39">
        <v>1</v>
      </c>
      <c r="I18" s="39">
        <v>1</v>
      </c>
      <c r="J18" s="6">
        <v>1</v>
      </c>
      <c r="K18" s="5" t="s">
        <v>81</v>
      </c>
    </row>
    <row r="19" spans="2:11" ht="28.8">
      <c r="B19" s="4" t="s">
        <v>53</v>
      </c>
      <c r="C19" s="27">
        <v>1</v>
      </c>
      <c r="D19" s="2" t="s">
        <v>3</v>
      </c>
      <c r="E19" s="39" t="s">
        <v>59</v>
      </c>
      <c r="F19" s="39" t="s">
        <v>6</v>
      </c>
      <c r="G19" s="2" t="s">
        <v>41</v>
      </c>
      <c r="H19" s="39">
        <v>1</v>
      </c>
      <c r="I19" s="39">
        <v>1</v>
      </c>
      <c r="J19" s="6">
        <v>1</v>
      </c>
      <c r="K19" s="5" t="s">
        <v>107</v>
      </c>
    </row>
    <row r="20" spans="2:11" ht="28.8">
      <c r="B20" s="4" t="s">
        <v>54</v>
      </c>
      <c r="C20" s="27">
        <v>1</v>
      </c>
      <c r="D20" s="2" t="s">
        <v>3</v>
      </c>
      <c r="E20" s="39" t="s">
        <v>59</v>
      </c>
      <c r="F20" s="39" t="s">
        <v>6</v>
      </c>
      <c r="G20" s="2" t="s">
        <v>41</v>
      </c>
      <c r="H20" s="39">
        <v>1</v>
      </c>
      <c r="I20" s="39">
        <v>1</v>
      </c>
      <c r="J20" s="6">
        <v>1</v>
      </c>
      <c r="K20" s="5" t="s">
        <v>114</v>
      </c>
    </row>
    <row r="21" spans="2:11" ht="28.8">
      <c r="B21" s="4" t="s">
        <v>55</v>
      </c>
      <c r="C21" s="27">
        <v>1</v>
      </c>
      <c r="D21" s="2" t="s">
        <v>3</v>
      </c>
      <c r="E21" s="39" t="s">
        <v>59</v>
      </c>
      <c r="F21" s="39" t="s">
        <v>6</v>
      </c>
      <c r="G21" s="2" t="s">
        <v>41</v>
      </c>
      <c r="H21" s="39">
        <v>1</v>
      </c>
      <c r="I21" s="39">
        <v>1</v>
      </c>
      <c r="J21" s="6">
        <v>1</v>
      </c>
      <c r="K21" s="5" t="s">
        <v>115</v>
      </c>
    </row>
    <row r="22" spans="2:11" ht="28.8">
      <c r="B22" s="4" t="s">
        <v>56</v>
      </c>
      <c r="C22" s="27">
        <v>0</v>
      </c>
      <c r="D22" s="2" t="s">
        <v>3</v>
      </c>
      <c r="E22" s="39" t="s">
        <v>59</v>
      </c>
      <c r="F22" s="39" t="s">
        <v>6</v>
      </c>
      <c r="G22" s="2" t="s">
        <v>41</v>
      </c>
      <c r="H22" s="39">
        <v>1</v>
      </c>
      <c r="I22" s="39">
        <v>1</v>
      </c>
      <c r="J22" s="6">
        <v>1</v>
      </c>
      <c r="K22" s="5" t="s">
        <v>109</v>
      </c>
    </row>
    <row r="23" spans="2:11" ht="28.8">
      <c r="B23" s="4" t="s">
        <v>57</v>
      </c>
      <c r="C23" s="27">
        <v>0</v>
      </c>
      <c r="D23" s="2" t="s">
        <v>3</v>
      </c>
      <c r="E23" s="39" t="s">
        <v>59</v>
      </c>
      <c r="F23" s="39" t="s">
        <v>6</v>
      </c>
      <c r="G23" s="2" t="s">
        <v>41</v>
      </c>
      <c r="H23" s="39">
        <v>1</v>
      </c>
      <c r="I23" s="39">
        <v>1</v>
      </c>
      <c r="J23" s="6">
        <v>1</v>
      </c>
      <c r="K23" s="5" t="s">
        <v>110</v>
      </c>
    </row>
    <row r="24" spans="2:11" ht="28.8">
      <c r="B24" s="4" t="s">
        <v>58</v>
      </c>
      <c r="C24" s="27"/>
      <c r="D24" s="2" t="s">
        <v>3</v>
      </c>
      <c r="E24" s="39" t="s">
        <v>59</v>
      </c>
      <c r="F24" s="39" t="s">
        <v>6</v>
      </c>
      <c r="G24" s="2" t="s">
        <v>41</v>
      </c>
      <c r="H24" s="39">
        <v>1</v>
      </c>
      <c r="I24" s="39">
        <v>1</v>
      </c>
      <c r="J24" s="6">
        <v>0</v>
      </c>
      <c r="K24" s="5" t="s">
        <v>122</v>
      </c>
    </row>
    <row r="25" spans="2:11">
      <c r="B25" s="8" t="s">
        <v>82</v>
      </c>
      <c r="C25" s="28"/>
      <c r="D25" s="9"/>
      <c r="E25" s="10"/>
      <c r="F25" s="10"/>
      <c r="G25" s="9"/>
      <c r="H25" s="10">
        <v>1</v>
      </c>
      <c r="I25" s="10">
        <v>1</v>
      </c>
      <c r="J25" s="11">
        <v>0</v>
      </c>
      <c r="K25" s="12" t="s">
        <v>83</v>
      </c>
    </row>
  </sheetData>
  <sheetProtection algorithmName="SHA-512" hashValue="oYlhnz1icdHDEGEFVORdSNtT4iF1DQmEX4jmRaq/mPj2hCfPLdAvi8y2hH/OJuCCCRrzcGqWP3fvitJrvbOaYA==" saltValue="VghQNHux3+4E+0+/LdGBIA==" spinCount="100000" sheet="1" objects="1" scenarios="1" selectLockedCells="1"/>
  <mergeCells count="2">
    <mergeCell ref="B3:K3"/>
    <mergeCell ref="K4:K8"/>
  </mergeCells>
  <conditionalFormatting sqref="C10:C25">
    <cfRule type="expression" dxfId="39" priority="1">
      <formula>IF(AND($C10&lt;&gt;"",$J10=0),1,0)</formula>
    </cfRule>
    <cfRule type="expression" dxfId="38" priority="2">
      <formula>IF($C10&lt;&gt;"",1,0)</formula>
    </cfRule>
    <cfRule type="expression" dxfId="37" priority="3">
      <formula>$J10 = 0</formula>
    </cfRule>
  </conditionalFormatting>
  <conditionalFormatting sqref="K4">
    <cfRule type="expression" dxfId="36" priority="1908">
      <formula>IF(COUNTA($C$10:$C$25)&lt;&gt;COUNTIF($J$10:$J$25,1),1,0)</formula>
    </cfRule>
    <cfRule type="expression" dxfId="35" priority="1909">
      <formula>IF(COUNTA($C$10:$C$25)=COUNTIF($J$10:$J$25,1),1,0)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175260</xdr:colOff>
                    <xdr:row>4</xdr:row>
                    <xdr:rowOff>76200</xdr:rowOff>
                  </from>
                  <to>
                    <xdr:col>2</xdr:col>
                    <xdr:colOff>922020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1021080</xdr:colOff>
                    <xdr:row>4</xdr:row>
                    <xdr:rowOff>76200</xdr:rowOff>
                  </from>
                  <to>
                    <xdr:col>4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137160</xdr:colOff>
                    <xdr:row>4</xdr:row>
                    <xdr:rowOff>76200</xdr:rowOff>
                  </from>
                  <to>
                    <xdr:col>5</xdr:col>
                    <xdr:colOff>396240</xdr:colOff>
                    <xdr:row>6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C16</xm:sqref>
        </x14:dataValidation>
        <x14:dataValidation type="list" allowBlank="1" showInputMessage="1" showErrorMessage="1" promptTitle="Axial Pressure Drop" prompt="0 = No, _x000a_1 = Yes." xr:uid="{14002D7A-CD8D-40E9-95A0-99DD5DD575E0}">
          <x14:formula1>
            <xm:f>Reference!$K$2:$K$4</xm:f>
          </x14:formula1>
          <xm:sqref>C15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C14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C13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C12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C11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C10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C17:C24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G10:G25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E10:E25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F10:F25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K20"/>
  <sheetViews>
    <sheetView showGridLines="0" tabSelected="1" topLeftCell="B2" zoomScale="85" zoomScaleNormal="85" zoomScaleSheetLayoutView="70" workbookViewId="0">
      <pane ySplit="8" topLeftCell="A14" activePane="bottomLeft" state="frozen"/>
      <selection activeCell="B2" sqref="B2"/>
      <selection pane="bottomLeft" activeCell="C15" sqref="C15"/>
    </sheetView>
  </sheetViews>
  <sheetFormatPr defaultColWidth="0" defaultRowHeight="14.4" zeroHeight="1"/>
  <cols>
    <col min="1" max="1" width="3.77734375" style="3" hidden="1" customWidth="1"/>
    <col min="2" max="2" width="17" style="3" bestFit="1" customWidth="1"/>
    <col min="3" max="3" width="22.21875" style="3" customWidth="1"/>
    <col min="4" max="4" width="20" style="3" customWidth="1"/>
    <col min="5" max="5" width="24.21875" style="3" customWidth="1"/>
    <col min="6" max="6" width="17.33203125" style="3" customWidth="1"/>
    <col min="7" max="7" width="13.109375" style="3" customWidth="1"/>
    <col min="8" max="10" width="15" style="3" customWidth="1"/>
    <col min="11" max="11" width="57.44140625" style="3" customWidth="1"/>
    <col min="12" max="16384" width="8.88671875" style="3" hidden="1"/>
  </cols>
  <sheetData>
    <row r="2" spans="2:11">
      <c r="B2" s="20" t="str">
        <f>'Revision History'!$D$4</f>
        <v>REV. NO.1 (6/8/2022)</v>
      </c>
      <c r="C2" s="21"/>
      <c r="D2" s="21"/>
      <c r="E2" s="21"/>
      <c r="F2" s="21"/>
      <c r="G2" s="21"/>
      <c r="H2" s="21"/>
      <c r="I2" s="21"/>
      <c r="J2" s="21"/>
      <c r="K2" s="22" t="str">
        <f>'Revision History'!$J$4</f>
        <v>Scott Research Group (jkscottresearchgroup.com)</v>
      </c>
    </row>
    <row r="3" spans="2:11" ht="18">
      <c r="B3" s="64" t="s">
        <v>30</v>
      </c>
      <c r="C3" s="64"/>
      <c r="D3" s="64"/>
      <c r="E3" s="64"/>
      <c r="F3" s="64"/>
      <c r="G3" s="64"/>
      <c r="H3" s="64"/>
      <c r="I3" s="64"/>
      <c r="J3" s="64"/>
      <c r="K3" s="64"/>
    </row>
    <row r="4" spans="2:11" ht="14.4" customHeight="1">
      <c r="B4" s="13"/>
      <c r="C4" s="14"/>
      <c r="D4" s="37"/>
      <c r="E4" s="15"/>
      <c r="F4" s="15"/>
      <c r="G4" s="15"/>
      <c r="H4" s="15"/>
      <c r="I4" s="15"/>
      <c r="J4" s="14"/>
      <c r="K4" s="65" t="str">
        <f>IF(COUNTIF(Table13[Test 3],1)=COUNTA(Table13[Value]),"Ready","Not Ready")</f>
        <v>Ready</v>
      </c>
    </row>
    <row r="5" spans="2:11" ht="14.4" customHeight="1">
      <c r="B5" s="13"/>
      <c r="C5" s="14"/>
      <c r="D5" s="37"/>
      <c r="E5" s="15"/>
      <c r="F5" s="15"/>
      <c r="G5" s="15"/>
      <c r="H5" s="15"/>
      <c r="I5" s="15"/>
      <c r="J5" s="15"/>
      <c r="K5" s="66"/>
    </row>
    <row r="6" spans="2:11" ht="14.4" customHeight="1">
      <c r="B6" s="13"/>
      <c r="C6" s="14"/>
      <c r="D6" s="37"/>
      <c r="E6" s="15"/>
      <c r="F6" s="15"/>
      <c r="G6" s="15"/>
      <c r="H6" s="15"/>
      <c r="I6" s="15"/>
      <c r="J6" s="15"/>
      <c r="K6" s="66"/>
    </row>
    <row r="7" spans="2:11" ht="14.4" customHeight="1">
      <c r="B7" s="13"/>
      <c r="C7" s="14"/>
      <c r="D7" s="37"/>
      <c r="E7" s="15"/>
      <c r="F7" s="15"/>
      <c r="G7" s="15"/>
      <c r="H7" s="15"/>
      <c r="I7" s="15"/>
      <c r="J7" s="15"/>
      <c r="K7" s="66"/>
    </row>
    <row r="8" spans="2:11" ht="14.4" customHeight="1">
      <c r="B8" s="16"/>
      <c r="C8" s="17"/>
      <c r="D8" s="18"/>
      <c r="E8" s="19"/>
      <c r="F8" s="19"/>
      <c r="G8" s="19"/>
      <c r="H8" s="19"/>
      <c r="I8" s="19"/>
      <c r="J8" s="19"/>
      <c r="K8" s="67"/>
    </row>
    <row r="9" spans="2:11">
      <c r="B9" s="23" t="s">
        <v>0</v>
      </c>
      <c r="C9" s="24" t="s">
        <v>1</v>
      </c>
      <c r="D9" s="24" t="s">
        <v>2</v>
      </c>
      <c r="E9" s="24" t="s">
        <v>14</v>
      </c>
      <c r="F9" s="24" t="s">
        <v>66</v>
      </c>
      <c r="G9" s="25" t="s">
        <v>39</v>
      </c>
      <c r="H9" s="25" t="s">
        <v>67</v>
      </c>
      <c r="I9" s="24" t="s">
        <v>68</v>
      </c>
      <c r="J9" s="26" t="s">
        <v>77</v>
      </c>
      <c r="K9" s="26" t="s">
        <v>12</v>
      </c>
    </row>
    <row r="10" spans="2:11" ht="158.4">
      <c r="B10" s="4" t="s">
        <v>72</v>
      </c>
      <c r="C10" s="27">
        <v>1</v>
      </c>
      <c r="D10" s="2" t="s">
        <v>3</v>
      </c>
      <c r="E10" s="38" t="s">
        <v>59</v>
      </c>
      <c r="F10" s="38" t="s">
        <v>86</v>
      </c>
      <c r="G10" s="2" t="s">
        <v>41</v>
      </c>
      <c r="H10" s="38">
        <v>1</v>
      </c>
      <c r="I10" s="38">
        <v>1</v>
      </c>
      <c r="J10" s="6">
        <v>1</v>
      </c>
      <c r="K10" s="5" t="s">
        <v>118</v>
      </c>
    </row>
    <row r="11" spans="2:11" ht="158.4">
      <c r="B11" s="4" t="s">
        <v>73</v>
      </c>
      <c r="C11" s="27">
        <v>1</v>
      </c>
      <c r="D11" s="2" t="s">
        <v>3</v>
      </c>
      <c r="E11" s="38" t="s">
        <v>59</v>
      </c>
      <c r="F11" s="38" t="s">
        <v>86</v>
      </c>
      <c r="G11" s="2" t="s">
        <v>41</v>
      </c>
      <c r="H11" s="38">
        <v>1</v>
      </c>
      <c r="I11" s="38">
        <v>1</v>
      </c>
      <c r="J11" s="6">
        <v>1</v>
      </c>
      <c r="K11" s="5" t="s">
        <v>117</v>
      </c>
    </row>
    <row r="12" spans="2:11" ht="158.4">
      <c r="B12" s="4" t="s">
        <v>74</v>
      </c>
      <c r="C12" s="27">
        <v>1</v>
      </c>
      <c r="D12" s="2" t="s">
        <v>3</v>
      </c>
      <c r="E12" s="38" t="s">
        <v>59</v>
      </c>
      <c r="F12" s="38" t="s">
        <v>86</v>
      </c>
      <c r="G12" s="2" t="s">
        <v>41</v>
      </c>
      <c r="H12" s="38">
        <v>1</v>
      </c>
      <c r="I12" s="38">
        <v>1</v>
      </c>
      <c r="J12" s="6">
        <v>1</v>
      </c>
      <c r="K12" s="5" t="s">
        <v>116</v>
      </c>
    </row>
    <row r="13" spans="2:11" ht="158.4">
      <c r="B13" s="4" t="s">
        <v>75</v>
      </c>
      <c r="C13" s="27">
        <v>1</v>
      </c>
      <c r="D13" s="2" t="s">
        <v>3</v>
      </c>
      <c r="E13" s="38" t="s">
        <v>59</v>
      </c>
      <c r="F13" s="38" t="s">
        <v>86</v>
      </c>
      <c r="G13" s="2" t="s">
        <v>41</v>
      </c>
      <c r="H13" s="38">
        <v>1</v>
      </c>
      <c r="I13" s="38">
        <v>1</v>
      </c>
      <c r="J13" s="6">
        <v>1</v>
      </c>
      <c r="K13" s="5" t="s">
        <v>119</v>
      </c>
    </row>
    <row r="14" spans="2:11" ht="172.8">
      <c r="B14" s="4" t="s">
        <v>76</v>
      </c>
      <c r="C14" s="27">
        <v>0</v>
      </c>
      <c r="D14" s="2" t="s">
        <v>3</v>
      </c>
      <c r="E14" s="38" t="s">
        <v>59</v>
      </c>
      <c r="F14" s="38" t="s">
        <v>86</v>
      </c>
      <c r="G14" s="2" t="s">
        <v>41</v>
      </c>
      <c r="H14" s="38">
        <v>1</v>
      </c>
      <c r="I14" s="38">
        <v>1</v>
      </c>
      <c r="J14" s="6">
        <v>1</v>
      </c>
      <c r="K14" s="5" t="s">
        <v>120</v>
      </c>
    </row>
    <row r="15" spans="2:11" ht="158.4">
      <c r="B15" s="4" t="s">
        <v>90</v>
      </c>
      <c r="C15" s="27">
        <v>1</v>
      </c>
      <c r="D15" s="2" t="s">
        <v>3</v>
      </c>
      <c r="E15" s="38" t="s">
        <v>59</v>
      </c>
      <c r="F15" s="38" t="s">
        <v>86</v>
      </c>
      <c r="G15" s="2" t="s">
        <v>41</v>
      </c>
      <c r="H15" s="38">
        <v>1</v>
      </c>
      <c r="I15" s="38">
        <v>1</v>
      </c>
      <c r="J15" s="6">
        <v>1</v>
      </c>
      <c r="K15" s="5" t="s">
        <v>123</v>
      </c>
    </row>
    <row r="16" spans="2:11" ht="172.8">
      <c r="B16" s="4" t="s">
        <v>91</v>
      </c>
      <c r="C16" s="27">
        <v>1</v>
      </c>
      <c r="D16" s="2"/>
      <c r="E16" s="38" t="s">
        <v>59</v>
      </c>
      <c r="F16" s="38" t="s">
        <v>86</v>
      </c>
      <c r="G16" s="2" t="s">
        <v>41</v>
      </c>
      <c r="H16" s="38">
        <v>1</v>
      </c>
      <c r="I16" s="38">
        <v>1</v>
      </c>
      <c r="J16" s="6">
        <v>1</v>
      </c>
      <c r="K16" s="5" t="s">
        <v>132</v>
      </c>
    </row>
    <row r="17" spans="2:11" ht="158.4">
      <c r="B17" s="4" t="s">
        <v>92</v>
      </c>
      <c r="C17" s="27"/>
      <c r="D17" s="2"/>
      <c r="E17" s="38" t="s">
        <v>59</v>
      </c>
      <c r="F17" s="38" t="s">
        <v>86</v>
      </c>
      <c r="G17" s="2" t="s">
        <v>41</v>
      </c>
      <c r="H17" s="38">
        <v>1</v>
      </c>
      <c r="I17" s="38">
        <v>1</v>
      </c>
      <c r="J17" s="6">
        <v>0</v>
      </c>
      <c r="K17" s="5" t="s">
        <v>121</v>
      </c>
    </row>
    <row r="18" spans="2:11" ht="158.4">
      <c r="B18" s="4" t="s">
        <v>93</v>
      </c>
      <c r="C18" s="27"/>
      <c r="D18" s="2"/>
      <c r="E18" s="38" t="s">
        <v>59</v>
      </c>
      <c r="F18" s="38" t="s">
        <v>86</v>
      </c>
      <c r="G18" s="2" t="s">
        <v>41</v>
      </c>
      <c r="H18" s="38">
        <v>1</v>
      </c>
      <c r="I18" s="38">
        <v>1</v>
      </c>
      <c r="J18" s="6">
        <v>0</v>
      </c>
      <c r="K18" s="5" t="s">
        <v>121</v>
      </c>
    </row>
    <row r="19" spans="2:11" ht="158.4">
      <c r="B19" s="4" t="s">
        <v>94</v>
      </c>
      <c r="C19" s="27"/>
      <c r="D19" s="2"/>
      <c r="E19" s="38" t="s">
        <v>59</v>
      </c>
      <c r="F19" s="38" t="s">
        <v>86</v>
      </c>
      <c r="G19" s="2" t="s">
        <v>41</v>
      </c>
      <c r="H19" s="38">
        <v>1</v>
      </c>
      <c r="I19" s="38">
        <v>1</v>
      </c>
      <c r="J19" s="6">
        <v>0</v>
      </c>
      <c r="K19" s="5" t="s">
        <v>121</v>
      </c>
    </row>
    <row r="20" spans="2:11">
      <c r="B20" s="8" t="s">
        <v>82</v>
      </c>
      <c r="C20" s="28"/>
      <c r="D20" s="9"/>
      <c r="E20" s="10"/>
      <c r="F20" s="10"/>
      <c r="G20" s="9"/>
      <c r="H20" s="10">
        <v>1</v>
      </c>
      <c r="I20" s="10">
        <v>1</v>
      </c>
      <c r="J20" s="11">
        <v>0</v>
      </c>
      <c r="K20" s="12" t="s">
        <v>83</v>
      </c>
    </row>
  </sheetData>
  <sheetProtection algorithmName="SHA-512" hashValue="kgdzANmCXIw8PVtqZhlCDPVt48jwAdm5fKAdGBgqd4p7vEBpmtJ+SYAyldE6VNSgftc5WWEAu58aDEDToqIjdA==" saltValue="kZopnqHBl3LJLsZOeHSVOA==" spinCount="100000" sheet="1" objects="1" scenarios="1" selectLockedCells="1"/>
  <mergeCells count="2">
    <mergeCell ref="B3:K3"/>
    <mergeCell ref="K4:K8"/>
  </mergeCells>
  <phoneticPr fontId="1" type="noConversion"/>
  <conditionalFormatting sqref="C10:C20">
    <cfRule type="expression" dxfId="19" priority="1">
      <formula>IF(AND($C10&lt;&gt;"",$J10=0),1,0)</formula>
    </cfRule>
    <cfRule type="expression" dxfId="18" priority="2">
      <formula>IF($C10&lt;&gt;"",1,0)</formula>
    </cfRule>
    <cfRule type="expression" dxfId="17" priority="8">
      <formula>$J10 = 0</formula>
    </cfRule>
  </conditionalFormatting>
  <conditionalFormatting sqref="K4">
    <cfRule type="expression" dxfId="16" priority="1910">
      <formula>IF(COUNTA($C$10:$C$20)&lt;&gt;COUNTIF($J$10:$J$20,1),1,0)</formula>
    </cfRule>
    <cfRule type="expression" dxfId="15" priority="1911">
      <formula>IF(COUNTA($C$10:$C$20)=COUNTIF($J$10:$J$20,1),1,0)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1</xdr:col>
                    <xdr:colOff>175260</xdr:colOff>
                    <xdr:row>4</xdr:row>
                    <xdr:rowOff>76200</xdr:rowOff>
                  </from>
                  <to>
                    <xdr:col>2</xdr:col>
                    <xdr:colOff>922020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2</xdr:col>
                    <xdr:colOff>1021080</xdr:colOff>
                    <xdr:row>4</xdr:row>
                    <xdr:rowOff>76200</xdr:rowOff>
                  </from>
                  <to>
                    <xdr:col>4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4</xdr:col>
                    <xdr:colOff>137160</xdr:colOff>
                    <xdr:row>4</xdr:row>
                    <xdr:rowOff>76200</xdr:rowOff>
                  </from>
                  <to>
                    <xdr:col>5</xdr:col>
                    <xdr:colOff>396240</xdr:colOff>
                    <xdr:row>6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6C3A73A-B6B2-43B7-8595-D4931E22BD65}">
          <x14:formula1>
            <xm:f>Reference!$G$2:$G$12</xm:f>
          </x14:formula1>
          <xm:sqref>C14:C19</xm:sqref>
        </x14:dataValidation>
        <x14:dataValidation type="list" allowBlank="1" showInputMessage="1" showErrorMessage="1" promptTitle="Isotherm Model Specification" prompt="0 = custom isotherm, 1 = linear isotherm, 2 = extended Langmuir isotherm, 3, 4, 5, 6, 7, 8, 9 -&gt; TBD" xr:uid="{855C3F17-8723-4266-BB46-571EAC30DF3F}">
          <x14:formula1>
            <xm:f>Reference!$G$2:$G$12</xm:f>
          </x14:formula1>
          <xm:sqref>C10</xm:sqref>
        </x14:dataValidation>
        <x14:dataValidation type="list" allowBlank="1" showInputMessage="1" showErrorMessage="1" promptTitle="Rate Model Specification" prompt="0 = custom rate model, 1 = LDF adsorption kinetics model, 2 = MS-LDF adsorption kinetics model, 3, 4, 5, 6, 7, 8, 9 -&gt; TBD" xr:uid="{2C55464B-383C-4320-95E4-D9F745A8F77F}">
          <x14:formula1>
            <xm:f>Reference!$G$2:$G$12</xm:f>
          </x14:formula1>
          <xm:sqref>C11</xm:sqref>
        </x14:dataValidation>
        <x14:dataValidation type="list" allowBlank="1" showInputMessage="1" showErrorMessage="1" promptTitle="EOS Model Specification" prompt="0 = custom EOS, 1 = ideal gas law 2, 3, 4, 5, 6, 7, 8, 9 -&gt; TBD" xr:uid="{F1257DA9-225B-42E9-BAE5-6A8C1355F643}">
          <x14:formula1>
            <xm:f>Reference!$G$2:$G$12</xm:f>
          </x14:formula1>
          <xm:sqref>C12</xm:sqref>
        </x14:dataValidation>
        <x14:dataValidation type="list" allowBlank="1" showInputMessage="1" showErrorMessage="1" promptTitle="Valve Model Specification" prompt="0 = custom valve, 1 = a linear valve, 2, 3, 4, 5, 6, 7, 8, 9 -&gt; TBD" xr:uid="{C8A58468-2EF4-4D0C-915F-EDA728A186BA}">
          <x14:formula1>
            <xm:f>Reference!$G$2:$G$12</xm:f>
          </x14:formula1>
          <xm:sqref>C13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F10:F20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E10:E20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G10:G20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defaultColWidth="0" defaultRowHeight="0" customHeight="1" zeroHeight="1"/>
  <cols>
    <col min="1" max="2" width="8.88671875" style="52" customWidth="1"/>
    <col min="3" max="3" width="13.109375" style="52" customWidth="1"/>
    <col min="4" max="4" width="13.44140625" style="52" customWidth="1"/>
    <col min="5" max="6" width="8.88671875" style="52" customWidth="1"/>
    <col min="7" max="7" width="14.77734375" style="52" customWidth="1"/>
    <col min="8" max="8" width="11.6640625" style="52" customWidth="1"/>
    <col min="9" max="9" width="10.33203125" style="52" customWidth="1"/>
    <col min="10" max="10" width="5.6640625" style="52" customWidth="1"/>
    <col min="11" max="11" width="10.5546875" style="52" customWidth="1"/>
    <col min="12" max="17" width="8.88671875" style="52" customWidth="1"/>
    <col min="18" max="16384" width="8.88671875" style="52" hidden="1"/>
  </cols>
  <sheetData>
    <row r="1" spans="1:17" ht="14.4">
      <c r="A1" s="49" t="str">
        <f>'[1]Revision History'!D4</f>
        <v>REV. NO.1 (6/8/2022)</v>
      </c>
      <c r="B1" s="50"/>
      <c r="C1" s="50"/>
      <c r="D1" s="50"/>
      <c r="E1" s="50"/>
      <c r="F1" s="50"/>
      <c r="G1" s="50"/>
      <c r="H1" s="50"/>
      <c r="I1" s="51"/>
      <c r="J1" s="51"/>
      <c r="K1" s="51"/>
      <c r="L1" s="51"/>
      <c r="M1" s="51"/>
      <c r="N1" s="51"/>
      <c r="O1" s="51"/>
      <c r="P1" s="51"/>
      <c r="Q1" s="51" t="str">
        <f>'[2]Revision History'!$J$4</f>
        <v>Scott Research Group (jkscottresearchgroup.com)</v>
      </c>
    </row>
    <row r="2" spans="1:17" ht="14.4">
      <c r="A2" s="68" t="s">
        <v>138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</row>
    <row r="3" spans="1:17" ht="14.4">
      <c r="A3" s="53"/>
      <c r="B3" s="54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</row>
    <row r="4" spans="1:17" ht="14.4">
      <c r="A4" s="53"/>
      <c r="B4" s="54" t="s">
        <v>137</v>
      </c>
      <c r="C4" s="54"/>
      <c r="D4" s="54"/>
      <c r="E4" s="54"/>
      <c r="F4" s="54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</row>
    <row r="5" spans="1:17" ht="14.4">
      <c r="A5" s="53"/>
      <c r="B5" s="55"/>
      <c r="C5" s="54"/>
      <c r="D5" s="54"/>
      <c r="E5" s="54"/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</row>
    <row r="6" spans="1:17" ht="14.4">
      <c r="A6" s="53"/>
      <c r="B6" s="54"/>
      <c r="C6" s="54"/>
      <c r="D6" s="54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</row>
    <row r="7" spans="1:17" ht="14.4">
      <c r="A7" s="53"/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</row>
    <row r="8" spans="1:17" ht="14.4">
      <c r="A8" s="53"/>
      <c r="B8" s="54"/>
      <c r="C8" s="54"/>
      <c r="D8" s="54"/>
      <c r="E8" s="54"/>
      <c r="F8" s="54"/>
      <c r="G8" s="54"/>
      <c r="H8" s="54"/>
      <c r="I8" s="54"/>
      <c r="J8" s="54"/>
      <c r="K8" s="54"/>
      <c r="L8" s="54"/>
      <c r="M8" s="54"/>
      <c r="N8" s="54"/>
      <c r="O8" s="54"/>
      <c r="P8" s="54"/>
      <c r="Q8" s="54"/>
    </row>
    <row r="9" spans="1:17" ht="14.4">
      <c r="A9" s="53"/>
      <c r="B9" s="54"/>
      <c r="C9" s="54"/>
      <c r="D9" s="54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</row>
    <row r="10" spans="1:17" ht="14.4">
      <c r="A10" s="53"/>
      <c r="B10" s="54"/>
      <c r="C10" s="54"/>
      <c r="D10" s="54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</row>
    <row r="11" spans="1:17" ht="14.4">
      <c r="A11" s="53"/>
      <c r="B11" s="54"/>
      <c r="C11" s="54"/>
      <c r="D11" s="54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</row>
    <row r="12" spans="1:17" ht="14.4">
      <c r="A12" s="53"/>
      <c r="B12" s="54"/>
      <c r="C12" s="54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</row>
    <row r="13" spans="1:17" ht="14.4">
      <c r="A13" s="53"/>
      <c r="B13" s="54"/>
      <c r="C13" s="54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</row>
    <row r="14" spans="1:17" ht="14.4">
      <c r="A14" s="53"/>
      <c r="B14" s="54"/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</row>
    <row r="15" spans="1:17" ht="14.4">
      <c r="A15" s="53"/>
      <c r="B15" s="54"/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</row>
    <row r="16" spans="1:17" ht="14.4">
      <c r="A16" s="53"/>
      <c r="B16" s="54"/>
      <c r="C16" s="54"/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</row>
    <row r="17" spans="1:17" ht="14.4">
      <c r="A17" s="53"/>
      <c r="B17" s="54"/>
      <c r="C17" s="54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</row>
    <row r="18" spans="1:17" ht="14.4">
      <c r="A18" s="68" t="s">
        <v>139</v>
      </c>
      <c r="B18" s="69"/>
      <c r="C18" s="69"/>
      <c r="D18" s="69"/>
      <c r="E18" s="69"/>
      <c r="F18" s="69"/>
      <c r="G18" s="69"/>
      <c r="H18" s="69"/>
      <c r="I18" s="69"/>
      <c r="J18" s="69"/>
      <c r="K18" s="69"/>
      <c r="L18" s="69"/>
      <c r="M18" s="69"/>
      <c r="N18" s="69"/>
      <c r="O18" s="69"/>
      <c r="P18" s="69"/>
      <c r="Q18" s="69"/>
    </row>
    <row r="19" spans="1:17" ht="14.4">
      <c r="A19" s="53"/>
      <c r="B19" s="54"/>
      <c r="C19" s="54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O19" s="54"/>
      <c r="P19" s="54"/>
      <c r="Q19" s="54"/>
    </row>
    <row r="20" spans="1:17" ht="14.4">
      <c r="A20" s="53"/>
      <c r="B20" s="54" t="s">
        <v>137</v>
      </c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54"/>
    </row>
    <row r="21" spans="1:17" ht="14.4">
      <c r="A21" s="53"/>
      <c r="B21" s="54"/>
      <c r="C21" s="54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</row>
    <row r="22" spans="1:17" ht="14.4">
      <c r="A22" s="53"/>
      <c r="B22" s="54"/>
      <c r="C22" s="54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O22" s="54"/>
      <c r="P22" s="54"/>
      <c r="Q22" s="54"/>
    </row>
    <row r="23" spans="1:17" ht="14.4">
      <c r="A23" s="53"/>
      <c r="B23" s="54"/>
      <c r="C23" s="54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54"/>
    </row>
    <row r="24" spans="1:17" ht="14.4">
      <c r="A24" s="53"/>
      <c r="B24" s="54"/>
      <c r="C24" s="54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</row>
    <row r="25" spans="1:17" ht="14.4">
      <c r="A25" s="53"/>
      <c r="B25" s="54"/>
      <c r="C25" s="54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</row>
    <row r="26" spans="1:17" ht="14.4">
      <c r="A26" s="53"/>
      <c r="B26" s="54"/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</row>
    <row r="27" spans="1:17" ht="14.4">
      <c r="A27" s="53"/>
      <c r="B27" s="54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</row>
    <row r="28" spans="1:17" ht="14.4">
      <c r="A28" s="53"/>
      <c r="B28" s="54"/>
      <c r="C28" s="54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4"/>
    </row>
    <row r="29" spans="1:17" ht="14.4">
      <c r="A29" s="53"/>
      <c r="B29" s="54"/>
      <c r="C29" s="54"/>
      <c r="D29" s="54"/>
      <c r="E29" s="54"/>
      <c r="F29" s="54"/>
      <c r="G29" s="54"/>
      <c r="H29" s="54"/>
      <c r="I29" s="54"/>
      <c r="J29" s="54"/>
      <c r="K29" s="54"/>
      <c r="L29" s="54"/>
      <c r="M29" s="54"/>
      <c r="N29" s="54"/>
      <c r="O29" s="54"/>
      <c r="P29" s="54"/>
      <c r="Q29" s="54"/>
    </row>
    <row r="30" spans="1:17" ht="14.4">
      <c r="A30" s="53"/>
      <c r="B30" s="54"/>
      <c r="C30" s="54"/>
      <c r="D30" s="54"/>
      <c r="E30" s="54"/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</row>
    <row r="31" spans="1:17" ht="14.4">
      <c r="A31" s="53"/>
      <c r="B31" s="54"/>
      <c r="C31" s="54"/>
      <c r="D31" s="54"/>
      <c r="E31" s="54"/>
      <c r="F31" s="54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</row>
    <row r="32" spans="1:17" ht="14.4">
      <c r="A32" s="53"/>
      <c r="B32" s="55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4"/>
      <c r="N32" s="54"/>
      <c r="O32" s="54"/>
      <c r="P32" s="54"/>
      <c r="Q32" s="54"/>
    </row>
    <row r="33" spans="1:17" ht="14.4">
      <c r="A33" s="53"/>
      <c r="B33" s="54"/>
      <c r="C33" s="54"/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</row>
    <row r="34" spans="1:17" ht="14.4">
      <c r="A34" s="53"/>
      <c r="B34" s="54"/>
      <c r="C34" s="54"/>
      <c r="D34" s="54"/>
      <c r="E34" s="54"/>
      <c r="F34" s="54"/>
      <c r="G34" s="54"/>
      <c r="H34" s="54"/>
      <c r="I34" s="54"/>
      <c r="J34" s="54"/>
      <c r="K34" s="54"/>
      <c r="L34" s="54"/>
      <c r="M34" s="54"/>
      <c r="N34" s="54"/>
      <c r="O34" s="54"/>
      <c r="P34" s="54"/>
      <c r="Q34" s="54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AE03C-2F03-42EB-A4DF-DAB1EBCA33EA}">
  <sheetPr codeName="Sheet2">
    <tabColor rgb="FF00B050"/>
  </sheetPr>
  <dimension ref="A1:AV52"/>
  <sheetViews>
    <sheetView showGridLines="0" topLeftCell="A4" zoomScale="85" zoomScaleNormal="85" zoomScaleSheetLayoutView="55" workbookViewId="0">
      <selection activeCell="D4" sqref="D4:J4"/>
    </sheetView>
  </sheetViews>
  <sheetFormatPr defaultColWidth="0" defaultRowHeight="14.4" customHeight="1" zeroHeight="1"/>
  <cols>
    <col min="1" max="18" width="8.88671875" style="56" customWidth="1"/>
    <col min="19" max="48" width="0" style="56" hidden="1" customWidth="1"/>
    <col min="49" max="16384" width="8.88671875" style="56" hidden="1"/>
  </cols>
  <sheetData>
    <row r="1" spans="1:18">
      <c r="A1" s="49" t="str">
        <f>'[1]Revision History'!D4</f>
        <v>REV. NO.1 (6/8/2022)</v>
      </c>
      <c r="B1" s="50"/>
      <c r="C1" s="50"/>
      <c r="D1" s="50"/>
      <c r="E1" s="50"/>
      <c r="F1" s="50"/>
      <c r="G1" s="50"/>
      <c r="H1" s="50"/>
      <c r="I1" s="50"/>
      <c r="J1" s="51"/>
      <c r="K1" s="51"/>
      <c r="L1" s="51"/>
      <c r="M1" s="51"/>
      <c r="N1" s="51"/>
      <c r="O1" s="51"/>
      <c r="P1" s="51"/>
      <c r="Q1" s="51"/>
      <c r="R1" s="51" t="str">
        <f>'[2]Revision History'!$J$4</f>
        <v>Scott Research Group (jkscottresearchgroup.com)</v>
      </c>
    </row>
    <row r="2" spans="1:18">
      <c r="A2" s="57" t="s">
        <v>136</v>
      </c>
      <c r="B2" s="58"/>
      <c r="C2" s="58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60"/>
    </row>
    <row r="3" spans="1:18">
      <c r="A3" s="53"/>
      <c r="B3" s="54"/>
      <c r="C3" s="61"/>
      <c r="D3" s="61"/>
      <c r="E3" s="61"/>
      <c r="F3" s="61"/>
      <c r="G3" s="61"/>
      <c r="H3" s="61"/>
      <c r="I3" s="61"/>
      <c r="J3" s="61"/>
      <c r="K3" s="61"/>
      <c r="L3" s="61"/>
      <c r="M3" s="61"/>
      <c r="N3" s="61"/>
      <c r="O3" s="61"/>
      <c r="P3" s="61"/>
      <c r="Q3" s="61"/>
      <c r="R3" s="62"/>
    </row>
    <row r="4" spans="1:18">
      <c r="A4" s="53"/>
      <c r="B4" s="54"/>
      <c r="C4" s="61"/>
      <c r="D4" s="61"/>
      <c r="E4" s="61"/>
      <c r="F4" s="61"/>
      <c r="G4" s="61"/>
      <c r="H4" s="61"/>
      <c r="I4" s="61"/>
      <c r="J4" s="61"/>
      <c r="K4" s="61"/>
      <c r="L4" s="61"/>
      <c r="M4" s="61"/>
      <c r="N4" s="61"/>
      <c r="O4" s="61"/>
      <c r="P4" s="61"/>
      <c r="Q4" s="61"/>
      <c r="R4" s="62"/>
    </row>
    <row r="5" spans="1:18">
      <c r="A5" s="53"/>
      <c r="B5" s="54"/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2"/>
    </row>
    <row r="6" spans="1:18">
      <c r="A6" s="53"/>
      <c r="B6" s="54"/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2"/>
    </row>
    <row r="7" spans="1:18">
      <c r="A7" s="53"/>
      <c r="B7" s="54"/>
      <c r="C7" s="61"/>
      <c r="D7" s="61"/>
      <c r="E7" s="61"/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2"/>
    </row>
    <row r="8" spans="1:18">
      <c r="A8" s="53"/>
      <c r="B8" s="54"/>
      <c r="C8" s="61"/>
      <c r="D8" s="61"/>
      <c r="E8" s="61"/>
      <c r="F8" s="61"/>
      <c r="G8" s="61"/>
      <c r="H8" s="61"/>
      <c r="I8" s="61"/>
      <c r="J8" s="61"/>
      <c r="K8" s="61"/>
      <c r="L8" s="61"/>
      <c r="M8" s="61"/>
      <c r="N8" s="61"/>
      <c r="O8" s="61"/>
      <c r="P8" s="61"/>
      <c r="Q8" s="61"/>
      <c r="R8" s="62"/>
    </row>
    <row r="9" spans="1:18">
      <c r="A9" s="53"/>
      <c r="B9" s="54"/>
      <c r="C9" s="61"/>
      <c r="D9" s="61"/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2"/>
    </row>
    <row r="10" spans="1:18">
      <c r="A10" s="53"/>
      <c r="B10" s="54"/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61"/>
      <c r="P10" s="61"/>
      <c r="Q10" s="61"/>
      <c r="R10" s="62"/>
    </row>
    <row r="11" spans="1:18">
      <c r="A11" s="53"/>
      <c r="B11" s="54"/>
      <c r="C11" s="61"/>
      <c r="D11" s="61"/>
      <c r="E11" s="61"/>
      <c r="F11" s="61"/>
      <c r="G11" s="61"/>
      <c r="H11" s="61"/>
      <c r="I11" s="61"/>
      <c r="J11" s="61"/>
      <c r="K11" s="61"/>
      <c r="L11" s="61"/>
      <c r="M11" s="61"/>
      <c r="N11" s="61"/>
      <c r="O11" s="61"/>
      <c r="P11" s="61"/>
      <c r="Q11" s="61"/>
      <c r="R11" s="62"/>
    </row>
    <row r="12" spans="1:18">
      <c r="A12" s="53"/>
      <c r="B12" s="54"/>
      <c r="C12" s="61"/>
      <c r="D12" s="61"/>
      <c r="E12" s="61"/>
      <c r="F12" s="61"/>
      <c r="G12" s="61"/>
      <c r="H12" s="61"/>
      <c r="I12" s="61"/>
      <c r="J12" s="61"/>
      <c r="K12" s="61"/>
      <c r="L12" s="61"/>
      <c r="M12" s="61"/>
      <c r="N12" s="61"/>
      <c r="O12" s="61"/>
      <c r="P12" s="61"/>
      <c r="Q12" s="61"/>
      <c r="R12" s="62"/>
    </row>
    <row r="13" spans="1:18">
      <c r="A13" s="53"/>
      <c r="B13" s="54"/>
      <c r="C13" s="61"/>
      <c r="D13" s="61"/>
      <c r="E13" s="61"/>
      <c r="F13" s="61"/>
      <c r="G13" s="61"/>
      <c r="H13" s="61"/>
      <c r="I13" s="61"/>
      <c r="J13" s="61"/>
      <c r="K13" s="61"/>
      <c r="L13" s="61"/>
      <c r="M13" s="61"/>
      <c r="N13" s="61"/>
      <c r="O13" s="61"/>
      <c r="P13" s="61"/>
      <c r="Q13" s="61"/>
      <c r="R13" s="62"/>
    </row>
    <row r="14" spans="1:18">
      <c r="A14" s="53"/>
      <c r="B14" s="54"/>
      <c r="C14" s="61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2"/>
    </row>
    <row r="15" spans="1:18">
      <c r="A15" s="53"/>
      <c r="B15" s="54"/>
      <c r="C15" s="61"/>
      <c r="D15" s="61"/>
      <c r="E15" s="61"/>
      <c r="F15" s="61"/>
      <c r="G15" s="61"/>
      <c r="H15" s="61"/>
      <c r="I15" s="61"/>
      <c r="J15" s="61"/>
      <c r="K15" s="61"/>
      <c r="L15" s="61"/>
      <c r="M15" s="61"/>
      <c r="N15" s="61"/>
      <c r="O15" s="61"/>
      <c r="P15" s="61"/>
      <c r="Q15" s="61"/>
      <c r="R15" s="62"/>
    </row>
    <row r="16" spans="1:18">
      <c r="A16" s="53"/>
      <c r="B16" s="54"/>
      <c r="C16" s="61"/>
      <c r="D16" s="61"/>
      <c r="E16" s="61"/>
      <c r="F16" s="61"/>
      <c r="G16" s="61"/>
      <c r="H16" s="61"/>
      <c r="I16" s="61"/>
      <c r="J16" s="61"/>
      <c r="K16" s="61"/>
      <c r="L16" s="61"/>
      <c r="M16" s="61"/>
      <c r="N16" s="61"/>
      <c r="O16" s="61"/>
      <c r="P16" s="61"/>
      <c r="Q16" s="61"/>
      <c r="R16" s="62"/>
    </row>
    <row r="17" spans="1:18">
      <c r="A17" s="53"/>
      <c r="B17" s="54"/>
      <c r="C17" s="61"/>
      <c r="D17" s="61"/>
      <c r="E17" s="61"/>
      <c r="F17" s="61"/>
      <c r="G17" s="61"/>
      <c r="H17" s="61"/>
      <c r="I17" s="61"/>
      <c r="J17" s="61"/>
      <c r="K17" s="61"/>
      <c r="L17" s="61"/>
      <c r="M17" s="61"/>
      <c r="N17" s="61"/>
      <c r="O17" s="61"/>
      <c r="P17" s="61"/>
      <c r="Q17" s="61"/>
      <c r="R17" s="62"/>
    </row>
    <row r="18" spans="1:18">
      <c r="A18" s="53"/>
      <c r="B18" s="54"/>
      <c r="C18" s="61"/>
      <c r="D18" s="61"/>
      <c r="E18" s="61"/>
      <c r="F18" s="61"/>
      <c r="G18" s="61"/>
      <c r="H18" s="61"/>
      <c r="I18" s="61"/>
      <c r="J18" s="61"/>
      <c r="K18" s="61"/>
      <c r="L18" s="61"/>
      <c r="M18" s="61"/>
      <c r="N18" s="61"/>
      <c r="O18" s="61"/>
      <c r="P18" s="61"/>
      <c r="Q18" s="61"/>
      <c r="R18" s="62"/>
    </row>
    <row r="19" spans="1:18">
      <c r="A19" s="53"/>
      <c r="B19" s="54"/>
      <c r="C19" s="61"/>
      <c r="D19" s="61"/>
      <c r="E19" s="61"/>
      <c r="F19" s="61"/>
      <c r="G19" s="61"/>
      <c r="H19" s="61"/>
      <c r="I19" s="61"/>
      <c r="J19" s="61"/>
      <c r="K19" s="61"/>
      <c r="L19" s="61"/>
      <c r="M19" s="61"/>
      <c r="N19" s="61"/>
      <c r="O19" s="61"/>
      <c r="P19" s="61"/>
      <c r="Q19" s="61"/>
      <c r="R19" s="62"/>
    </row>
    <row r="20" spans="1:18">
      <c r="A20" s="53"/>
      <c r="B20" s="54"/>
      <c r="C20" s="61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2"/>
    </row>
    <row r="21" spans="1:18">
      <c r="A21" s="53"/>
      <c r="B21" s="54"/>
      <c r="C21" s="61"/>
      <c r="D21" s="61"/>
      <c r="E21" s="61"/>
      <c r="F21" s="61"/>
      <c r="G21" s="61"/>
      <c r="H21" s="61"/>
      <c r="I21" s="61"/>
      <c r="J21" s="61"/>
      <c r="K21" s="61"/>
      <c r="L21" s="61"/>
      <c r="M21" s="61"/>
      <c r="N21" s="61"/>
      <c r="O21" s="61"/>
      <c r="P21" s="61"/>
      <c r="Q21" s="61"/>
      <c r="R21" s="62"/>
    </row>
    <row r="22" spans="1:18">
      <c r="A22" s="53"/>
      <c r="B22" s="54"/>
      <c r="C22" s="61"/>
      <c r="D22" s="61"/>
      <c r="E22" s="61"/>
      <c r="F22" s="61"/>
      <c r="G22" s="61"/>
      <c r="H22" s="61"/>
      <c r="I22" s="61"/>
      <c r="J22" s="61"/>
      <c r="K22" s="61"/>
      <c r="L22" s="61"/>
      <c r="M22" s="61"/>
      <c r="N22" s="61"/>
      <c r="O22" s="61"/>
      <c r="P22" s="61"/>
      <c r="Q22" s="61"/>
      <c r="R22" s="62"/>
    </row>
    <row r="23" spans="1:18">
      <c r="A23" s="53"/>
      <c r="B23" s="54"/>
      <c r="C23" s="61"/>
      <c r="D23" s="61"/>
      <c r="E23" s="61"/>
      <c r="F23" s="61"/>
      <c r="G23" s="61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2"/>
    </row>
    <row r="24" spans="1:18">
      <c r="A24" s="53"/>
      <c r="B24" s="54"/>
      <c r="C24" s="61"/>
      <c r="D24" s="61"/>
      <c r="E24" s="61"/>
      <c r="F24" s="61"/>
      <c r="G24" s="61"/>
      <c r="H24" s="61"/>
      <c r="I24" s="61"/>
      <c r="J24" s="61"/>
      <c r="K24" s="61"/>
      <c r="L24" s="61"/>
      <c r="M24" s="61"/>
      <c r="N24" s="61"/>
      <c r="O24" s="61"/>
      <c r="P24" s="61"/>
      <c r="Q24" s="61"/>
      <c r="R24" s="62"/>
    </row>
    <row r="25" spans="1:18">
      <c r="A25" s="53"/>
      <c r="B25" s="54"/>
      <c r="C25" s="61"/>
      <c r="D25" s="61"/>
      <c r="E25" s="61"/>
      <c r="F25" s="61"/>
      <c r="G25" s="61"/>
      <c r="H25" s="61"/>
      <c r="I25" s="61"/>
      <c r="J25" s="61"/>
      <c r="K25" s="61"/>
      <c r="L25" s="61"/>
      <c r="M25" s="61"/>
      <c r="N25" s="61"/>
      <c r="O25" s="61"/>
      <c r="P25" s="61"/>
      <c r="Q25" s="61"/>
      <c r="R25" s="62"/>
    </row>
    <row r="26" spans="1:18">
      <c r="A26" s="53"/>
      <c r="B26" s="54"/>
      <c r="C26" s="61"/>
      <c r="D26" s="61"/>
      <c r="E26" s="61"/>
      <c r="F26" s="61"/>
      <c r="G26" s="61"/>
      <c r="H26" s="61"/>
      <c r="I26" s="61"/>
      <c r="J26" s="61"/>
      <c r="K26" s="61"/>
      <c r="L26" s="61"/>
      <c r="M26" s="61"/>
      <c r="N26" s="61"/>
      <c r="O26" s="61"/>
      <c r="P26" s="61"/>
      <c r="Q26" s="61"/>
      <c r="R26" s="62"/>
    </row>
    <row r="27" spans="1:18">
      <c r="A27" s="53"/>
      <c r="B27" s="54"/>
      <c r="C27" s="61"/>
      <c r="D27" s="61"/>
      <c r="E27" s="61"/>
      <c r="F27" s="61"/>
      <c r="G27" s="61"/>
      <c r="H27" s="61"/>
      <c r="I27" s="61"/>
      <c r="J27" s="61"/>
      <c r="K27" s="61"/>
      <c r="L27" s="61"/>
      <c r="M27" s="61"/>
      <c r="N27" s="61"/>
      <c r="O27" s="61"/>
      <c r="P27" s="61"/>
      <c r="Q27" s="61"/>
      <c r="R27" s="62"/>
    </row>
    <row r="28" spans="1:18">
      <c r="A28" s="53"/>
      <c r="B28" s="54"/>
      <c r="C28" s="61"/>
      <c r="D28" s="61"/>
      <c r="E28" s="61"/>
      <c r="F28" s="61"/>
      <c r="G28" s="61"/>
      <c r="H28" s="61"/>
      <c r="I28" s="61"/>
      <c r="J28" s="61"/>
      <c r="K28" s="61"/>
      <c r="L28" s="61"/>
      <c r="M28" s="61"/>
      <c r="N28" s="61"/>
      <c r="O28" s="61"/>
      <c r="P28" s="61"/>
      <c r="Q28" s="61"/>
      <c r="R28" s="62"/>
    </row>
    <row r="29" spans="1:18">
      <c r="A29" s="53"/>
      <c r="B29" s="54"/>
      <c r="C29" s="61"/>
      <c r="D29" s="61"/>
      <c r="E29" s="61"/>
      <c r="F29" s="61"/>
      <c r="G29" s="61"/>
      <c r="H29" s="61"/>
      <c r="I29" s="61"/>
      <c r="J29" s="61"/>
      <c r="K29" s="61"/>
      <c r="L29" s="61"/>
      <c r="M29" s="61"/>
      <c r="N29" s="61"/>
      <c r="O29" s="61"/>
      <c r="P29" s="61"/>
      <c r="Q29" s="61"/>
      <c r="R29" s="62"/>
    </row>
    <row r="30" spans="1:18">
      <c r="A30" s="53"/>
      <c r="B30" s="54"/>
      <c r="C30" s="61"/>
      <c r="D30" s="61"/>
      <c r="E30" s="61"/>
      <c r="F30" s="61"/>
      <c r="G30" s="61"/>
      <c r="H30" s="61"/>
      <c r="I30" s="61"/>
      <c r="J30" s="61"/>
      <c r="K30" s="61"/>
      <c r="L30" s="61"/>
      <c r="M30" s="61"/>
      <c r="N30" s="61"/>
      <c r="O30" s="61"/>
      <c r="P30" s="61"/>
      <c r="Q30" s="61"/>
      <c r="R30" s="62"/>
    </row>
    <row r="31" spans="1:18">
      <c r="A31" s="53"/>
      <c r="B31" s="54"/>
      <c r="C31" s="61"/>
      <c r="D31" s="61"/>
      <c r="E31" s="61"/>
      <c r="F31" s="61"/>
      <c r="G31" s="61"/>
      <c r="H31" s="61"/>
      <c r="I31" s="61"/>
      <c r="J31" s="61"/>
      <c r="K31" s="61"/>
      <c r="L31" s="61"/>
      <c r="M31" s="61"/>
      <c r="N31" s="61"/>
      <c r="O31" s="61"/>
      <c r="P31" s="61"/>
      <c r="Q31" s="61"/>
      <c r="R31" s="62"/>
    </row>
    <row r="32" spans="1:18">
      <c r="A32" s="53"/>
      <c r="B32" s="54"/>
      <c r="C32" s="61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2"/>
    </row>
    <row r="33" spans="1:18">
      <c r="A33" s="53"/>
      <c r="B33" s="54"/>
      <c r="C33" s="61"/>
      <c r="D33" s="61"/>
      <c r="E33" s="61"/>
      <c r="F33" s="61"/>
      <c r="G33" s="61"/>
      <c r="H33" s="61"/>
      <c r="I33" s="61"/>
      <c r="J33" s="61"/>
      <c r="K33" s="61"/>
      <c r="L33" s="61"/>
      <c r="M33" s="61"/>
      <c r="N33" s="61"/>
      <c r="O33" s="61"/>
      <c r="P33" s="61"/>
      <c r="Q33" s="61"/>
      <c r="R33" s="62"/>
    </row>
    <row r="34" spans="1:18">
      <c r="A34" s="53"/>
      <c r="B34" s="54"/>
      <c r="C34" s="61"/>
      <c r="D34" s="61"/>
      <c r="E34" s="61"/>
      <c r="F34" s="61"/>
      <c r="G34" s="61"/>
      <c r="H34" s="61"/>
      <c r="I34" s="61"/>
      <c r="J34" s="61"/>
      <c r="K34" s="61"/>
      <c r="L34" s="61"/>
      <c r="M34" s="61"/>
      <c r="N34" s="61"/>
      <c r="O34" s="61"/>
      <c r="P34" s="61"/>
      <c r="Q34" s="61"/>
      <c r="R34" s="62"/>
    </row>
    <row r="35" spans="1:18">
      <c r="A35" s="53"/>
      <c r="B35" s="54"/>
      <c r="C35" s="61"/>
      <c r="D35" s="61"/>
      <c r="E35" s="61"/>
      <c r="F35" s="61"/>
      <c r="G35" s="61"/>
      <c r="H35" s="61"/>
      <c r="I35" s="61"/>
      <c r="J35" s="61"/>
      <c r="K35" s="61"/>
      <c r="L35" s="61"/>
      <c r="M35" s="61"/>
      <c r="N35" s="61"/>
      <c r="O35" s="61"/>
      <c r="P35" s="61"/>
      <c r="Q35" s="61"/>
      <c r="R35" s="62"/>
    </row>
    <row r="36" spans="1:18">
      <c r="A36" s="53"/>
      <c r="B36" s="54"/>
      <c r="C36" s="61"/>
      <c r="D36" s="61"/>
      <c r="E36" s="61"/>
      <c r="F36" s="61"/>
      <c r="G36" s="61"/>
      <c r="H36" s="61"/>
      <c r="I36" s="61"/>
      <c r="J36" s="61"/>
      <c r="K36" s="61"/>
      <c r="L36" s="61"/>
      <c r="M36" s="61"/>
      <c r="N36" s="61"/>
      <c r="O36" s="61"/>
      <c r="P36" s="61"/>
      <c r="Q36" s="61"/>
      <c r="R36" s="62"/>
    </row>
    <row r="37" spans="1:18">
      <c r="A37" s="53"/>
      <c r="B37" s="54"/>
      <c r="C37" s="61"/>
      <c r="D37" s="61"/>
      <c r="E37" s="61"/>
      <c r="F37" s="61"/>
      <c r="G37" s="61"/>
      <c r="H37" s="61"/>
      <c r="I37" s="61"/>
      <c r="J37" s="61"/>
      <c r="K37" s="61"/>
      <c r="L37" s="61"/>
      <c r="M37" s="61"/>
      <c r="N37" s="61"/>
      <c r="O37" s="61"/>
      <c r="P37" s="61"/>
      <c r="Q37" s="61"/>
      <c r="R37" s="62"/>
    </row>
    <row r="38" spans="1:18">
      <c r="A38" s="53"/>
      <c r="B38" s="54"/>
      <c r="C38" s="61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2"/>
    </row>
    <row r="39" spans="1:18">
      <c r="A39" s="53"/>
      <c r="B39" s="54"/>
      <c r="C39" s="61"/>
      <c r="D39" s="61"/>
      <c r="E39" s="61"/>
      <c r="F39" s="61"/>
      <c r="G39" s="61"/>
      <c r="H39" s="61"/>
      <c r="I39" s="61"/>
      <c r="J39" s="61"/>
      <c r="K39" s="61"/>
      <c r="L39" s="61"/>
      <c r="M39" s="61"/>
      <c r="N39" s="61"/>
      <c r="O39" s="61"/>
      <c r="P39" s="61"/>
      <c r="Q39" s="61"/>
      <c r="R39" s="62"/>
    </row>
    <row r="40" spans="1:18">
      <c r="A40" s="53"/>
      <c r="B40" s="54"/>
      <c r="C40" s="61"/>
      <c r="D40" s="61"/>
      <c r="E40" s="61"/>
      <c r="F40" s="61"/>
      <c r="G40" s="61"/>
      <c r="H40" s="61"/>
      <c r="I40" s="61"/>
      <c r="J40" s="61"/>
      <c r="K40" s="61"/>
      <c r="L40" s="61"/>
      <c r="M40" s="61"/>
      <c r="N40" s="61"/>
      <c r="O40" s="61"/>
      <c r="P40" s="61"/>
      <c r="Q40" s="61"/>
      <c r="R40" s="62"/>
    </row>
    <row r="41" spans="1:18">
      <c r="A41" s="53"/>
      <c r="B41" s="54"/>
      <c r="C41" s="61"/>
      <c r="D41" s="61"/>
      <c r="E41" s="61"/>
      <c r="F41" s="61"/>
      <c r="G41" s="61"/>
      <c r="H41" s="61"/>
      <c r="I41" s="61"/>
      <c r="J41" s="61"/>
      <c r="K41" s="61"/>
      <c r="L41" s="61"/>
      <c r="M41" s="61"/>
      <c r="N41" s="61"/>
      <c r="O41" s="61"/>
      <c r="P41" s="61"/>
      <c r="Q41" s="61"/>
      <c r="R41" s="62"/>
    </row>
    <row r="42" spans="1:18">
      <c r="A42" s="53"/>
      <c r="B42" s="54"/>
      <c r="C42" s="61"/>
      <c r="D42" s="61"/>
      <c r="E42" s="61"/>
      <c r="F42" s="61"/>
      <c r="G42" s="61"/>
      <c r="H42" s="61"/>
      <c r="I42" s="61"/>
      <c r="J42" s="61"/>
      <c r="K42" s="61"/>
      <c r="L42" s="61"/>
      <c r="M42" s="61"/>
      <c r="N42" s="61"/>
      <c r="O42" s="61"/>
      <c r="P42" s="61"/>
      <c r="Q42" s="61"/>
      <c r="R42" s="62"/>
    </row>
    <row r="43" spans="1:18">
      <c r="A43" s="53"/>
      <c r="B43" s="54"/>
      <c r="C43" s="61"/>
      <c r="D43" s="61"/>
      <c r="E43" s="61"/>
      <c r="F43" s="61"/>
      <c r="G43" s="61"/>
      <c r="H43" s="61"/>
      <c r="I43" s="61"/>
      <c r="J43" s="61"/>
      <c r="K43" s="61"/>
      <c r="L43" s="61"/>
      <c r="M43" s="61"/>
      <c r="N43" s="61"/>
      <c r="O43" s="61"/>
      <c r="P43" s="61"/>
      <c r="Q43" s="61"/>
      <c r="R43" s="62"/>
    </row>
    <row r="44" spans="1:18">
      <c r="A44" s="53"/>
      <c r="B44" s="54"/>
      <c r="C44" s="61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  <c r="P44" s="61"/>
      <c r="Q44" s="61"/>
      <c r="R44" s="62"/>
    </row>
    <row r="45" spans="1:18">
      <c r="A45" s="53"/>
      <c r="B45" s="54"/>
      <c r="C45" s="61"/>
      <c r="D45" s="61"/>
      <c r="E45" s="61"/>
      <c r="F45" s="61"/>
      <c r="G45" s="61"/>
      <c r="H45" s="61"/>
      <c r="I45" s="61"/>
      <c r="J45" s="61"/>
      <c r="K45" s="61"/>
      <c r="L45" s="61"/>
      <c r="M45" s="61"/>
      <c r="N45" s="61"/>
      <c r="O45" s="61"/>
      <c r="P45" s="61"/>
      <c r="Q45" s="61"/>
      <c r="R45" s="62"/>
    </row>
    <row r="46" spans="1:18">
      <c r="A46" s="53"/>
      <c r="B46" s="54"/>
      <c r="C46" s="61"/>
      <c r="D46" s="61"/>
      <c r="E46" s="61"/>
      <c r="F46" s="61"/>
      <c r="G46" s="61"/>
      <c r="H46" s="61"/>
      <c r="I46" s="61"/>
      <c r="J46" s="61"/>
      <c r="K46" s="61"/>
      <c r="L46" s="61"/>
      <c r="M46" s="61"/>
      <c r="N46" s="61"/>
      <c r="O46" s="61"/>
      <c r="P46" s="61"/>
      <c r="Q46" s="61"/>
      <c r="R46" s="62"/>
    </row>
    <row r="47" spans="1:18">
      <c r="A47" s="53"/>
      <c r="B47" s="54"/>
      <c r="C47" s="61"/>
      <c r="D47" s="61"/>
      <c r="E47" s="61"/>
      <c r="F47" s="61"/>
      <c r="G47" s="61"/>
      <c r="H47" s="61"/>
      <c r="I47" s="61"/>
      <c r="J47" s="61"/>
      <c r="K47" s="61"/>
      <c r="L47" s="61"/>
      <c r="M47" s="61"/>
      <c r="N47" s="61"/>
      <c r="O47" s="61"/>
      <c r="P47" s="61"/>
      <c r="Q47" s="61"/>
      <c r="R47" s="62"/>
    </row>
    <row r="48" spans="1:18">
      <c r="A48" s="53"/>
      <c r="B48" s="54"/>
      <c r="C48" s="61"/>
      <c r="D48" s="61"/>
      <c r="E48" s="61"/>
      <c r="F48" s="61"/>
      <c r="G48" s="61"/>
      <c r="H48" s="61"/>
      <c r="I48" s="61"/>
      <c r="J48" s="61"/>
      <c r="K48" s="61"/>
      <c r="L48" s="61"/>
      <c r="M48" s="61"/>
      <c r="N48" s="61"/>
      <c r="O48" s="61"/>
      <c r="P48" s="61"/>
      <c r="Q48" s="61"/>
      <c r="R48" s="62"/>
    </row>
    <row r="49" spans="1:18">
      <c r="A49" s="53"/>
      <c r="B49" s="54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1"/>
      <c r="Q49" s="61"/>
      <c r="R49" s="62"/>
    </row>
    <row r="50" spans="1:18">
      <c r="A50" s="53"/>
      <c r="B50" s="54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  <c r="O50" s="61"/>
      <c r="P50" s="61"/>
      <c r="Q50" s="61"/>
      <c r="R50" s="62"/>
    </row>
    <row r="51" spans="1:18">
      <c r="A51" s="53"/>
      <c r="B51" s="54"/>
      <c r="C51" s="61"/>
      <c r="D51" s="61"/>
      <c r="E51" s="61"/>
      <c r="F51" s="61"/>
      <c r="G51" s="61"/>
      <c r="H51" s="61"/>
      <c r="I51" s="61"/>
      <c r="J51" s="61"/>
      <c r="K51" s="61"/>
      <c r="L51" s="61"/>
      <c r="M51" s="61"/>
      <c r="N51" s="61"/>
      <c r="O51" s="61"/>
      <c r="P51" s="61"/>
      <c r="Q51" s="61"/>
      <c r="R51" s="62"/>
    </row>
    <row r="52" spans="1:18">
      <c r="A52" s="53"/>
      <c r="B52" s="54"/>
      <c r="C52" s="61"/>
      <c r="D52" s="61"/>
      <c r="E52" s="61"/>
      <c r="F52" s="61"/>
      <c r="G52" s="61"/>
      <c r="H52" s="61"/>
      <c r="I52" s="61"/>
      <c r="J52" s="61"/>
      <c r="K52" s="61"/>
      <c r="L52" s="61"/>
      <c r="M52" s="61"/>
      <c r="N52" s="61"/>
      <c r="O52" s="61"/>
      <c r="P52" s="61"/>
      <c r="Q52" s="61"/>
      <c r="R52" s="62"/>
    </row>
  </sheetData>
  <sheetProtection selectLockedCells="1" selectUnlockedCells="1"/>
  <pageMargins left="0.7" right="0.7" top="0.75" bottom="0.75" header="0.3" footer="0.3"/>
  <pageSetup scale="20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886718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39</v>
      </c>
      <c r="D1" t="s">
        <v>69</v>
      </c>
      <c r="E1" t="s">
        <v>70</v>
      </c>
      <c r="F1" t="s">
        <v>71</v>
      </c>
      <c r="G1" s="1" t="s">
        <v>74</v>
      </c>
      <c r="H1" s="1" t="s">
        <v>75</v>
      </c>
      <c r="I1" s="1" t="s">
        <v>76</v>
      </c>
      <c r="J1" s="7" t="s">
        <v>78</v>
      </c>
      <c r="K1" s="7" t="s">
        <v>6</v>
      </c>
      <c r="L1" t="s">
        <v>87</v>
      </c>
      <c r="M1" t="s">
        <v>84</v>
      </c>
      <c r="N1" t="s">
        <v>85</v>
      </c>
      <c r="O1" t="s">
        <v>88</v>
      </c>
      <c r="P1" t="s">
        <v>98</v>
      </c>
      <c r="Q1" t="s">
        <v>101</v>
      </c>
      <c r="R1" t="s">
        <v>102</v>
      </c>
      <c r="S1" t="s">
        <v>103</v>
      </c>
      <c r="T1" t="s">
        <v>106</v>
      </c>
      <c r="U1" t="s">
        <v>124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25</v>
      </c>
      <c r="C3" t="s">
        <v>41</v>
      </c>
      <c r="D3" t="s">
        <v>79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125</v>
      </c>
    </row>
    <row r="4" spans="1:21">
      <c r="A4" t="s">
        <v>86</v>
      </c>
      <c r="B4" t="s">
        <v>22</v>
      </c>
      <c r="C4" t="s">
        <v>45</v>
      </c>
      <c r="D4" t="s">
        <v>80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126</v>
      </c>
    </row>
    <row r="5" spans="1:21">
      <c r="A5" t="s">
        <v>10</v>
      </c>
      <c r="B5" t="s">
        <v>23</v>
      </c>
      <c r="C5" t="s">
        <v>44</v>
      </c>
      <c r="D5" t="s">
        <v>65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127</v>
      </c>
    </row>
    <row r="6" spans="1:21">
      <c r="A6" t="s">
        <v>6</v>
      </c>
      <c r="B6" t="s">
        <v>24</v>
      </c>
      <c r="C6" t="s">
        <v>46</v>
      </c>
      <c r="D6" t="s">
        <v>62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128</v>
      </c>
    </row>
    <row r="7" spans="1:21">
      <c r="A7" t="s">
        <v>9</v>
      </c>
      <c r="B7" t="s">
        <v>26</v>
      </c>
      <c r="C7" t="s">
        <v>47</v>
      </c>
      <c r="D7" t="s">
        <v>63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129</v>
      </c>
    </row>
    <row r="8" spans="1:21">
      <c r="A8" t="s">
        <v>11</v>
      </c>
      <c r="B8" t="s">
        <v>27</v>
      </c>
      <c r="C8" t="s">
        <v>48</v>
      </c>
      <c r="D8" t="s">
        <v>64</v>
      </c>
      <c r="E8">
        <v>6</v>
      </c>
      <c r="F8">
        <v>6</v>
      </c>
      <c r="G8">
        <v>5</v>
      </c>
      <c r="H8">
        <v>5</v>
      </c>
      <c r="I8">
        <v>5</v>
      </c>
      <c r="U8" t="s">
        <v>130</v>
      </c>
    </row>
    <row r="9" spans="1:21">
      <c r="B9" t="s">
        <v>99</v>
      </c>
      <c r="C9" t="s">
        <v>49</v>
      </c>
      <c r="E9">
        <v>7</v>
      </c>
      <c r="F9">
        <v>7</v>
      </c>
      <c r="G9">
        <v>6</v>
      </c>
      <c r="H9">
        <v>6</v>
      </c>
      <c r="I9">
        <v>6</v>
      </c>
      <c r="U9" t="s">
        <v>131</v>
      </c>
    </row>
    <row r="10" spans="1:21">
      <c r="B10" t="s">
        <v>28</v>
      </c>
      <c r="C10" t="s">
        <v>50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51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104</v>
      </c>
    </row>
    <row r="12" spans="1:21">
      <c r="B12" t="s">
        <v>100</v>
      </c>
      <c r="C12" t="s">
        <v>52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53</v>
      </c>
      <c r="J13">
        <v>1</v>
      </c>
    </row>
    <row r="14" spans="1:21">
      <c r="B14" t="s">
        <v>21</v>
      </c>
      <c r="C14" t="s">
        <v>54</v>
      </c>
      <c r="J14">
        <v>2</v>
      </c>
    </row>
    <row r="15" spans="1:21">
      <c r="B15" t="s">
        <v>15</v>
      </c>
      <c r="C15" t="s">
        <v>55</v>
      </c>
    </row>
    <row r="16" spans="1:21">
      <c r="B16" t="s">
        <v>59</v>
      </c>
      <c r="C16" t="s">
        <v>56</v>
      </c>
      <c r="J16" t="s">
        <v>105</v>
      </c>
    </row>
    <row r="17" spans="2:10">
      <c r="B17" t="s">
        <v>18</v>
      </c>
      <c r="C17" t="s">
        <v>57</v>
      </c>
      <c r="J17" t="s">
        <v>8</v>
      </c>
    </row>
    <row r="18" spans="2:10">
      <c r="B18" t="s">
        <v>19</v>
      </c>
      <c r="C18" t="s">
        <v>58</v>
      </c>
      <c r="J18">
        <v>1</v>
      </c>
    </row>
    <row r="19" spans="2:10">
      <c r="C19" t="s">
        <v>29</v>
      </c>
      <c r="J19">
        <v>2</v>
      </c>
    </row>
    <row r="20" spans="2:10">
      <c r="C20" t="s">
        <v>4</v>
      </c>
      <c r="J20">
        <v>3</v>
      </c>
    </row>
    <row r="21" spans="2:10">
      <c r="C21" t="s">
        <v>43</v>
      </c>
      <c r="J21">
        <v>4</v>
      </c>
    </row>
    <row r="22" spans="2:10">
      <c r="C22" t="s">
        <v>42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RowHeight="14.4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A2"/>
  <sheetViews>
    <sheetView topLeftCell="CF1" workbookViewId="0">
      <selection activeCell="CM2" sqref="CM2"/>
    </sheetView>
  </sheetViews>
  <sheetFormatPr defaultRowHeight="14.4"/>
  <sheetData>
    <row r="1" spans="1:27">
      <c r="A1" t="s">
        <v>45</v>
      </c>
      <c r="B1" t="s">
        <v>44</v>
      </c>
      <c r="C1" t="s">
        <v>46</v>
      </c>
      <c r="D1" t="s">
        <v>47</v>
      </c>
      <c r="E1" t="s">
        <v>48</v>
      </c>
      <c r="F1" t="s">
        <v>49</v>
      </c>
      <c r="G1" t="s">
        <v>50</v>
      </c>
      <c r="H1" t="s">
        <v>51</v>
      </c>
      <c r="I1" t="s">
        <v>52</v>
      </c>
      <c r="J1" t="s">
        <v>53</v>
      </c>
      <c r="K1" t="s">
        <v>54</v>
      </c>
      <c r="L1" t="s">
        <v>55</v>
      </c>
      <c r="M1" t="s">
        <v>56</v>
      </c>
      <c r="N1" t="s">
        <v>57</v>
      </c>
      <c r="O1" t="s">
        <v>58</v>
      </c>
      <c r="P1" t="s">
        <v>82</v>
      </c>
      <c r="Q1" t="s">
        <v>72</v>
      </c>
      <c r="R1" t="s">
        <v>73</v>
      </c>
      <c r="S1" t="s">
        <v>74</v>
      </c>
      <c r="T1" t="s">
        <v>75</v>
      </c>
      <c r="U1" t="s">
        <v>76</v>
      </c>
      <c r="V1" t="s">
        <v>90</v>
      </c>
      <c r="W1" t="s">
        <v>91</v>
      </c>
      <c r="X1" t="s">
        <v>92</v>
      </c>
      <c r="Y1" t="s">
        <v>93</v>
      </c>
      <c r="Z1" t="s">
        <v>94</v>
      </c>
      <c r="AA1" t="s">
        <v>82</v>
      </c>
    </row>
    <row r="2" spans="1:27">
      <c r="A2">
        <v>0</v>
      </c>
      <c r="B2">
        <v>0</v>
      </c>
      <c r="C2">
        <v>0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1</v>
      </c>
      <c r="K2">
        <v>1</v>
      </c>
      <c r="L2">
        <v>1</v>
      </c>
      <c r="M2">
        <v>0</v>
      </c>
      <c r="N2">
        <v>0</v>
      </c>
      <c r="Q2">
        <v>1</v>
      </c>
      <c r="R2">
        <v>1</v>
      </c>
      <c r="S2">
        <v>1</v>
      </c>
      <c r="T2">
        <v>1</v>
      </c>
      <c r="U2">
        <v>0</v>
      </c>
      <c r="V2">
        <v>1</v>
      </c>
      <c r="W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A2"/>
  <sheetViews>
    <sheetView topLeftCell="CC1" workbookViewId="0">
      <selection activeCell="CR2" sqref="CR2"/>
    </sheetView>
  </sheetViews>
  <sheetFormatPr defaultRowHeight="14.4"/>
  <sheetData>
    <row r="1" spans="1:27">
      <c r="A1" t="s">
        <v>45</v>
      </c>
      <c r="B1" t="s">
        <v>44</v>
      </c>
      <c r="C1" t="s">
        <v>46</v>
      </c>
      <c r="D1" t="s">
        <v>47</v>
      </c>
      <c r="E1" t="s">
        <v>48</v>
      </c>
      <c r="F1" t="s">
        <v>49</v>
      </c>
      <c r="G1" t="s">
        <v>50</v>
      </c>
      <c r="H1" t="s">
        <v>51</v>
      </c>
      <c r="I1" t="s">
        <v>52</v>
      </c>
      <c r="J1" t="s">
        <v>53</v>
      </c>
      <c r="K1" t="s">
        <v>54</v>
      </c>
      <c r="L1" t="s">
        <v>55</v>
      </c>
      <c r="M1" t="s">
        <v>56</v>
      </c>
      <c r="N1" t="s">
        <v>57</v>
      </c>
      <c r="O1" t="s">
        <v>58</v>
      </c>
      <c r="P1" t="s">
        <v>82</v>
      </c>
      <c r="Q1" t="s">
        <v>72</v>
      </c>
      <c r="R1" t="s">
        <v>73</v>
      </c>
      <c r="S1" t="s">
        <v>74</v>
      </c>
      <c r="T1" t="s">
        <v>75</v>
      </c>
      <c r="U1" t="s">
        <v>76</v>
      </c>
      <c r="V1" t="s">
        <v>90</v>
      </c>
      <c r="W1" t="s">
        <v>91</v>
      </c>
      <c r="X1" t="s">
        <v>92</v>
      </c>
      <c r="Y1" t="s">
        <v>93</v>
      </c>
      <c r="Z1" t="s">
        <v>94</v>
      </c>
      <c r="AA1" t="s">
        <v>82</v>
      </c>
    </row>
    <row r="2" spans="1:27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0</v>
      </c>
      <c r="P2">
        <v>0</v>
      </c>
      <c r="Q2">
        <v>1</v>
      </c>
      <c r="R2">
        <v>1</v>
      </c>
      <c r="S2">
        <v>1</v>
      </c>
      <c r="T2">
        <v>1</v>
      </c>
      <c r="U2">
        <v>1</v>
      </c>
      <c r="V2">
        <v>1</v>
      </c>
      <c r="W2">
        <v>1</v>
      </c>
      <c r="X2">
        <v>0</v>
      </c>
      <c r="Y2">
        <v>0</v>
      </c>
      <c r="Z2">
        <v>0</v>
      </c>
      <c r="AA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Revision History</vt:lpstr>
      <vt:lpstr>Initialization</vt:lpstr>
      <vt:lpstr>Model Selection</vt:lpstr>
      <vt:lpstr>Help</vt:lpstr>
      <vt:lpstr>PFD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2022-07-18T22:16:52Z</dcterms:modified>
</cp:coreProperties>
</file>