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developmentKozenyCarman\1_physical_properties\"/>
    </mc:Choice>
  </mc:AlternateContent>
  <xr:revisionPtr revIDLastSave="0" documentId="13_ncr:1_{F5F2501F-FB71-4687-883B-85BA304C1635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3" r:id="rId4"/>
    <sheet name="Thermodynamic Properties" sheetId="44" r:id="rId5"/>
    <sheet name="Help" sheetId="41" r:id="rId6"/>
    <sheet name="PFD" sheetId="42" r:id="rId7"/>
    <sheet name="maintenance check list" sheetId="28" state="hidden" r:id="rId8"/>
    <sheet name="Data(Transposed)" sheetId="3" state="hidden" r:id="rId9"/>
    <sheet name="Data(Test)" sheetId="9" state="hidden" r:id="rId10"/>
  </sheets>
  <externalReferences>
    <externalReference r:id="rId11"/>
    <externalReference r:id="rId12"/>
  </externalReferences>
  <definedNames>
    <definedName name="_xlnm._FilterDatabase" localSheetId="2" hidden="1">Initialization!$B$9:$K$10</definedName>
    <definedName name="_xlnm._FilterDatabase" localSheetId="3" hidden="1">'Physical Properties'!$B$9:$K$9</definedName>
    <definedName name="_xlnm._FilterDatabase" localSheetId="4" hidden="1">'Thermodynamic Properties'!$B$9:$K$9</definedName>
    <definedName name="_xlnm.Print_Area" localSheetId="2">Initialization!$B$2:$K$13</definedName>
    <definedName name="_xlnm.Print_Area" localSheetId="3">'Physical Properties'!$B$2:$K$12</definedName>
    <definedName name="_xlnm.Print_Area" localSheetId="0">'Revision History'!$C$3:$K$51</definedName>
    <definedName name="_xlnm.Print_Area" localSheetId="4">'Thermodynamic Properties'!$B$2:$K$18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7" i="44" l="1"/>
  <c r="I16" i="44"/>
  <c r="I15" i="44"/>
  <c r="I14" i="44"/>
  <c r="I13" i="44"/>
  <c r="I12" i="44"/>
  <c r="I11" i="44"/>
  <c r="I10" i="44"/>
  <c r="K4" i="44"/>
  <c r="K2" i="44"/>
  <c r="B2" i="44"/>
  <c r="I11" i="43" l="1"/>
  <c r="I10" i="43"/>
  <c r="K4" i="43"/>
  <c r="K2" i="43"/>
  <c r="B2" i="43"/>
  <c r="I12" i="40"/>
  <c r="I11" i="40"/>
  <c r="R1" i="42"/>
  <c r="A1" i="42"/>
  <c r="Q1" i="41"/>
  <c r="A1" i="41"/>
  <c r="K4" i="40"/>
  <c r="K2" i="40"/>
  <c r="B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H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tc={929E74D4-E828-45A7-B400-EB49F90082D7}</author>
    <author>tc={5CF684AC-E434-4C54-AB68-3C5C687E62EA}</author>
    <author>tc={17D4D9AE-2BE9-4366-9717-B638233BD7B8}</author>
  </authors>
  <commentList>
    <comment ref="H9" authorId="0" shapeId="0" xr:uid="{929E74D4-E828-45A7-B400-EB49F90082D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5CF684AC-E434-4C54-AB68-3C5C687E62EA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17D4D9AE-2BE9-4366-9717-B638233BD7B8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H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<sst xmlns="http://schemas.openxmlformats.org/spreadsheetml/2006/main" count="277" uniqueCount="139">
  <si>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</si>
  <si>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</si>
  <si>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</si>
  <si>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</si>
  <si>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</si>
  <si>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</si>
  <si>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</si>
  <si>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</si>
  <si>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</si>
  <si>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</si>
  <si>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</si>
  <si>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</si>
  <si>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</si>
  <si>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</si>
  <si>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</si>
  <si>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</si>
  <si>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</si>
  <si>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</si>
  <si>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</si>
  <si>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</si>
  <si>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</si>
  <si>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</si>
  <si>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</si>
  <si>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</si>
  <si>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</si>
  <si>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</si>
  <si>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</si>
  <si>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</si>
  <si>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</si>
  <si>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</si>
  <si>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</si>
  <si>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</si>
  <si>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</si>
  <si>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</si>
  <si>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</si>
  <si>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</si>
  <si>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</si>
  <si>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</si>
  <si>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</si>
  <si>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</si>
  <si>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</si>
  <si>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</si>
  <si>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</si>
  <si>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</si>
  <si>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</si>
  <si>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</si>
  <si>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</si>
  <si>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</si>
  <si>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</si>
  <si>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</si>
  <si>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</si>
  <si>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</si>
  <si>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</si>
  <si>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</si>
  <si>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</si>
  <si>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</si>
  <si>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</si>
  <si>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</si>
  <si>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</si>
  <si>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</si>
  <si>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</si>
  <si>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</si>
  <si>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</si>
  <si>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</si>
  <si>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The chemical formula of the 1st component in a given system: ***Let the 1st component be the light key as always***</t>
  </si>
  <si>
    <t>Variable Type</t>
  </si>
  <si>
    <t>Test 1</t>
  </si>
  <si>
    <t>Test 2</t>
  </si>
  <si>
    <t>The number of components to be modeled in the system</t>
  </si>
  <si>
    <t>Step</t>
  </si>
  <si>
    <t>O2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</si>
  <si>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</si>
  <si>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</si>
  <si>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</si>
  <si>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</si>
  <si>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</si>
  <si>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</si>
  <si>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</si>
  <si>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</si>
  <si>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</si>
  <si>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</si>
  <si>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</si>
  <si>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</si>
  <si>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</si>
  <si>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</si>
  <si>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</si>
  <si>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</si>
  <si>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</si>
  <si>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</si>
  <si>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</si>
  <si>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</si>
  <si>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</si>
  <si>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</si>
  <si>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</si>
  <si>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</si>
  <si>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</si>
  <si>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</si>
  <si>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</si>
  <si>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</si>
  <si>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the isosteric heat of component i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</si>
  <si>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</si>
  <si>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</si>
  <si>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</si>
  <si>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</si>
  <si>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</si>
  <si>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</si>
  <si>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</si>
  <si>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</si>
  <si>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</si>
  <si>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</si>
  <si>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</si>
  <si>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</si>
  <si>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</si>
  <si>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</si>
  <si>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</si>
  <si>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</si>
  <si>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</si>
  <si>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</si>
  <si>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</si>
  <si>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</si>
  <si>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</si>
  <si>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</si>
  <si>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</si>
  <si>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</si>
  <si>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</si>
  <si>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</si>
  <si>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</si>
  <si>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</si>
  <si>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</si>
  <si>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</si>
  <si>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</si>
  <si>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</si>
  <si>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Initial development of the "cycle_organization.xlsm" sheet.</t>
  </si>
  <si>
    <t>REV. NO.1 (6/8/2022)</t>
  </si>
  <si>
    <t>Pressure Swing Adsorption Process Flow Diagram (PFD)</t>
  </si>
  <si>
    <t>Adsorbate Information</t>
  </si>
  <si>
    <t>Physical Property Reference Sources</t>
  </si>
  <si>
    <t>Assumptions</t>
  </si>
  <si>
    <t>1. Make sure that the light key is defined as the first adsorbate species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</si>
</sst>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4" fillId="0" borderId="0" xfId="0" applyFont="1"/>
    <xf numFmtId="0" fontId="4" fillId="4" borderId="7" xfId="0" applyFont="1" applyFill="1" applyBorder="1"/>
    <xf numFmtId="0" fontId="4" fillId="4" borderId="8" xfId="0" applyFont="1" applyFill="1" applyBorder="1"/>
    <xf numFmtId="0" fontId="4" fillId="3" borderId="14" xfId="0" applyFont="1" applyFill="1" applyBorder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left" vertical="center" indent="1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4" fillId="3" borderId="6" xfId="0" applyFont="1" applyFill="1" applyBorder="1" applyAlignment="1">
      <alignment horizontal="left" vertical="center" wrapText="1" indent="1"/>
    </xf>
    <xf numFmtId="0" fontId="6" fillId="3" borderId="1" xfId="1" applyFont="1" applyFill="1" applyBorder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0" xfId="0" applyFont="1" applyFill="1"/>
    <xf numFmtId="0" fontId="5" fillId="0" borderId="2" xfId="1" applyFont="1" applyBorder="1" applyAlignment="1" applyProtection="1">
      <alignment horizontal="center" vertical="center"/>
    </xf>
    <xf numFmtId="0" fontId="6" fillId="4" borderId="10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85" name="Button 1" hidden="1">
                <a:extLst>
                  <a:ext uri="{63B3BB69-23CF-44E3-9099-C40C66FF867C}">
                    <a14:compatExt spid="_x0000_s93185"/>
                  </a:ext>
                  <a:ext uri="{FF2B5EF4-FFF2-40B4-BE49-F238E27FC236}">
                    <a16:creationId xmlns:a16="http://schemas.microsoft.com/office/drawing/2014/main" id="{00000000-0008-0000-0300-0000016C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86" name="Button 2" hidden="1">
                <a:extLst>
                  <a:ext uri="{63B3BB69-23CF-44E3-9099-C40C66FF867C}">
                    <a14:compatExt spid="_x0000_s93186"/>
                  </a:ext>
                  <a:ext uri="{FF2B5EF4-FFF2-40B4-BE49-F238E27FC236}">
                    <a16:creationId xmlns:a16="http://schemas.microsoft.com/office/drawing/2014/main" id="{00000000-0008-0000-0300-0000026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87" name="Button 3" hidden="1">
                <a:extLst>
                  <a:ext uri="{63B3BB69-23CF-44E3-9099-C40C66FF867C}">
                    <a14:compatExt spid="_x0000_s93187"/>
                  </a:ext>
                  <a:ext uri="{FF2B5EF4-FFF2-40B4-BE49-F238E27FC236}">
                    <a16:creationId xmlns:a16="http://schemas.microsoft.com/office/drawing/2014/main" id="{00000000-0008-0000-0300-0000036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403412</xdr:colOff>
      <xdr:row>2</xdr:row>
      <xdr:rowOff>107576</xdr:rowOff>
    </xdr:from>
    <xdr:to>
      <xdr:col>17</xdr:col>
      <xdr:colOff>188258</xdr:colOff>
      <xdr:row>51</xdr:row>
      <xdr:rowOff>17930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03412" y="473336"/>
          <a:ext cx="10148046" cy="88714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3_unit_properties/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B9:K13" totalsRowShown="0" headerRowDxfId="87" dataDxfId="85" headerRowBorderDxfId="86" tableBorderDxfId="84" totalsRowBorderDxfId="83">
  <autoFilter ref="B9:K13" xr:uid="{B089C5C3-2CCE-4800-96CA-2131BB6E3E4F}"/>
  <tableColumns count="10">
    <tableColumn id="1" xr3:uid="{F0083DBC-BA3F-499A-AB41-58DC14E7EC9B}" name="Variable" dataDxfId="82"/>
    <tableColumn id="4" xr3:uid="{2D9C78CB-0A98-4E06-A17A-328F6643A2AB}" name="Value" dataDxfId="81"/>
    <tableColumn id="5" xr3:uid="{2D40A785-0BF0-4D20-A6A3-606AF3EAEA1D}" name="Unit" dataDxfId="80"/>
    <tableColumn id="6" xr3:uid="{47E47CE1-84EE-4BBF-AF16-7CD09E32C8D5}" name="Comparisons" dataDxfId="79"/>
    <tableColumn id="7" xr3:uid="{1E01755C-F10B-47AF-87D2-261FE9E5C304}" name="Variable Type" dataDxfId="78"/>
    <tableColumn id="8" xr3:uid="{A1508BC9-F251-4C78-AFE1-9780568F4570}" name="Dependency" dataDxfId="77"/>
    <tableColumn id="12" xr3:uid="{483B9187-B663-438A-A6C2-F92DD2C5981E}" name="Test 1" dataDxfId="76"/>
    <tableColumn id="10" xr3:uid="{B0989B53-E4FA-42D2-AC40-B81EF1952308}" name="Test 2" dataDxfId="75"/>
    <tableColumn id="2" xr3:uid="{3B51E6F8-78E0-4FDA-AE7D-0D8F50BB7A78}" name="Test 3" dataDxfId="74"/>
    <tableColumn id="9" xr3:uid="{87AE414E-FFE1-4067-A57C-04659EEE8430}" name="Description" dataDxfId="7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2F7B40-1AA3-41AC-A704-E9A2EA4B6DA9}" name="Table11082" displayName="Table11082" ref="B9:K12" totalsRowShown="0" headerRowDxfId="61" dataDxfId="59" headerRowBorderDxfId="60" tableBorderDxfId="58" totalsRowBorderDxfId="57">
  <autoFilter ref="B9:K12" xr:uid="{B089C5C3-2CCE-4800-96CA-2131BB6E3E4F}"/>
  <tableColumns count="10">
    <tableColumn id="1" xr3:uid="{F761A014-5898-43B6-8962-5ADEAF531B15}" name="Variable" dataDxfId="56"/>
    <tableColumn id="4" xr3:uid="{092E9EC3-F229-4DDA-82A4-FEF727B01BBA}" name="Value" dataDxfId="55"/>
    <tableColumn id="5" xr3:uid="{DAA389FF-E9F8-46C7-B424-26EA71476045}" name="Unit" dataDxfId="54"/>
    <tableColumn id="6" xr3:uid="{B5C6175F-B0F2-4572-95FE-CC7E7F8A5C46}" name="Comparisons" dataDxfId="53"/>
    <tableColumn id="7" xr3:uid="{81EAB08F-9544-484F-A747-C71204EC7548}" name="Variable Type" dataDxfId="52"/>
    <tableColumn id="8" xr3:uid="{C85D126C-9B35-4517-868D-FC7A15E9F81E}" name="Dependency" dataDxfId="51"/>
    <tableColumn id="12" xr3:uid="{2D920673-EA96-443D-A8D6-73786BA4CE54}" name="Test 1" dataDxfId="50"/>
    <tableColumn id="10" xr3:uid="{4FEEF536-DBF7-444E-BD22-911521C38061}" name="Test 2" dataDxfId="49"/>
    <tableColumn id="2" xr3:uid="{866299F8-0E23-434D-9155-39F8FD7568A2}" name="Test 3" dataDxfId="48"/>
    <tableColumn id="9" xr3:uid="{52932718-A310-4ACC-9391-027634297042}" name="Description" dataDxfId="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B9:K18" totalsRowShown="0" headerRowDxfId="14" dataDxfId="12" headerRowBorderDxfId="13" tableBorderDxfId="11" totalsRowBorderDxfId="10">
  <autoFilter ref="B9:K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B1843E07-2516-483D-A63D-A86B5B904914}">
    <text>place 1 if we want to keep the row when re-initializing. Otherwise, leave it as a blank.</text>
  </threadedComment>
  <threadedComment ref="I9" dT="2020-11-26T18:35:03.27" personId="{7F98AE94-13FB-49E1-9262-339C11E0EDB4}" id="{6888000F-CF93-4D02-AF13-97DC6B0D5C73}">
    <text>supply a value greater than 1 if you want to duplicate the row</text>
  </threadedComment>
  <threadedComment ref="J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J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929E74D4-E828-45A7-B400-EB49F90082D7}">
    <text>place 1 if we want to keep the row when re-initializing. Otherwise, leave it as a blank.</text>
  </threadedComment>
  <threadedComment ref="I9" dT="2020-11-26T18:35:03.27" personId="{7F98AE94-13FB-49E1-9262-339C11E0EDB4}" id="{5CF684AC-E434-4C54-AB68-3C5C687E62EA}">
    <text>supply a value greater than 1 if you want to duplicate the row</text>
  </threadedComment>
  <threadedComment ref="J9" dT="2020-11-28T01:53:47.29" personId="{7F98AE94-13FB-49E1-9262-339C11E0EDB4}" id="{17D4D9AE-2BE9-4366-9717-B638233BD7B8}">
    <text>1 means we need to have the variable specified; 0 means we need not have the variable specified</text>
  </threadedComment>
  <threadedComment ref="J9" dT="2020-11-28T01:56:42.32" personId="{7F98AE94-13FB-49E1-9262-339C11E0EDB4}" id="{84A66325-EC56-410D-9F90-7B5EAE1DD0CE}" parentId="{17D4D9AE-2BE9-4366-9717-B638233BD7B8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23E6B692-C210-4B42-B932-A801C893F11E}">
    <text>place 1 if we want to keep the row when re-initializing. Otherwise, leave it as a blank.</text>
  </threadedComment>
  <threadedComment ref="I9" dT="2020-11-26T18:35:03.27" personId="{7F98AE94-13FB-49E1-9262-339C11E0EDB4}" id="{FE7B2465-0C2E-4C3B-B0CE-092F7E32DC9B}">
    <text>supply a value greater than 1 if you want to duplicate the row</text>
  </threadedComment>
  <threadedComment ref="J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J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D4" sqref="D4:J4"/>
    </sheetView>
  </sheetViews>
  <sheetFormatPr defaultColWidth="0" defaultRowHeight="14.4" zeroHeight="1"/>
  <cols>
    <col min="1" max="2" width="3.33203125" style="39" hidden="1" customWidth="1"/>
    <col min="3" max="3" width="2.44140625" style="39" customWidth="1"/>
    <col min="4" max="4" width="13.886718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886718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/>
    <row r="4" spans="4:10" ht="18">
      <c r="D4" s="60" t="s">
        <v>133</v>
      </c>
      <c r="E4" s="61"/>
      <c r="F4" s="62"/>
      <c r="G4" s="63"/>
      <c r="H4" s="63"/>
      <c r="I4" s="63"/>
      <c r="J4" s="42" t="s">
        <v>87</v>
      </c>
    </row>
    <row r="5" spans="4:10" ht="36">
      <c r="D5" s="71" t="s">
        <v>36</v>
      </c>
      <c r="E5" s="71"/>
      <c r="F5" s="71"/>
      <c r="G5" s="71"/>
      <c r="H5" s="71"/>
      <c r="I5" s="71"/>
      <c r="J5" s="71"/>
    </row>
    <row r="6" spans="4:10" ht="18">
      <c r="D6" s="53" t="s">
        <v>30</v>
      </c>
      <c r="E6" s="53" t="s">
        <v>131</v>
      </c>
      <c r="F6" s="53" t="s">
        <v>31</v>
      </c>
      <c r="G6" s="53" t="s">
        <v>32</v>
      </c>
      <c r="H6" s="53" t="s">
        <v>33</v>
      </c>
      <c r="I6" s="53" t="s">
        <v>34</v>
      </c>
      <c r="J6" s="53" t="s">
        <v>35</v>
      </c>
    </row>
    <row r="7" spans="4:10" ht="36">
      <c r="D7" s="43">
        <v>1</v>
      </c>
      <c r="E7" s="57" t="s">
        <v>132</v>
      </c>
      <c r="F7" s="58">
        <v>44720</v>
      </c>
      <c r="G7" s="59" t="s">
        <v>37</v>
      </c>
      <c r="H7" s="43"/>
      <c r="I7" s="43"/>
      <c r="J7" s="44"/>
    </row>
    <row r="8" spans="4:10" ht="18">
      <c r="D8" s="43">
        <v>2</v>
      </c>
      <c r="E8" s="44"/>
      <c r="F8" s="45"/>
      <c r="G8" s="43"/>
      <c r="H8" s="43"/>
      <c r="I8" s="43"/>
      <c r="J8" s="44"/>
    </row>
    <row r="9" spans="4:10" ht="18">
      <c r="D9" s="43">
        <v>3</v>
      </c>
      <c r="E9" s="44"/>
      <c r="F9" s="45"/>
      <c r="G9" s="43"/>
      <c r="H9" s="43"/>
      <c r="I9" s="43"/>
      <c r="J9" s="44"/>
    </row>
    <row r="10" spans="4:10" ht="18">
      <c r="D10" s="43">
        <v>4</v>
      </c>
      <c r="E10" s="44"/>
      <c r="F10" s="45"/>
      <c r="G10" s="43"/>
      <c r="H10" s="43"/>
      <c r="I10" s="43"/>
      <c r="J10" s="44"/>
    </row>
    <row r="11" spans="4:10" ht="18">
      <c r="D11" s="43">
        <v>5</v>
      </c>
      <c r="E11" s="44"/>
      <c r="F11" s="45"/>
      <c r="G11" s="43"/>
      <c r="H11" s="43"/>
      <c r="I11" s="43"/>
      <c r="J11" s="44"/>
    </row>
    <row r="12" spans="4:10" ht="18">
      <c r="D12" s="43">
        <v>6</v>
      </c>
      <c r="E12" s="44"/>
      <c r="F12" s="45"/>
      <c r="G12" s="43"/>
      <c r="H12" s="43"/>
      <c r="I12" s="43"/>
      <c r="J12" s="44"/>
    </row>
    <row r="13" spans="4:10" ht="18">
      <c r="D13" s="43">
        <v>7</v>
      </c>
      <c r="E13" s="44"/>
      <c r="F13" s="45"/>
      <c r="G13" s="43"/>
      <c r="H13" s="43"/>
      <c r="I13" s="43"/>
      <c r="J13" s="44"/>
    </row>
    <row r="14" spans="4:10" ht="18">
      <c r="D14" s="43">
        <v>8</v>
      </c>
      <c r="E14" s="44"/>
      <c r="F14" s="45"/>
      <c r="G14" s="43"/>
      <c r="H14" s="43"/>
      <c r="I14" s="43"/>
      <c r="J14" s="44"/>
    </row>
    <row r="15" spans="4:10" ht="18">
      <c r="D15" s="43">
        <v>9</v>
      </c>
      <c r="E15" s="44"/>
      <c r="F15" s="45"/>
      <c r="G15" s="43"/>
      <c r="H15" s="43"/>
      <c r="I15" s="43"/>
      <c r="J15" s="44"/>
    </row>
    <row r="16" spans="4:10" ht="18">
      <c r="D16" s="43">
        <v>10</v>
      </c>
      <c r="E16" s="44"/>
      <c r="F16" s="45"/>
      <c r="G16" s="43"/>
      <c r="H16" s="43"/>
      <c r="I16" s="43"/>
      <c r="J16" s="4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886718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69</v>
      </c>
      <c r="E1" t="s">
        <v>71</v>
      </c>
      <c r="F1" t="s">
        <v>72</v>
      </c>
      <c r="G1" s="1" t="s">
        <v>73</v>
      </c>
      <c r="H1" s="1" t="s">
        <v>74</v>
      </c>
      <c r="I1" s="1" t="s">
        <v>75</v>
      </c>
      <c r="J1" s="7" t="s">
        <v>77</v>
      </c>
      <c r="K1" s="7" t="s">
        <v>6</v>
      </c>
      <c r="L1" t="s">
        <v>85</v>
      </c>
      <c r="M1" t="s">
        <v>82</v>
      </c>
      <c r="N1" t="s">
        <v>83</v>
      </c>
      <c r="O1" t="s">
        <v>86</v>
      </c>
      <c r="P1" t="s">
        <v>91</v>
      </c>
      <c r="Q1" t="s">
        <v>94</v>
      </c>
      <c r="R1" t="s">
        <v>104</v>
      </c>
      <c r="S1" t="s">
        <v>105</v>
      </c>
      <c r="T1" t="s">
        <v>118</v>
      </c>
      <c r="U1" t="s">
        <v>119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78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120</v>
      </c>
    </row>
    <row r="4" spans="1:21">
      <c r="A4" t="s">
        <v>84</v>
      </c>
      <c r="B4" t="s">
        <v>21</v>
      </c>
      <c r="C4" t="s">
        <v>43</v>
      </c>
      <c r="D4" t="s">
        <v>79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121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122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123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124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125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126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116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117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3"/>
  <sheetViews>
    <sheetView showGridLines="0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C12" sqref="C12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1" spans="2:11" hidden="1">
      <c r="B1" s="31"/>
      <c r="C1" s="31"/>
      <c r="D1" s="31"/>
      <c r="E1" s="31"/>
      <c r="F1" s="31"/>
      <c r="G1" s="31"/>
      <c r="H1" s="31"/>
      <c r="I1" s="31"/>
      <c r="J1" s="31"/>
      <c r="K1" s="31"/>
    </row>
    <row r="2" spans="2:11">
      <c r="B2" s="47" t="str">
        <f>'Revision History'!$D$4</f>
        <v>REV. NO.1 (6/8/2022)</v>
      </c>
      <c r="C2" s="48"/>
      <c r="D2" s="48"/>
      <c r="E2" s="48"/>
      <c r="F2" s="48"/>
      <c r="G2" s="48"/>
      <c r="H2" s="48"/>
      <c r="I2" s="48"/>
      <c r="J2" s="48"/>
      <c r="K2" s="49" t="str">
        <f>'Revision History'!$J$4</f>
        <v>Scott Research Group (jkscottresearchgroup.com)</v>
      </c>
    </row>
    <row r="3" spans="2:11" ht="18">
      <c r="B3" s="72" t="s">
        <v>29</v>
      </c>
      <c r="C3" s="72"/>
      <c r="D3" s="72"/>
      <c r="E3" s="72"/>
      <c r="F3" s="72"/>
      <c r="G3" s="72"/>
      <c r="H3" s="72"/>
      <c r="I3" s="72"/>
      <c r="J3" s="72"/>
      <c r="K3" s="72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73" t="str">
        <f>IF(COUNTIF(Table110823[Test 3],1)=COUNTA(Table110823[Value]),"Ready","Not Ready")</f>
        <v>Ready</v>
      </c>
    </row>
    <row r="5" spans="2:11" ht="14.4" customHeight="1">
      <c r="B5" s="17"/>
      <c r="C5" s="18"/>
      <c r="D5" s="56"/>
      <c r="E5" s="56"/>
      <c r="F5" s="56"/>
      <c r="G5" s="56"/>
      <c r="H5" s="19"/>
      <c r="I5" s="56"/>
      <c r="J5" s="56"/>
      <c r="K5" s="74"/>
    </row>
    <row r="6" spans="2:11" ht="14.4" customHeight="1">
      <c r="B6" s="17"/>
      <c r="C6" s="18"/>
      <c r="D6" s="56"/>
      <c r="E6" s="56"/>
      <c r="F6" s="56"/>
      <c r="G6" s="56"/>
      <c r="H6" s="19"/>
      <c r="I6" s="56"/>
      <c r="J6" s="56"/>
      <c r="K6" s="74"/>
    </row>
    <row r="7" spans="2:11" ht="14.4" customHeight="1">
      <c r="B7" s="17"/>
      <c r="C7" s="18"/>
      <c r="D7" s="56"/>
      <c r="E7" s="56"/>
      <c r="F7" s="56"/>
      <c r="G7" s="56"/>
      <c r="H7" s="19"/>
      <c r="I7" s="56"/>
      <c r="J7" s="56"/>
      <c r="K7" s="74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75"/>
    </row>
    <row r="9" spans="2:11">
      <c r="B9" s="32" t="s">
        <v>0</v>
      </c>
      <c r="C9" s="33" t="s">
        <v>1</v>
      </c>
      <c r="D9" s="33" t="s">
        <v>2</v>
      </c>
      <c r="E9" s="33" t="s">
        <v>14</v>
      </c>
      <c r="F9" s="33" t="s">
        <v>65</v>
      </c>
      <c r="G9" s="34" t="s">
        <v>38</v>
      </c>
      <c r="H9" s="34" t="s">
        <v>66</v>
      </c>
      <c r="I9" s="33" t="s">
        <v>67</v>
      </c>
      <c r="J9" s="35" t="s">
        <v>76</v>
      </c>
      <c r="K9" s="35" t="s">
        <v>12</v>
      </c>
    </row>
    <row r="10" spans="2:11" ht="28.8">
      <c r="B10" s="4" t="s">
        <v>5</v>
      </c>
      <c r="C10" s="36">
        <v>2</v>
      </c>
      <c r="D10" s="2" t="s">
        <v>3</v>
      </c>
      <c r="E10" s="54" t="s">
        <v>17</v>
      </c>
      <c r="F10" s="54" t="s">
        <v>7</v>
      </c>
      <c r="G10" s="2" t="s">
        <v>39</v>
      </c>
      <c r="H10" s="54">
        <v>1</v>
      </c>
      <c r="I10" s="54">
        <v>1</v>
      </c>
      <c r="J10" s="6">
        <v>1</v>
      </c>
      <c r="K10" s="5" t="s">
        <v>68</v>
      </c>
    </row>
    <row r="11" spans="2:11" ht="43.2">
      <c r="B11" s="4" t="s">
        <v>62</v>
      </c>
      <c r="C11" s="36" t="s">
        <v>70</v>
      </c>
      <c r="D11" s="2" t="s">
        <v>3</v>
      </c>
      <c r="E11" s="54" t="s">
        <v>22</v>
      </c>
      <c r="F11" s="54" t="s">
        <v>9</v>
      </c>
      <c r="G11" s="2" t="s">
        <v>5</v>
      </c>
      <c r="H11" s="54">
        <v>1</v>
      </c>
      <c r="I11" s="54">
        <f>Initialization!$C$10</f>
        <v>2</v>
      </c>
      <c r="J11" s="6">
        <v>1</v>
      </c>
      <c r="K11" s="5" t="s">
        <v>64</v>
      </c>
    </row>
    <row r="12" spans="2:11" ht="43.2">
      <c r="B12" s="4" t="s">
        <v>63</v>
      </c>
      <c r="C12" s="36" t="s">
        <v>106</v>
      </c>
      <c r="D12" s="2" t="s">
        <v>3</v>
      </c>
      <c r="E12" s="54" t="s">
        <v>22</v>
      </c>
      <c r="F12" s="54" t="s">
        <v>9</v>
      </c>
      <c r="G12" s="2" t="s">
        <v>5</v>
      </c>
      <c r="H12" s="54"/>
      <c r="I12" s="54">
        <f>Initialization!$C$10</f>
        <v>2</v>
      </c>
      <c r="J12" s="6">
        <v>1</v>
      </c>
      <c r="K12" s="5" t="s">
        <v>64</v>
      </c>
    </row>
    <row r="13" spans="2:11">
      <c r="B13" s="8" t="s">
        <v>80</v>
      </c>
      <c r="C13" s="37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81</v>
      </c>
    </row>
  </sheetData>
  <sheetProtection algorithmName="SHA-512" hashValue="qCjvnFYYYirMBCIN9CXfSjjVNXWiQZw3JRNKmwURtF9rvnvwmq1+ZEtoB57exB1+IwjWYQbCV8CgTU6z+keAIA==" saltValue="9xJ13aA/BEK/OMOAuKQtZg==" spinCount="100000" sheet="1" objects="1" scenarios="1" selectLockedCells="1"/>
  <mergeCells count="2">
    <mergeCell ref="B3:K3"/>
    <mergeCell ref="K4:K8"/>
  </mergeCells>
  <conditionalFormatting sqref="C10 C13">
    <cfRule type="expression" dxfId="95" priority="7">
      <formula>IF(AND($C10&lt;&gt;"",$J10=0),1,0)</formula>
    </cfRule>
    <cfRule type="expression" dxfId="94" priority="8">
      <formula>IF($C10&lt;&gt;"",1,0)</formula>
    </cfRule>
    <cfRule type="expression" dxfId="93" priority="9">
      <formula>$J10=0</formula>
    </cfRule>
  </conditionalFormatting>
  <conditionalFormatting sqref="K4">
    <cfRule type="expression" dxfId="92" priority="59">
      <formula>IF(COUNTA($C$10:$C$13)&lt;&gt;COUNTIF($J$10:$J$13,1),1,0)</formula>
    </cfRule>
    <cfRule type="expression" dxfId="91" priority="60">
      <formula>IF(COUNTA($C$10:$C$13)=COUNTIF($J$10:$J$13,1),1,0)</formula>
    </cfRule>
  </conditionalFormatting>
  <conditionalFormatting sqref="C11:C12">
    <cfRule type="expression" dxfId="90" priority="1">
      <formula>IF(AND($C11&lt;&gt;"",$J11=0),1,0)</formula>
    </cfRule>
    <cfRule type="expression" dxfId="89" priority="2">
      <formula>IF($C11&lt;&gt;"",1,0)</formula>
    </cfRule>
    <cfRule type="expression" dxfId="88" priority="3">
      <formula>$J11=0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G10:G13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E10:E13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F10:F13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3ADF9-A464-4A92-813E-AD8B9C56604F}">
  <sheetPr codeName="Sheet22">
    <tabColor rgb="FF00B050"/>
  </sheetPr>
  <dimension ref="A1:K12"/>
  <sheetViews>
    <sheetView showGridLines="0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B13" sqref="A13:XFD20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1" spans="2:11" hidden="1">
      <c r="B1" s="31"/>
      <c r="C1" s="31"/>
      <c r="D1" s="31"/>
      <c r="E1" s="31"/>
      <c r="F1" s="31"/>
      <c r="G1" s="31"/>
      <c r="H1" s="31"/>
      <c r="I1" s="31"/>
      <c r="J1" s="31"/>
      <c r="K1" s="31"/>
    </row>
    <row r="2" spans="2:11">
      <c r="B2" s="47" t="str">
        <f>'Revision History'!$D$4</f>
        <v>REV. NO.1 (6/8/2022)</v>
      </c>
      <c r="C2" s="48"/>
      <c r="D2" s="48"/>
      <c r="E2" s="48"/>
      <c r="F2" s="48"/>
      <c r="G2" s="48"/>
      <c r="H2" s="48"/>
      <c r="I2" s="48"/>
      <c r="J2" s="48"/>
      <c r="K2" s="49" t="str">
        <f>'Revision History'!$J$4</f>
        <v>Scott Research Group (jkscottresearchgroup.com)</v>
      </c>
    </row>
    <row r="3" spans="2:11" ht="18">
      <c r="B3" s="72" t="s">
        <v>29</v>
      </c>
      <c r="C3" s="72"/>
      <c r="D3" s="72"/>
      <c r="E3" s="72"/>
      <c r="F3" s="72"/>
      <c r="G3" s="72"/>
      <c r="H3" s="72"/>
      <c r="I3" s="72"/>
      <c r="J3" s="72"/>
      <c r="K3" s="72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73" t="str">
        <f>IF(COUNTIF(Table11082[Test 3],1)=COUNTA(Table11082[Value]),"Ready","Not Ready")</f>
        <v>Ready</v>
      </c>
    </row>
    <row r="5" spans="2:11" ht="14.4" customHeight="1">
      <c r="B5" s="17"/>
      <c r="C5" s="18"/>
      <c r="D5" s="56"/>
      <c r="E5" s="56"/>
      <c r="F5" s="56"/>
      <c r="G5" s="56"/>
      <c r="H5" s="19"/>
      <c r="I5" s="56"/>
      <c r="J5" s="56"/>
      <c r="K5" s="74"/>
    </row>
    <row r="6" spans="2:11" ht="14.4" customHeight="1">
      <c r="B6" s="17"/>
      <c r="C6" s="18"/>
      <c r="D6" s="56"/>
      <c r="E6" s="56"/>
      <c r="F6" s="56"/>
      <c r="G6" s="56"/>
      <c r="H6" s="19"/>
      <c r="I6" s="56"/>
      <c r="J6" s="56"/>
      <c r="K6" s="74"/>
    </row>
    <row r="7" spans="2:11" ht="14.4" customHeight="1">
      <c r="B7" s="17"/>
      <c r="C7" s="18"/>
      <c r="D7" s="56"/>
      <c r="E7" s="56"/>
      <c r="F7" s="56"/>
      <c r="G7" s="56"/>
      <c r="H7" s="19"/>
      <c r="I7" s="56"/>
      <c r="J7" s="56"/>
      <c r="K7" s="74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75"/>
    </row>
    <row r="9" spans="2:11">
      <c r="B9" s="32" t="s">
        <v>0</v>
      </c>
      <c r="C9" s="33" t="s">
        <v>1</v>
      </c>
      <c r="D9" s="33" t="s">
        <v>2</v>
      </c>
      <c r="E9" s="33" t="s">
        <v>14</v>
      </c>
      <c r="F9" s="33" t="s">
        <v>65</v>
      </c>
      <c r="G9" s="34" t="s">
        <v>38</v>
      </c>
      <c r="H9" s="34" t="s">
        <v>66</v>
      </c>
      <c r="I9" s="33" t="s">
        <v>67</v>
      </c>
      <c r="J9" s="35" t="s">
        <v>76</v>
      </c>
      <c r="K9" s="35" t="s">
        <v>12</v>
      </c>
    </row>
    <row r="10" spans="2:11">
      <c r="B10" s="55" t="s">
        <v>127</v>
      </c>
      <c r="C10" s="36">
        <v>16</v>
      </c>
      <c r="D10" s="38" t="s">
        <v>128</v>
      </c>
      <c r="E10" s="54" t="s">
        <v>22</v>
      </c>
      <c r="F10" s="54" t="s">
        <v>7</v>
      </c>
      <c r="G10" s="2" t="s">
        <v>5</v>
      </c>
      <c r="H10" s="54">
        <v>1</v>
      </c>
      <c r="I10" s="54">
        <f>Initialization!$C$10</f>
        <v>2</v>
      </c>
      <c r="J10" s="6">
        <v>1</v>
      </c>
      <c r="K10" s="5" t="s">
        <v>129</v>
      </c>
    </row>
    <row r="11" spans="2:11">
      <c r="B11" s="55" t="s">
        <v>130</v>
      </c>
      <c r="C11" s="36">
        <v>14</v>
      </c>
      <c r="D11" s="38" t="s">
        <v>128</v>
      </c>
      <c r="E11" s="54" t="s">
        <v>22</v>
      </c>
      <c r="F11" s="54" t="s">
        <v>7</v>
      </c>
      <c r="G11" s="2" t="s">
        <v>5</v>
      </c>
      <c r="H11" s="54"/>
      <c r="I11" s="54">
        <f>Initialization!$C$10</f>
        <v>2</v>
      </c>
      <c r="J11" s="6">
        <v>1</v>
      </c>
      <c r="K11" s="5" t="s">
        <v>129</v>
      </c>
    </row>
    <row r="12" spans="2:11">
      <c r="B12" s="8" t="s">
        <v>80</v>
      </c>
      <c r="C12" s="37"/>
      <c r="D12" s="9"/>
      <c r="E12" s="10"/>
      <c r="F12" s="10"/>
      <c r="G12" s="9"/>
      <c r="H12" s="10">
        <v>1</v>
      </c>
      <c r="I12" s="10">
        <v>1</v>
      </c>
      <c r="J12" s="11">
        <v>0</v>
      </c>
      <c r="K12" s="12" t="s">
        <v>81</v>
      </c>
    </row>
  </sheetData>
  <sheetProtection algorithmName="SHA-512" hashValue="8yVwIf7XyGP4yLME9OmH+MtUtVsrC2KvYEVFdqmjgU/g2s2VowJlhpx8ATDkvq3SlaYShoqfPzMBbmZg+tE6dQ==" saltValue="+41p5Wf9vrFQx7jcuNobSw==" spinCount="100000" sheet="1" objects="1" scenarios="1" selectLockedCells="1"/>
  <mergeCells count="2">
    <mergeCell ref="B3:K3"/>
    <mergeCell ref="K4:K8"/>
  </mergeCells>
  <conditionalFormatting sqref="C12">
    <cfRule type="expression" dxfId="72" priority="70">
      <formula>IF(AND($C12&lt;&gt;"",$J12=0),1,0)</formula>
    </cfRule>
    <cfRule type="expression" dxfId="71" priority="71">
      <formula>IF($C12&lt;&gt;"",1,0)</formula>
    </cfRule>
    <cfRule type="expression" dxfId="70" priority="72">
      <formula>$J12=0</formula>
    </cfRule>
  </conditionalFormatting>
  <conditionalFormatting sqref="C10">
    <cfRule type="expression" dxfId="69" priority="31">
      <formula>IF(AND($C10&lt;&gt;"",$J10=0),1,0)</formula>
    </cfRule>
    <cfRule type="expression" dxfId="68" priority="32">
      <formula>IF($C10&lt;&gt;"",1,0)</formula>
    </cfRule>
    <cfRule type="expression" dxfId="67" priority="33">
      <formula>$J10=0</formula>
    </cfRule>
  </conditionalFormatting>
  <conditionalFormatting sqref="C11">
    <cfRule type="expression" dxfId="66" priority="1">
      <formula>IF(AND($C11&lt;&gt;"",$J11=0),1,0)</formula>
    </cfRule>
    <cfRule type="expression" dxfId="65" priority="2">
      <formula>IF($C11&lt;&gt;"",1,0)</formula>
    </cfRule>
    <cfRule type="expression" dxfId="64" priority="3">
      <formula>$J11=0</formula>
    </cfRule>
  </conditionalFormatting>
  <conditionalFormatting sqref="K4">
    <cfRule type="expression" dxfId="63" priority="483">
      <formula>IF(COUNTA($C$10:$C$12)&lt;&gt;COUNTIF($J$10:$J$12,1),1,0)</formula>
    </cfRule>
    <cfRule type="expression" dxfId="62" priority="484">
      <formula>IF(COUNTA($C$10:$C$12)=COUNTIF($J$10:$J$12,1),1,0)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6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7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001DBF3-8D0D-4BCA-99B0-5D15ACD8947F}">
          <x14:formula1>
            <xm:f>Reference!$A$2:$A$8</xm:f>
          </x14:formula1>
          <xm:sqref>F10:F12</xm:sqref>
        </x14:dataValidation>
        <x14:dataValidation type="list" allowBlank="1" showInputMessage="1" showErrorMessage="1" xr:uid="{A4921C89-B3EA-4D7B-BAC3-164FE95120DE}">
          <x14:formula1>
            <xm:f>Reference!$B$2:$B$18</xm:f>
          </x14:formula1>
          <xm:sqref>E10:E12</xm:sqref>
        </x14:dataValidation>
        <x14:dataValidation type="list" allowBlank="1" showInputMessage="1" showErrorMessage="1" xr:uid="{7022346E-A8F2-4B1E-A19E-DABE09A7337F}">
          <x14:formula1>
            <xm:f>Reference!$C$2:$C$23</xm:f>
          </x14:formula1>
          <xm:sqref>G10:G12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abSelected="1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B19" sqref="A19:XFD20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1" spans="2:11" hidden="1">
      <c r="B1" s="31"/>
      <c r="C1" s="31"/>
      <c r="D1" s="31"/>
      <c r="E1" s="31"/>
      <c r="F1" s="31"/>
      <c r="G1" s="31"/>
      <c r="H1" s="31"/>
      <c r="I1" s="31"/>
      <c r="J1" s="31"/>
      <c r="K1" s="31"/>
    </row>
    <row r="2" spans="2:11">
      <c r="B2" s="47" t="str">
        <f>'Revision History'!$D$4</f>
        <v>REV. NO.1 (6/8/2022)</v>
      </c>
      <c r="C2" s="48"/>
      <c r="D2" s="48"/>
      <c r="E2" s="48"/>
      <c r="F2" s="48"/>
      <c r="G2" s="48"/>
      <c r="H2" s="48"/>
      <c r="I2" s="48"/>
      <c r="J2" s="48"/>
      <c r="K2" s="49" t="str">
        <f>'Revision History'!$J$4</f>
        <v>Scott Research Group (jkscottresearchgroup.com)</v>
      </c>
    </row>
    <row r="3" spans="2:11" ht="18">
      <c r="B3" s="72" t="s">
        <v>29</v>
      </c>
      <c r="C3" s="72"/>
      <c r="D3" s="72"/>
      <c r="E3" s="72"/>
      <c r="F3" s="72"/>
      <c r="G3" s="72"/>
      <c r="H3" s="72"/>
      <c r="I3" s="72"/>
      <c r="J3" s="72"/>
      <c r="K3" s="72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73" t="str">
        <f>IF(COUNTIF(Table110824[Test 3],1)=COUNTA(Table110824[Value]),"Ready","Not Ready")</f>
        <v>Ready</v>
      </c>
    </row>
    <row r="5" spans="2:11" ht="14.4" customHeight="1">
      <c r="B5" s="17"/>
      <c r="C5" s="18"/>
      <c r="D5" s="56"/>
      <c r="E5" s="56"/>
      <c r="F5" s="56"/>
      <c r="G5" s="56"/>
      <c r="H5" s="19"/>
      <c r="I5" s="56"/>
      <c r="J5" s="56"/>
      <c r="K5" s="74"/>
    </row>
    <row r="6" spans="2:11" ht="14.4" customHeight="1">
      <c r="B6" s="17"/>
      <c r="C6" s="18"/>
      <c r="D6" s="56"/>
      <c r="E6" s="56"/>
      <c r="F6" s="56"/>
      <c r="G6" s="56"/>
      <c r="H6" s="19"/>
      <c r="I6" s="56"/>
      <c r="J6" s="56"/>
      <c r="K6" s="74"/>
    </row>
    <row r="7" spans="2:11" ht="14.4" customHeight="1">
      <c r="B7" s="17"/>
      <c r="C7" s="18"/>
      <c r="D7" s="56"/>
      <c r="E7" s="56"/>
      <c r="F7" s="56"/>
      <c r="G7" s="56"/>
      <c r="H7" s="19"/>
      <c r="I7" s="56"/>
      <c r="J7" s="56"/>
      <c r="K7" s="74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75"/>
    </row>
    <row r="9" spans="2:11">
      <c r="B9" s="32" t="s">
        <v>0</v>
      </c>
      <c r="C9" s="33" t="s">
        <v>1</v>
      </c>
      <c r="D9" s="33" t="s">
        <v>2</v>
      </c>
      <c r="E9" s="33" t="s">
        <v>14</v>
      </c>
      <c r="F9" s="33" t="s">
        <v>65</v>
      </c>
      <c r="G9" s="34" t="s">
        <v>38</v>
      </c>
      <c r="H9" s="34" t="s">
        <v>66</v>
      </c>
      <c r="I9" s="33" t="s">
        <v>67</v>
      </c>
      <c r="J9" s="35" t="s">
        <v>76</v>
      </c>
      <c r="K9" s="35" t="s">
        <v>12</v>
      </c>
    </row>
    <row r="10" spans="2:11">
      <c r="B10" s="4" t="s">
        <v>95</v>
      </c>
      <c r="C10" s="36">
        <v>14000</v>
      </c>
      <c r="D10" s="2" t="s">
        <v>97</v>
      </c>
      <c r="E10" s="54" t="s">
        <v>22</v>
      </c>
      <c r="F10" s="54" t="s">
        <v>7</v>
      </c>
      <c r="G10" s="2" t="s">
        <v>5</v>
      </c>
      <c r="H10" s="54">
        <v>1</v>
      </c>
      <c r="I10" s="54">
        <f>Initialization!$C$10</f>
        <v>2</v>
      </c>
      <c r="J10" s="6">
        <v>1</v>
      </c>
      <c r="K10" s="5" t="s">
        <v>99</v>
      </c>
    </row>
    <row r="11" spans="2:11">
      <c r="B11" s="4" t="s">
        <v>96</v>
      </c>
      <c r="C11" s="36">
        <v>20340</v>
      </c>
      <c r="D11" s="2" t="s">
        <v>97</v>
      </c>
      <c r="E11" s="54" t="s">
        <v>22</v>
      </c>
      <c r="F11" s="54" t="s">
        <v>7</v>
      </c>
      <c r="G11" s="2" t="s">
        <v>5</v>
      </c>
      <c r="H11" s="54"/>
      <c r="I11" s="54">
        <f>Initialization!$C$10</f>
        <v>2</v>
      </c>
      <c r="J11" s="6">
        <v>1</v>
      </c>
      <c r="K11" s="5" t="s">
        <v>99</v>
      </c>
    </row>
    <row r="12" spans="2:11" ht="28.8">
      <c r="B12" s="4" t="s">
        <v>109</v>
      </c>
      <c r="C12" s="36">
        <v>29.370999999999999</v>
      </c>
      <c r="D12" s="2" t="s">
        <v>98</v>
      </c>
      <c r="E12" s="54" t="s">
        <v>22</v>
      </c>
      <c r="F12" s="54" t="s">
        <v>7</v>
      </c>
      <c r="G12" s="2" t="s">
        <v>5</v>
      </c>
      <c r="H12" s="54">
        <v>1</v>
      </c>
      <c r="I12" s="54">
        <f>Initialization!$C$10</f>
        <v>2</v>
      </c>
      <c r="J12" s="6">
        <v>1</v>
      </c>
      <c r="K12" s="52" t="s">
        <v>107</v>
      </c>
    </row>
    <row r="13" spans="2:11" ht="28.8">
      <c r="B13" s="4" t="s">
        <v>110</v>
      </c>
      <c r="C13" s="36">
        <v>29.129000000000001</v>
      </c>
      <c r="D13" s="2" t="s">
        <v>98</v>
      </c>
      <c r="E13" s="54" t="s">
        <v>22</v>
      </c>
      <c r="F13" s="54" t="s">
        <v>7</v>
      </c>
      <c r="G13" s="2" t="s">
        <v>5</v>
      </c>
      <c r="H13" s="54"/>
      <c r="I13" s="54">
        <f>Initialization!$C$10</f>
        <v>2</v>
      </c>
      <c r="J13" s="6">
        <v>1</v>
      </c>
      <c r="K13" s="52" t="s">
        <v>107</v>
      </c>
    </row>
    <row r="14" spans="2:11" ht="28.8">
      <c r="B14" s="55" t="s">
        <v>111</v>
      </c>
      <c r="C14" s="36">
        <v>21.056999999999999</v>
      </c>
      <c r="D14" s="2" t="s">
        <v>98</v>
      </c>
      <c r="E14" s="54" t="s">
        <v>22</v>
      </c>
      <c r="F14" s="54" t="s">
        <v>7</v>
      </c>
      <c r="G14" s="2" t="s">
        <v>5</v>
      </c>
      <c r="H14" s="54">
        <v>1</v>
      </c>
      <c r="I14" s="54">
        <f>Initialization!$C$10</f>
        <v>2</v>
      </c>
      <c r="J14" s="6">
        <v>1</v>
      </c>
      <c r="K14" s="52" t="s">
        <v>108</v>
      </c>
    </row>
    <row r="15" spans="2:11" ht="28.8">
      <c r="B15" s="55" t="s">
        <v>112</v>
      </c>
      <c r="C15" s="36">
        <v>20.815000000000001</v>
      </c>
      <c r="D15" s="2" t="s">
        <v>98</v>
      </c>
      <c r="E15" s="54" t="s">
        <v>22</v>
      </c>
      <c r="F15" s="54" t="s">
        <v>7</v>
      </c>
      <c r="G15" s="2" t="s">
        <v>5</v>
      </c>
      <c r="H15" s="54"/>
      <c r="I15" s="54">
        <f>Initialization!$C$10</f>
        <v>2</v>
      </c>
      <c r="J15" s="6">
        <v>1</v>
      </c>
      <c r="K15" s="52" t="s">
        <v>108</v>
      </c>
    </row>
    <row r="16" spans="2:11" ht="28.8">
      <c r="B16" s="55" t="s">
        <v>114</v>
      </c>
      <c r="C16" s="36">
        <v>1</v>
      </c>
      <c r="D16" s="38" t="s">
        <v>3</v>
      </c>
      <c r="E16" s="54" t="s">
        <v>22</v>
      </c>
      <c r="F16" s="54" t="s">
        <v>7</v>
      </c>
      <c r="G16" s="2" t="s">
        <v>5</v>
      </c>
      <c r="H16" s="54">
        <v>1</v>
      </c>
      <c r="I16" s="54">
        <f>Initialization!$C$10</f>
        <v>2</v>
      </c>
      <c r="J16" s="6">
        <v>1</v>
      </c>
      <c r="K16" s="5" t="s">
        <v>113</v>
      </c>
    </row>
    <row r="17" spans="2:11" ht="28.8">
      <c r="B17" s="55" t="s">
        <v>115</v>
      </c>
      <c r="C17" s="36">
        <v>1</v>
      </c>
      <c r="D17" s="38" t="s">
        <v>3</v>
      </c>
      <c r="E17" s="54" t="s">
        <v>22</v>
      </c>
      <c r="F17" s="54" t="s">
        <v>7</v>
      </c>
      <c r="G17" s="2" t="s">
        <v>5</v>
      </c>
      <c r="H17" s="54"/>
      <c r="I17" s="54">
        <f>Initialization!$C$10</f>
        <v>2</v>
      </c>
      <c r="J17" s="6">
        <v>1</v>
      </c>
      <c r="K17" s="5" t="s">
        <v>113</v>
      </c>
    </row>
    <row r="18" spans="2:11">
      <c r="B18" s="8" t="s">
        <v>80</v>
      </c>
      <c r="C18" s="37"/>
      <c r="D18" s="9"/>
      <c r="E18" s="10"/>
      <c r="F18" s="10"/>
      <c r="G18" s="9"/>
      <c r="H18" s="10">
        <v>1</v>
      </c>
      <c r="I18" s="10">
        <v>1</v>
      </c>
      <c r="J18" s="11">
        <v>0</v>
      </c>
      <c r="K18" s="12" t="s">
        <v>81</v>
      </c>
    </row>
  </sheetData>
  <sheetProtection algorithmName="SHA-512" hashValue="TriLQjIplxrW9HMlxv0bLIzQ5UtwL1/sU3gy9xgaCNko9nxkbF38uM7KyP2KBIsxFKJ3nWkN36IK1n2j9yN/SQ==" saltValue="LXldkFcx6szzNamzjPffNQ==" spinCount="100000" sheet="1" objects="1" scenarios="1" selectLockedCells="1"/>
  <mergeCells count="2">
    <mergeCell ref="B3:K3"/>
    <mergeCell ref="K4:K8"/>
  </mergeCells>
  <conditionalFormatting sqref="C18 C10 C16 C14 C12">
    <cfRule type="expression" dxfId="46" priority="31">
      <formula>IF(AND($C10&lt;&gt;"",$J10=0),1,0)</formula>
    </cfRule>
    <cfRule type="expression" dxfId="45" priority="32">
      <formula>IF($C10&lt;&gt;"",1,0)</formula>
    </cfRule>
    <cfRule type="expression" dxfId="44" priority="33">
      <formula>$J10=0</formula>
    </cfRule>
  </conditionalFormatting>
  <conditionalFormatting sqref="C10">
    <cfRule type="expression" dxfId="43" priority="28">
      <formula>IF(AND($C10&lt;&gt;"",$J10=0),1,0)</formula>
    </cfRule>
    <cfRule type="expression" dxfId="42" priority="29">
      <formula>IF($C10&lt;&gt;"",1,0)</formula>
    </cfRule>
    <cfRule type="expression" dxfId="41" priority="30">
      <formula>$J10=0</formula>
    </cfRule>
  </conditionalFormatting>
  <conditionalFormatting sqref="C17">
    <cfRule type="expression" dxfId="40" priority="22">
      <formula>IF(AND($C17&lt;&gt;"",$J17=0),1,0)</formula>
    </cfRule>
    <cfRule type="expression" dxfId="39" priority="23">
      <formula>IF($C17&lt;&gt;"",1,0)</formula>
    </cfRule>
    <cfRule type="expression" dxfId="38" priority="24">
      <formula>$J17=0</formula>
    </cfRule>
  </conditionalFormatting>
  <conditionalFormatting sqref="C15">
    <cfRule type="expression" dxfId="37" priority="19">
      <formula>IF(AND($C15&lt;&gt;"",$J15=0),1,0)</formula>
    </cfRule>
    <cfRule type="expression" dxfId="36" priority="20">
      <formula>IF($C15&lt;&gt;"",1,0)</formula>
    </cfRule>
    <cfRule type="expression" dxfId="35" priority="21">
      <formula>$J15=0</formula>
    </cfRule>
  </conditionalFormatting>
  <conditionalFormatting sqref="C13">
    <cfRule type="expression" dxfId="34" priority="16">
      <formula>IF(AND($C13&lt;&gt;"",$J13=0),1,0)</formula>
    </cfRule>
    <cfRule type="expression" dxfId="33" priority="17">
      <formula>IF($C13&lt;&gt;"",1,0)</formula>
    </cfRule>
    <cfRule type="expression" dxfId="32" priority="18">
      <formula>$J13=0</formula>
    </cfRule>
  </conditionalFormatting>
  <conditionalFormatting sqref="C11">
    <cfRule type="expression" dxfId="31" priority="13">
      <formula>IF(AND($C11&lt;&gt;"",$J11=0),1,0)</formula>
    </cfRule>
    <cfRule type="expression" dxfId="30" priority="14">
      <formula>IF($C11&lt;&gt;"",1,0)</formula>
    </cfRule>
    <cfRule type="expression" dxfId="29" priority="15">
      <formula>$J11=0</formula>
    </cfRule>
  </conditionalFormatting>
  <conditionalFormatting sqref="C11">
    <cfRule type="expression" dxfId="28" priority="1">
      <formula>IF(AND($C11&lt;&gt;"",$J11=0),1,0)</formula>
    </cfRule>
    <cfRule type="expression" dxfId="27" priority="2">
      <formula>IF($C11&lt;&gt;"",1,0)</formula>
    </cfRule>
    <cfRule type="expression" dxfId="26" priority="3">
      <formula>$J11=0</formula>
    </cfRule>
  </conditionalFormatting>
  <conditionalFormatting sqref="C17">
    <cfRule type="expression" dxfId="25" priority="10">
      <formula>IF(AND($C17&lt;&gt;"",$J17=0),1,0)</formula>
    </cfRule>
    <cfRule type="expression" dxfId="24" priority="11">
      <formula>IF($C17&lt;&gt;"",1,0)</formula>
    </cfRule>
    <cfRule type="expression" dxfId="23" priority="12">
      <formula>$J17=0</formula>
    </cfRule>
  </conditionalFormatting>
  <conditionalFormatting sqref="C15">
    <cfRule type="expression" dxfId="22" priority="7">
      <formula>IF(AND($C15&lt;&gt;"",$J15=0),1,0)</formula>
    </cfRule>
    <cfRule type="expression" dxfId="21" priority="8">
      <formula>IF($C15&lt;&gt;"",1,0)</formula>
    </cfRule>
    <cfRule type="expression" dxfId="20" priority="9">
      <formula>$J15=0</formula>
    </cfRule>
  </conditionalFormatting>
  <conditionalFormatting sqref="C13">
    <cfRule type="expression" dxfId="19" priority="4">
      <formula>IF(AND($C13&lt;&gt;"",$J13=0),1,0)</formula>
    </cfRule>
    <cfRule type="expression" dxfId="18" priority="5">
      <formula>IF($C13&lt;&gt;"",1,0)</formula>
    </cfRule>
    <cfRule type="expression" dxfId="17" priority="6">
      <formula>$J13=0</formula>
    </cfRule>
  </conditionalFormatting>
  <conditionalFormatting sqref="K4">
    <cfRule type="expression" dxfId="16" priority="485">
      <formula>IF(COUNTA($C$10:$C$18)&lt;&gt;COUNTIF($J$10:$J$18,1),1,0)</formula>
    </cfRule>
    <cfRule type="expression" dxfId="15" priority="486">
      <formula>IF(COUNTA($C$10:$C$18)=COUNTIF($J$10:$J$18,1),1,0)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G10:G18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E10:E18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F10:F18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2" sqref="C12"/>
    </sheetView>
  </sheetViews>
  <sheetFormatPr defaultColWidth="0" defaultRowHeight="0" customHeight="1" zeroHeight="1"/>
  <cols>
    <col min="1" max="2" width="8.88671875" style="67" customWidth="1"/>
    <col min="3" max="3" width="13.109375" style="67" customWidth="1"/>
    <col min="4" max="4" width="13.44140625" style="67" customWidth="1"/>
    <col min="5" max="6" width="8.88671875" style="67" customWidth="1"/>
    <col min="7" max="7" width="14.77734375" style="67" customWidth="1"/>
    <col min="8" max="8" width="11.6640625" style="67" customWidth="1"/>
    <col min="9" max="9" width="10.33203125" style="67" customWidth="1"/>
    <col min="10" max="10" width="5.6640625" style="67" customWidth="1"/>
    <col min="11" max="11" width="10.5546875" style="67" customWidth="1"/>
    <col min="12" max="17" width="8.88671875" style="67" customWidth="1"/>
    <col min="18" max="16384" width="8.88671875" style="67" hidden="1"/>
  </cols>
  <sheetData>
    <row r="1" spans="1:17" ht="14.4">
      <c r="A1" s="64" t="str">
        <f>'[1]Revision History'!D4</f>
        <v>REV. NO.1 (6/8/2022)</v>
      </c>
      <c r="B1" s="65"/>
      <c r="C1" s="65"/>
      <c r="D1" s="65"/>
      <c r="E1" s="65"/>
      <c r="F1" s="65"/>
      <c r="G1" s="65"/>
      <c r="H1" s="65"/>
      <c r="I1" s="66"/>
      <c r="J1" s="66"/>
      <c r="K1" s="66"/>
      <c r="L1" s="66"/>
      <c r="M1" s="66"/>
      <c r="N1" s="66"/>
      <c r="O1" s="66"/>
      <c r="P1" s="66"/>
      <c r="Q1" s="66" t="str">
        <f>'[2]Revision History'!$J$4</f>
        <v>Scott Research Group (jkscottresearchgroup.com)</v>
      </c>
    </row>
    <row r="2" spans="1:17" ht="14.4">
      <c r="A2" s="76" t="s">
        <v>135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</row>
    <row r="3" spans="1:17" ht="14.4">
      <c r="A3" s="30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</row>
    <row r="4" spans="1:17" ht="14.4">
      <c r="A4" s="30"/>
      <c r="B4" s="68" t="s">
        <v>136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</row>
    <row r="5" spans="1:17" ht="14.4">
      <c r="A5" s="30"/>
      <c r="B5" s="68"/>
      <c r="C5" s="68" t="s">
        <v>100</v>
      </c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</row>
    <row r="6" spans="1:17" ht="14.4">
      <c r="A6" s="30"/>
      <c r="B6" s="68"/>
      <c r="C6" s="68"/>
      <c r="D6" s="51" t="s">
        <v>101</v>
      </c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</row>
    <row r="7" spans="1:17" ht="14.4">
      <c r="A7" s="30"/>
      <c r="B7" s="68"/>
      <c r="C7" s="68" t="s">
        <v>102</v>
      </c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</row>
    <row r="8" spans="1:17" ht="14.4">
      <c r="A8" s="30"/>
      <c r="B8" s="68"/>
      <c r="C8" s="68"/>
      <c r="D8" s="50" t="s">
        <v>103</v>
      </c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</row>
    <row r="9" spans="1:17" ht="14.4">
      <c r="A9" s="30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</row>
    <row r="10" spans="1:17" ht="14.4">
      <c r="A10" s="30"/>
      <c r="B10" s="68" t="s">
        <v>137</v>
      </c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</row>
    <row r="11" spans="1:17" ht="14.4">
      <c r="A11" s="30"/>
      <c r="B11" s="68"/>
      <c r="C11" s="68" t="s">
        <v>138</v>
      </c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</row>
    <row r="12" spans="1:17" ht="14.4">
      <c r="A12" s="30"/>
      <c r="B12" s="68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</row>
    <row r="13" spans="1:17" ht="14.4">
      <c r="A13" s="30"/>
      <c r="B13" s="68"/>
      <c r="C13" s="68"/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</row>
    <row r="14" spans="1:17" ht="14.4">
      <c r="A14" s="30"/>
      <c r="B14" s="68"/>
      <c r="C14" s="68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</row>
    <row r="15" spans="1:17" ht="14.4">
      <c r="A15" s="30"/>
      <c r="B15" s="68"/>
      <c r="C15" s="68"/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</row>
    <row r="16" spans="1:17" ht="14.4">
      <c r="A16" s="30"/>
      <c r="B16" s="68"/>
      <c r="C16" s="68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</row>
    <row r="17" spans="1:17" ht="14.4">
      <c r="A17" s="30"/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</row>
    <row r="18" spans="1:17" ht="14.4">
      <c r="A18" s="30"/>
      <c r="B18" s="68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</row>
    <row r="19" spans="1:17" ht="14.4">
      <c r="A19" s="30"/>
      <c r="B19" s="68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</row>
    <row r="20" spans="1:17" ht="14.4">
      <c r="A20" s="30"/>
      <c r="B20" s="68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</row>
    <row r="21" spans="1:17" ht="14.4">
      <c r="A21" s="30"/>
      <c r="B21" s="68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</row>
    <row r="22" spans="1:17" ht="14.4">
      <c r="A22" s="30"/>
      <c r="B22" s="68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</row>
    <row r="23" spans="1:17" ht="14.4">
      <c r="A23" s="30"/>
      <c r="B23" s="68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</row>
    <row r="24" spans="1:17" ht="14.4">
      <c r="A24" s="30"/>
      <c r="B24" s="68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</row>
    <row r="25" spans="1:17" ht="14.4">
      <c r="A25" s="30"/>
      <c r="B25" s="68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</row>
    <row r="26" spans="1:17" ht="14.4">
      <c r="A26" s="30"/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</row>
    <row r="27" spans="1:17" ht="14.4">
      <c r="A27" s="30"/>
      <c r="B27" s="68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</row>
    <row r="28" spans="1:17" ht="14.4">
      <c r="A28" s="30"/>
      <c r="B28" s="68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</row>
    <row r="29" spans="1:17" ht="14.4">
      <c r="A29" s="30"/>
      <c r="B29" s="68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</row>
    <row r="30" spans="1:17" ht="14.4">
      <c r="A30" s="30"/>
      <c r="B30" s="68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</row>
    <row r="31" spans="1:17" ht="14.4">
      <c r="A31" s="30"/>
      <c r="B31" s="68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</row>
    <row r="32" spans="1:17" ht="14.4">
      <c r="A32" s="30"/>
      <c r="B32" s="69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</row>
    <row r="33" spans="1:17" ht="14.4">
      <c r="A33" s="30"/>
      <c r="B33" s="68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68"/>
    </row>
    <row r="34" spans="1:17" ht="14.4">
      <c r="A34" s="30"/>
      <c r="B34" s="68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1BCDE-CEB0-4BB0-9117-E571D994F35E}">
  <sheetPr codeName="Sheet2">
    <tabColor rgb="FF00B050"/>
  </sheetPr>
  <dimension ref="A1:AV52"/>
  <sheetViews>
    <sheetView showGridLines="0" zoomScale="85" zoomScaleNormal="85" zoomScaleSheetLayoutView="55" workbookViewId="0">
      <selection activeCell="A3" sqref="A3"/>
    </sheetView>
  </sheetViews>
  <sheetFormatPr defaultColWidth="0" defaultRowHeight="14.4" customHeight="1" zeroHeight="1"/>
  <cols>
    <col min="1" max="18" width="8.88671875" style="24" customWidth="1"/>
    <col min="19" max="48" width="0" style="24" hidden="1" customWidth="1"/>
    <col min="49" max="16384" width="8.88671875" style="24" hidden="1"/>
  </cols>
  <sheetData>
    <row r="1" spans="1:18">
      <c r="A1" s="64" t="str">
        <f>'[1]Revision History'!D4</f>
        <v>REV. NO.1 (6/8/2022)</v>
      </c>
      <c r="B1" s="65"/>
      <c r="C1" s="65"/>
      <c r="D1" s="65"/>
      <c r="E1" s="65"/>
      <c r="F1" s="65"/>
      <c r="G1" s="65"/>
      <c r="H1" s="65"/>
      <c r="I1" s="65"/>
      <c r="J1" s="66"/>
      <c r="K1" s="66"/>
      <c r="L1" s="66"/>
      <c r="M1" s="66"/>
      <c r="N1" s="66"/>
      <c r="O1" s="66"/>
      <c r="P1" s="66"/>
      <c r="Q1" s="66"/>
      <c r="R1" s="66" t="str">
        <f>'[2]Revision History'!$J$4</f>
        <v>Scott Research Group (jkscottresearchgroup.com)</v>
      </c>
    </row>
    <row r="2" spans="1:18">
      <c r="A2" s="28" t="s">
        <v>134</v>
      </c>
      <c r="B2" s="29"/>
      <c r="C2" s="29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6"/>
    </row>
    <row r="3" spans="1:18">
      <c r="A3" s="30"/>
      <c r="B3" s="68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27"/>
    </row>
    <row r="4" spans="1:18">
      <c r="A4" s="30"/>
      <c r="B4" s="68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27"/>
    </row>
    <row r="5" spans="1:18">
      <c r="A5" s="30"/>
      <c r="B5" s="68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27"/>
    </row>
    <row r="6" spans="1:18">
      <c r="A6" s="30"/>
      <c r="B6" s="68"/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27"/>
    </row>
    <row r="7" spans="1:18">
      <c r="A7" s="30"/>
      <c r="B7" s="68"/>
      <c r="C7" s="70"/>
      <c r="D7" s="70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  <c r="R7" s="27"/>
    </row>
    <row r="8" spans="1:18">
      <c r="A8" s="30"/>
      <c r="B8" s="68"/>
      <c r="C8" s="70"/>
      <c r="D8" s="70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27"/>
    </row>
    <row r="9" spans="1:18">
      <c r="A9" s="30"/>
      <c r="B9" s="68"/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27"/>
    </row>
    <row r="10" spans="1:18">
      <c r="A10" s="30"/>
      <c r="B10" s="68"/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27"/>
    </row>
    <row r="11" spans="1:18">
      <c r="A11" s="30"/>
      <c r="B11" s="68"/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27"/>
    </row>
    <row r="12" spans="1:18">
      <c r="A12" s="30"/>
      <c r="B12" s="68"/>
      <c r="C12" s="70"/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27"/>
    </row>
    <row r="13" spans="1:18">
      <c r="A13" s="30"/>
      <c r="B13" s="68"/>
      <c r="C13" s="70"/>
      <c r="D13" s="70"/>
      <c r="E13" s="70"/>
      <c r="F13" s="70"/>
      <c r="G13" s="70"/>
      <c r="H13" s="70"/>
      <c r="I13" s="70"/>
      <c r="J13" s="70"/>
      <c r="K13" s="70"/>
      <c r="L13" s="70"/>
      <c r="M13" s="70"/>
      <c r="N13" s="70"/>
      <c r="O13" s="70"/>
      <c r="P13" s="70"/>
      <c r="Q13" s="70"/>
      <c r="R13" s="27"/>
    </row>
    <row r="14" spans="1:18">
      <c r="A14" s="30"/>
      <c r="B14" s="68"/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27"/>
    </row>
    <row r="15" spans="1:18">
      <c r="A15" s="30"/>
      <c r="B15" s="68"/>
      <c r="C15" s="70"/>
      <c r="D15" s="70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27"/>
    </row>
    <row r="16" spans="1:18">
      <c r="A16" s="30"/>
      <c r="B16" s="68"/>
      <c r="C16" s="70"/>
      <c r="D16" s="70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27"/>
    </row>
    <row r="17" spans="1:18">
      <c r="A17" s="30"/>
      <c r="B17" s="68"/>
      <c r="C17" s="70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27"/>
    </row>
    <row r="18" spans="1:18">
      <c r="A18" s="30"/>
      <c r="B18" s="68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27"/>
    </row>
    <row r="19" spans="1:18">
      <c r="A19" s="30"/>
      <c r="B19" s="68"/>
      <c r="C19" s="70"/>
      <c r="D19" s="70"/>
      <c r="E19" s="70"/>
      <c r="F19" s="70"/>
      <c r="G19" s="70"/>
      <c r="H19" s="70"/>
      <c r="I19" s="70"/>
      <c r="J19" s="70"/>
      <c r="K19" s="70"/>
      <c r="L19" s="70"/>
      <c r="M19" s="70"/>
      <c r="N19" s="70"/>
      <c r="O19" s="70"/>
      <c r="P19" s="70"/>
      <c r="Q19" s="70"/>
      <c r="R19" s="27"/>
    </row>
    <row r="20" spans="1:18">
      <c r="A20" s="30"/>
      <c r="B20" s="68"/>
      <c r="C20" s="70"/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27"/>
    </row>
    <row r="21" spans="1:18">
      <c r="A21" s="30"/>
      <c r="B21" s="68"/>
      <c r="C21" s="70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27"/>
    </row>
    <row r="22" spans="1:18">
      <c r="A22" s="30"/>
      <c r="B22" s="68"/>
      <c r="C22" s="70"/>
      <c r="D22" s="70"/>
      <c r="E22" s="70"/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70"/>
      <c r="Q22" s="70"/>
      <c r="R22" s="27"/>
    </row>
    <row r="23" spans="1:18">
      <c r="A23" s="30"/>
      <c r="B23" s="68"/>
      <c r="C23" s="70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27"/>
    </row>
    <row r="24" spans="1:18">
      <c r="A24" s="30"/>
      <c r="B24" s="68"/>
      <c r="C24" s="70"/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70"/>
      <c r="R24" s="27"/>
    </row>
    <row r="25" spans="1:18">
      <c r="A25" s="30"/>
      <c r="B25" s="68"/>
      <c r="C25" s="70"/>
      <c r="D25" s="70"/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70"/>
      <c r="Q25" s="70"/>
      <c r="R25" s="27"/>
    </row>
    <row r="26" spans="1:18">
      <c r="A26" s="30"/>
      <c r="B26" s="68"/>
      <c r="C26" s="70"/>
      <c r="D26" s="70"/>
      <c r="E26" s="70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0"/>
      <c r="Q26" s="70"/>
      <c r="R26" s="27"/>
    </row>
    <row r="27" spans="1:18">
      <c r="A27" s="30"/>
      <c r="B27" s="68"/>
      <c r="C27" s="70"/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70"/>
      <c r="R27" s="27"/>
    </row>
    <row r="28" spans="1:18">
      <c r="A28" s="30"/>
      <c r="B28" s="68"/>
      <c r="C28" s="70"/>
      <c r="D28" s="70"/>
      <c r="E28" s="70"/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70"/>
      <c r="Q28" s="70"/>
      <c r="R28" s="27"/>
    </row>
    <row r="29" spans="1:18">
      <c r="A29" s="30"/>
      <c r="B29" s="68"/>
      <c r="C29" s="70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27"/>
    </row>
    <row r="30" spans="1:18">
      <c r="A30" s="30"/>
      <c r="B30" s="68"/>
      <c r="C30" s="70"/>
      <c r="D30" s="70"/>
      <c r="E30" s="70"/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70"/>
      <c r="Q30" s="70"/>
      <c r="R30" s="27"/>
    </row>
    <row r="31" spans="1:18">
      <c r="A31" s="30"/>
      <c r="B31" s="68"/>
      <c r="C31" s="70"/>
      <c r="D31" s="70"/>
      <c r="E31" s="70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70"/>
      <c r="Q31" s="70"/>
      <c r="R31" s="27"/>
    </row>
    <row r="32" spans="1:18">
      <c r="A32" s="30"/>
      <c r="B32" s="68"/>
      <c r="C32" s="70"/>
      <c r="D32" s="70"/>
      <c r="E32" s="70"/>
      <c r="F32" s="70"/>
      <c r="G32" s="70"/>
      <c r="H32" s="70"/>
      <c r="I32" s="70"/>
      <c r="J32" s="70"/>
      <c r="K32" s="70"/>
      <c r="L32" s="70"/>
      <c r="M32" s="70"/>
      <c r="N32" s="70"/>
      <c r="O32" s="70"/>
      <c r="P32" s="70"/>
      <c r="Q32" s="70"/>
      <c r="R32" s="27"/>
    </row>
    <row r="33" spans="1:18">
      <c r="A33" s="30"/>
      <c r="B33" s="68"/>
      <c r="C33" s="70"/>
      <c r="D33" s="70"/>
      <c r="E33" s="70"/>
      <c r="F33" s="70"/>
      <c r="G33" s="70"/>
      <c r="H33" s="70"/>
      <c r="I33" s="70"/>
      <c r="J33" s="70"/>
      <c r="K33" s="70"/>
      <c r="L33" s="70"/>
      <c r="M33" s="70"/>
      <c r="N33" s="70"/>
      <c r="O33" s="70"/>
      <c r="P33" s="70"/>
      <c r="Q33" s="70"/>
      <c r="R33" s="27"/>
    </row>
    <row r="34" spans="1:18">
      <c r="A34" s="30"/>
      <c r="B34" s="68"/>
      <c r="C34" s="70"/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70"/>
      <c r="Q34" s="70"/>
      <c r="R34" s="27"/>
    </row>
    <row r="35" spans="1:18">
      <c r="A35" s="30"/>
      <c r="B35" s="68"/>
      <c r="C35" s="70"/>
      <c r="D35" s="70"/>
      <c r="E35" s="70"/>
      <c r="F35" s="70"/>
      <c r="G35" s="70"/>
      <c r="H35" s="70"/>
      <c r="I35" s="70"/>
      <c r="J35" s="70"/>
      <c r="K35" s="70"/>
      <c r="L35" s="70"/>
      <c r="M35" s="70"/>
      <c r="N35" s="70"/>
      <c r="O35" s="70"/>
      <c r="P35" s="70"/>
      <c r="Q35" s="70"/>
      <c r="R35" s="27"/>
    </row>
    <row r="36" spans="1:18">
      <c r="A36" s="30"/>
      <c r="B36" s="68"/>
      <c r="C36" s="70"/>
      <c r="D36" s="70"/>
      <c r="E36" s="70"/>
      <c r="F36" s="70"/>
      <c r="G36" s="70"/>
      <c r="H36" s="70"/>
      <c r="I36" s="70"/>
      <c r="J36" s="70"/>
      <c r="K36" s="70"/>
      <c r="L36" s="70"/>
      <c r="M36" s="70"/>
      <c r="N36" s="70"/>
      <c r="O36" s="70"/>
      <c r="P36" s="70"/>
      <c r="Q36" s="70"/>
      <c r="R36" s="27"/>
    </row>
    <row r="37" spans="1:18">
      <c r="A37" s="30"/>
      <c r="B37" s="68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N37" s="70"/>
      <c r="O37" s="70"/>
      <c r="P37" s="70"/>
      <c r="Q37" s="70"/>
      <c r="R37" s="27"/>
    </row>
    <row r="38" spans="1:18">
      <c r="A38" s="30"/>
      <c r="B38" s="68"/>
      <c r="C38" s="70"/>
      <c r="D38" s="70"/>
      <c r="E38" s="70"/>
      <c r="F38" s="70"/>
      <c r="G38" s="70"/>
      <c r="H38" s="70"/>
      <c r="I38" s="70"/>
      <c r="J38" s="70"/>
      <c r="K38" s="70"/>
      <c r="L38" s="70"/>
      <c r="M38" s="70"/>
      <c r="N38" s="70"/>
      <c r="O38" s="70"/>
      <c r="P38" s="70"/>
      <c r="Q38" s="70"/>
      <c r="R38" s="27"/>
    </row>
    <row r="39" spans="1:18">
      <c r="A39" s="30"/>
      <c r="B39" s="68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P39" s="70"/>
      <c r="Q39" s="70"/>
      <c r="R39" s="27"/>
    </row>
    <row r="40" spans="1:18">
      <c r="A40" s="30"/>
      <c r="B40" s="68"/>
      <c r="C40" s="70"/>
      <c r="D40" s="70"/>
      <c r="E40" s="70"/>
      <c r="F40" s="70"/>
      <c r="G40" s="70"/>
      <c r="H40" s="70"/>
      <c r="I40" s="70"/>
      <c r="J40" s="70"/>
      <c r="K40" s="70"/>
      <c r="L40" s="70"/>
      <c r="M40" s="70"/>
      <c r="N40" s="70"/>
      <c r="O40" s="70"/>
      <c r="P40" s="70"/>
      <c r="Q40" s="70"/>
      <c r="R40" s="27"/>
    </row>
    <row r="41" spans="1:18">
      <c r="A41" s="30"/>
      <c r="B41" s="68"/>
      <c r="C41" s="70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27"/>
    </row>
    <row r="42" spans="1:18">
      <c r="A42" s="30"/>
      <c r="B42" s="68"/>
      <c r="C42" s="70"/>
      <c r="D42" s="70"/>
      <c r="E42" s="70"/>
      <c r="F42" s="70"/>
      <c r="G42" s="70"/>
      <c r="H42" s="70"/>
      <c r="I42" s="70"/>
      <c r="J42" s="70"/>
      <c r="K42" s="70"/>
      <c r="L42" s="70"/>
      <c r="M42" s="70"/>
      <c r="N42" s="70"/>
      <c r="O42" s="70"/>
      <c r="P42" s="70"/>
      <c r="Q42" s="70"/>
      <c r="R42" s="27"/>
    </row>
    <row r="43" spans="1:18">
      <c r="A43" s="30"/>
      <c r="B43" s="68"/>
      <c r="C43" s="70"/>
      <c r="D43" s="70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0"/>
      <c r="P43" s="70"/>
      <c r="Q43" s="70"/>
      <c r="R43" s="27"/>
    </row>
    <row r="44" spans="1:18">
      <c r="A44" s="30"/>
      <c r="B44" s="68"/>
      <c r="C44" s="70"/>
      <c r="D44" s="70"/>
      <c r="E44" s="70"/>
      <c r="F44" s="70"/>
      <c r="G44" s="70"/>
      <c r="H44" s="70"/>
      <c r="I44" s="70"/>
      <c r="J44" s="70"/>
      <c r="K44" s="70"/>
      <c r="L44" s="70"/>
      <c r="M44" s="70"/>
      <c r="N44" s="70"/>
      <c r="O44" s="70"/>
      <c r="P44" s="70"/>
      <c r="Q44" s="70"/>
      <c r="R44" s="27"/>
    </row>
    <row r="45" spans="1:18">
      <c r="A45" s="30"/>
      <c r="B45" s="68"/>
      <c r="C45" s="70"/>
      <c r="D45" s="70"/>
      <c r="E45" s="70"/>
      <c r="F45" s="70"/>
      <c r="G45" s="70"/>
      <c r="H45" s="70"/>
      <c r="I45" s="70"/>
      <c r="J45" s="70"/>
      <c r="K45" s="70"/>
      <c r="L45" s="70"/>
      <c r="M45" s="70"/>
      <c r="N45" s="70"/>
      <c r="O45" s="70"/>
      <c r="P45" s="70"/>
      <c r="Q45" s="70"/>
      <c r="R45" s="27"/>
    </row>
    <row r="46" spans="1:18">
      <c r="A46" s="30"/>
      <c r="B46" s="68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  <c r="N46" s="70"/>
      <c r="O46" s="70"/>
      <c r="P46" s="70"/>
      <c r="Q46" s="70"/>
      <c r="R46" s="27"/>
    </row>
    <row r="47" spans="1:18">
      <c r="A47" s="30"/>
      <c r="B47" s="68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  <c r="N47" s="70"/>
      <c r="O47" s="70"/>
      <c r="P47" s="70"/>
      <c r="Q47" s="70"/>
      <c r="R47" s="27"/>
    </row>
    <row r="48" spans="1:18">
      <c r="A48" s="30"/>
      <c r="B48" s="68"/>
      <c r="C48" s="70"/>
      <c r="D48" s="70"/>
      <c r="E48" s="70"/>
      <c r="F48" s="70"/>
      <c r="G48" s="70"/>
      <c r="H48" s="70"/>
      <c r="I48" s="70"/>
      <c r="J48" s="70"/>
      <c r="K48" s="70"/>
      <c r="L48" s="70"/>
      <c r="M48" s="70"/>
      <c r="N48" s="70"/>
      <c r="O48" s="70"/>
      <c r="P48" s="70"/>
      <c r="Q48" s="70"/>
      <c r="R48" s="27"/>
    </row>
    <row r="49" spans="1:18">
      <c r="A49" s="30"/>
      <c r="B49" s="68"/>
      <c r="C49" s="70"/>
      <c r="D49" s="70"/>
      <c r="E49" s="70"/>
      <c r="F49" s="70"/>
      <c r="G49" s="70"/>
      <c r="H49" s="70"/>
      <c r="I49" s="70"/>
      <c r="J49" s="70"/>
      <c r="K49" s="70"/>
      <c r="L49" s="70"/>
      <c r="M49" s="70"/>
      <c r="N49" s="70"/>
      <c r="O49" s="70"/>
      <c r="P49" s="70"/>
      <c r="Q49" s="70"/>
      <c r="R49" s="27"/>
    </row>
    <row r="50" spans="1:18">
      <c r="A50" s="30"/>
      <c r="B50" s="68"/>
      <c r="C50" s="70"/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27"/>
    </row>
    <row r="51" spans="1:18">
      <c r="A51" s="30"/>
      <c r="B51" s="68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  <c r="R51" s="27"/>
    </row>
    <row r="52" spans="1:18">
      <c r="A52" s="30"/>
      <c r="B52" s="68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  <c r="R52" s="27"/>
    </row>
  </sheetData>
  <sheetProtection selectLockedCells="1" selectUnlockedCells="1"/>
  <pageMargins left="0.7" right="0.7" top="0.75" bottom="0.75" header="0.3" footer="0.3"/>
  <pageSetup scale="2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P2"/>
  <sheetViews>
    <sheetView workbookViewId="0">
      <selection activeCell="CR2" sqref="CR2"/>
    </sheetView>
  </sheetViews>
  <sheetFormatPr defaultRowHeight="14.4"/>
  <sheetData>
    <row r="1" spans="1:16">
      <c r="A1" t="s">
        <v>5</v>
      </c>
      <c r="B1" t="s">
        <v>62</v>
      </c>
      <c r="C1" t="s">
        <v>63</v>
      </c>
      <c r="D1" t="s">
        <v>80</v>
      </c>
      <c r="E1" t="s">
        <v>127</v>
      </c>
      <c r="F1" t="s">
        <v>130</v>
      </c>
      <c r="G1" t="s">
        <v>80</v>
      </c>
      <c r="H1" t="s">
        <v>95</v>
      </c>
      <c r="I1" t="s">
        <v>96</v>
      </c>
      <c r="J1" t="s">
        <v>109</v>
      </c>
      <c r="K1" t="s">
        <v>110</v>
      </c>
      <c r="L1" t="s">
        <v>111</v>
      </c>
      <c r="M1" t="s">
        <v>112</v>
      </c>
      <c r="N1" t="s">
        <v>114</v>
      </c>
      <c r="O1" t="s">
        <v>115</v>
      </c>
      <c r="P1" t="s">
        <v>80</v>
      </c>
    </row>
    <row r="2" spans="1:16">
      <c r="A2">
        <v>2</v>
      </c>
      <c r="B2" t="s">
        <v>70</v>
      </c>
      <c r="C2" t="s">
        <v>106</v>
      </c>
      <c r="E2">
        <v>16</v>
      </c>
      <c r="F2">
        <v>14</v>
      </c>
      <c r="H2">
        <v>14000</v>
      </c>
      <c r="I2">
        <v>20340</v>
      </c>
      <c r="J2">
        <v>29.370999999999999</v>
      </c>
      <c r="K2">
        <v>29.129000000000001</v>
      </c>
      <c r="L2">
        <v>21.056999999999999</v>
      </c>
      <c r="M2">
        <v>20.815000000000001</v>
      </c>
      <c r="N2">
        <v>1</v>
      </c>
      <c r="O2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P2"/>
  <sheetViews>
    <sheetView workbookViewId="0">
      <selection activeCell="CR2" sqref="CR2"/>
    </sheetView>
  </sheetViews>
  <sheetFormatPr defaultRowHeight="14.4"/>
  <sheetData>
    <row r="1" spans="1:16">
      <c r="A1" t="s">
        <v>5</v>
      </c>
      <c r="B1" t="s">
        <v>62</v>
      </c>
      <c r="C1" t="s">
        <v>63</v>
      </c>
      <c r="D1" t="s">
        <v>80</v>
      </c>
      <c r="E1" t="s">
        <v>127</v>
      </c>
      <c r="F1" t="s">
        <v>130</v>
      </c>
      <c r="G1" t="s">
        <v>80</v>
      </c>
      <c r="H1" t="s">
        <v>95</v>
      </c>
      <c r="I1" t="s">
        <v>96</v>
      </c>
      <c r="J1" t="s">
        <v>109</v>
      </c>
      <c r="K1" t="s">
        <v>110</v>
      </c>
      <c r="L1" t="s">
        <v>111</v>
      </c>
      <c r="M1" t="s">
        <v>112</v>
      </c>
      <c r="N1" t="s">
        <v>114</v>
      </c>
      <c r="O1" t="s">
        <v>115</v>
      </c>
      <c r="P1" t="s">
        <v>80</v>
      </c>
    </row>
    <row r="2" spans="1:16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0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PFD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2022-07-19T00:43:02Z</dcterms:modified>
</cp:coreProperties>
</file>