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3_unit_properties\"/>
    </mc:Choice>
  </mc:AlternateContent>
  <xr:revisionPtr revIDLastSave="0" documentId="13_ncr:1_{EC063D00-B73A-41CF-B2E7-71584B46AE98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Help" sheetId="41" r:id="rId6"/>
    <sheet name="PFD" sheetId="42" r:id="rId7"/>
    <sheet name="maintenance check list" sheetId="28" state="hidden" r:id="rId8"/>
    <sheet name="Data(Transposed)" sheetId="3" state="hidden" r:id="rId9"/>
    <sheet name="Data(Test)" sheetId="9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3" hidden="1">Geometry!$B$9:$K$9</definedName>
    <definedName name="_xlnm._FilterDatabase" localSheetId="2" hidden="1">Initialization!$B$9:$K$9</definedName>
    <definedName name="_xlnm._FilterDatabase" localSheetId="4" hidden="1">'Physical Properties'!$B$9:$K$9</definedName>
    <definedName name="_xlnm.Print_Area" localSheetId="3">Geometry!$B$2:$K$13</definedName>
    <definedName name="_xlnm.Print_Area" localSheetId="2">Initialization!$B$2:$K$13</definedName>
    <definedName name="_xlnm.Print_Area" localSheetId="4">'Physical Properties'!$B$2:$K$14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31" l="1"/>
  <c r="B2" i="31"/>
  <c r="K2" i="43"/>
  <c r="B2" i="43"/>
  <c r="K2" i="40"/>
  <c r="B2" i="40"/>
  <c r="K4" i="43" l="1"/>
  <c r="R1" i="42"/>
  <c r="A1" i="42"/>
  <c r="Q1" i="41"/>
  <c r="A1" i="41"/>
  <c r="K4" i="40" l="1"/>
  <c r="K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H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H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H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<sst xmlns="http://schemas.openxmlformats.org/spreadsheetml/2006/main" count="244" uniqueCount="134">
  <si>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</si>
  <si>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</si>
  <si>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</si>
  <si>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</si>
  <si>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</si>
  <si>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</si>
  <si>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</si>
  <si>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</si>
  <si>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</si>
  <si>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</si>
  <si>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</si>
  <si>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</si>
  <si>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</si>
  <si>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</si>
  <si>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</si>
  <si>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</si>
  <si>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</si>
  <si>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</si>
  <si>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</si>
  <si>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</si>
  <si>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</si>
  <si>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</si>
  <si>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</si>
  <si>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</si>
  <si>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</si>
  <si>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</si>
  <si>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</si>
  <si>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</si>
  <si>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</si>
  <si>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</si>
  <si>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</si>
  <si>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</si>
  <si>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</si>
  <si>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</si>
  <si>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</si>
  <si>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</si>
  <si>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</si>
  <si>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</si>
  <si>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</si>
  <si>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</si>
  <si>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</si>
  <si>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</si>
  <si>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</si>
  <si>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</si>
  <si>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</si>
  <si>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</si>
  <si>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</si>
  <si>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</si>
  <si>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</si>
  <si>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</si>
  <si>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</si>
  <si>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</si>
  <si>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</si>
  <si>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</si>
  <si>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</si>
  <si>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</si>
  <si>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</si>
  <si>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</si>
  <si>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</si>
  <si>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</si>
  <si>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</si>
  <si>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</si>
  <si>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</si>
  <si>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</si>
  <si>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</si>
  <si>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</si>
  <si>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</si>
  <si>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</si>
  <si>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</si>
  <si>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</si>
  <si>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</si>
  <si>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</si>
  <si>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</si>
  <si>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</si>
  <si>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</si>
  <si>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</si>
  <si>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</si>
  <si>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</si>
  <si>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</si>
  <si>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</si>
  <si>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</si>
  <si>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</si>
  <si>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</si>
  <si>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</si>
  <si>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</si>
  <si>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</si>
  <si>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</si>
  <si>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</si>
  <si>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</si>
  <si>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</si>
  <si>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</si>
  <si>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</si>
  <si>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</si>
  <si>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</si>
  <si>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</si>
  <si>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</si>
  <si>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</si>
  <si>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</si>
  <si>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</si>
  <si>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</si>
  <si>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</si>
  <si>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</si>
  <si>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</si>
  <si>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</si>
  <si>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</si>
  <si>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</si>
  <si>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</si>
  <si>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</si>
  <si>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</si>
  <si>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</si>
  <si>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</si>
  <si>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</si>
  <si>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</si>
  <si>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</si>
  <si>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</si>
  <si>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</si>
  <si>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</si>
  <si>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</si>
  <si>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</si>
  <si>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</si>
  <si>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</si>
  <si>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</si>
  <si>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</si>
  <si>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Assumptions:</t>
  </si>
  <si>
    <t>Pressure Swing Adsorption Process Flow Diagram (PFD)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</si>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</sst>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B9:K13" totalsRowShown="0" headerRowDxfId="60" dataDxfId="58" headerRowBorderDxfId="59" tableBorderDxfId="57" totalsRowBorderDxfId="56">
  <autoFilter ref="B9:K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B9:K13" totalsRowShown="0" headerRowDxfId="40" dataDxfId="38" headerRowBorderDxfId="39" tableBorderDxfId="37" totalsRowBorderDxfId="36">
  <autoFilter ref="B9:K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B9:K14" totalsRowShown="0" headerRowDxfId="14" dataDxfId="12" headerRowBorderDxfId="13" tableBorderDxfId="11" totalsRowBorderDxfId="10">
  <autoFilter ref="B9:K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EC15F513-2B4D-44C7-9046-ED9392180BB4}">
    <text>place 1 if we want to keep the row when re-initializing. Otherwise, leave it as a blank.</text>
  </threadedComment>
  <threadedComment ref="I9" dT="2020-11-26T18:35:03.27" personId="{7F98AE94-13FB-49E1-9262-339C11E0EDB4}" id="{4D8BC438-D49B-455D-A372-081FDDFE29BE}">
    <text>supply a value greater than 1 if you want to duplicate the row</text>
  </threadedComment>
  <threadedComment ref="J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J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CF8456C-E29F-4B72-ABE5-1FAF09AB14DB}">
    <text>place 1 if we want to keep the row when re-initializing. Otherwise, leave it as a blank.</text>
  </threadedComment>
  <threadedComment ref="I9" dT="2020-11-26T18:35:03.27" personId="{7F98AE94-13FB-49E1-9262-339C11E0EDB4}" id="{76134A13-A10E-498C-BE0C-A35275B3AACE}">
    <text>supply a value greater than 1 if you want to duplicate the row</text>
  </threadedComment>
  <threadedComment ref="J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J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97155E7-95C7-4F81-9C85-C4A524BE8917}">
    <text>place 1 if we want to keep the row when re-initializing. Otherwise, leave it as a blank.</text>
  </threadedComment>
  <threadedComment ref="I9" dT="2020-11-26T18:35:03.27" personId="{7F98AE94-13FB-49E1-9262-339C11E0EDB4}" id="{00051905-C3DD-4457-AAD8-72BC66947855}">
    <text>supply a value greater than 1 if you want to duplicate the row</text>
  </threadedComment>
  <threadedComment ref="J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J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101</v>
      </c>
      <c r="R1" t="s">
        <v>102</v>
      </c>
      <c r="S1" t="s">
        <v>103</v>
      </c>
      <c r="T1" t="s">
        <v>111</v>
      </c>
      <c r="U1" t="s">
        <v>112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113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114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115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116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117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118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119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108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8" sqref="E8"/>
    </sheetView>
  </sheetViews>
  <sheetFormatPr defaultColWidth="0" defaultRowHeight="14.4" customHeight="1" zeroHeight="1"/>
  <cols>
    <col min="1" max="2" width="3.33203125" style="47" hidden="1" customWidth="1"/>
    <col min="3" max="3" width="2.44140625" style="47" customWidth="1"/>
    <col min="4" max="4" width="13.88671875" style="47" customWidth="1"/>
    <col min="5" max="5" width="51.33203125" style="48" bestFit="1" customWidth="1"/>
    <col min="6" max="6" width="15.77734375" style="49" bestFit="1" customWidth="1"/>
    <col min="7" max="9" width="13.33203125" style="47" customWidth="1"/>
    <col min="10" max="10" width="48.88671875" style="47" customWidth="1"/>
    <col min="11" max="11" width="2.44140625" style="47" customWidth="1"/>
    <col min="12" max="12" width="0" style="47" hidden="1" customWidth="1"/>
    <col min="13" max="16384" width="9" style="47" hidden="1"/>
  </cols>
  <sheetData>
    <row r="3" spans="4:10"/>
    <row r="4" spans="4:10" ht="18">
      <c r="D4" s="50" t="s">
        <v>121</v>
      </c>
      <c r="E4" s="51"/>
      <c r="F4" s="52"/>
      <c r="G4" s="53"/>
      <c r="H4" s="53"/>
      <c r="I4" s="53"/>
      <c r="J4" s="36" t="s">
        <v>86</v>
      </c>
    </row>
    <row r="5" spans="4:10" ht="36">
      <c r="D5" s="73" t="s">
        <v>39</v>
      </c>
      <c r="E5" s="73"/>
      <c r="F5" s="73"/>
      <c r="G5" s="73"/>
      <c r="H5" s="73"/>
      <c r="I5" s="73"/>
      <c r="J5" s="73"/>
    </row>
    <row r="6" spans="4:10" ht="18">
      <c r="D6" s="54" t="s">
        <v>33</v>
      </c>
      <c r="E6" s="54" t="s">
        <v>120</v>
      </c>
      <c r="F6" s="54" t="s">
        <v>34</v>
      </c>
      <c r="G6" s="54" t="s">
        <v>35</v>
      </c>
      <c r="H6" s="54" t="s">
        <v>36</v>
      </c>
      <c r="I6" s="54" t="s">
        <v>37</v>
      </c>
      <c r="J6" s="54" t="s">
        <v>38</v>
      </c>
    </row>
    <row r="7" spans="4:10" ht="36">
      <c r="D7" s="55">
        <v>1</v>
      </c>
      <c r="E7" s="56" t="s">
        <v>122</v>
      </c>
      <c r="F7" s="57">
        <v>44720</v>
      </c>
      <c r="G7" s="55" t="s">
        <v>40</v>
      </c>
      <c r="H7" s="55"/>
      <c r="I7" s="55"/>
      <c r="J7" s="56"/>
    </row>
    <row r="8" spans="4:10" ht="18">
      <c r="D8" s="55">
        <v>2</v>
      </c>
      <c r="E8" s="56"/>
      <c r="F8" s="57"/>
      <c r="G8" s="55"/>
      <c r="H8" s="55"/>
      <c r="I8" s="55"/>
      <c r="J8" s="56"/>
    </row>
    <row r="9" spans="4:10" ht="18">
      <c r="D9" s="55">
        <v>3</v>
      </c>
      <c r="E9" s="56"/>
      <c r="F9" s="57"/>
      <c r="G9" s="55"/>
      <c r="H9" s="55"/>
      <c r="I9" s="55"/>
      <c r="J9" s="56"/>
    </row>
    <row r="10" spans="4:10" ht="18">
      <c r="D10" s="55">
        <v>4</v>
      </c>
      <c r="E10" s="56"/>
      <c r="F10" s="57"/>
      <c r="G10" s="55"/>
      <c r="H10" s="55"/>
      <c r="I10" s="55"/>
      <c r="J10" s="56"/>
    </row>
    <row r="11" spans="4:10" ht="18">
      <c r="D11" s="55">
        <v>5</v>
      </c>
      <c r="E11" s="56"/>
      <c r="F11" s="57"/>
      <c r="G11" s="55"/>
      <c r="H11" s="55"/>
      <c r="I11" s="55"/>
      <c r="J11" s="56"/>
    </row>
    <row r="12" spans="4:10" ht="18">
      <c r="D12" s="55">
        <v>6</v>
      </c>
      <c r="E12" s="56"/>
      <c r="F12" s="57"/>
      <c r="G12" s="55"/>
      <c r="H12" s="55"/>
      <c r="I12" s="55"/>
      <c r="J12" s="56"/>
    </row>
    <row r="13" spans="4:10" ht="18">
      <c r="D13" s="55">
        <v>7</v>
      </c>
      <c r="E13" s="56"/>
      <c r="F13" s="57"/>
      <c r="G13" s="55"/>
      <c r="H13" s="55"/>
      <c r="I13" s="55"/>
      <c r="J13" s="56"/>
    </row>
    <row r="14" spans="4:10" ht="18">
      <c r="D14" s="55">
        <v>8</v>
      </c>
      <c r="E14" s="56"/>
      <c r="F14" s="57"/>
      <c r="G14" s="55"/>
      <c r="H14" s="55"/>
      <c r="I14" s="55"/>
      <c r="J14" s="56"/>
    </row>
    <row r="15" spans="4:10" ht="18">
      <c r="D15" s="55">
        <v>9</v>
      </c>
      <c r="E15" s="56"/>
      <c r="F15" s="57"/>
      <c r="G15" s="55"/>
      <c r="H15" s="55"/>
      <c r="I15" s="55"/>
      <c r="J15" s="56"/>
    </row>
    <row r="16" spans="4:10" ht="18">
      <c r="D16" s="55">
        <v>10</v>
      </c>
      <c r="E16" s="56"/>
      <c r="F16" s="57"/>
      <c r="G16" s="55"/>
      <c r="H16" s="55"/>
      <c r="I16" s="55"/>
      <c r="J16" s="5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B2" sqref="B2:K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4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IF(COUNTIF(Table11024122[Test 3],1)=COUNTA(Table11024122[Value]),"Ready","Not Ready")</f>
        <v>Ready</v>
      </c>
    </row>
    <row r="5" spans="2:11" ht="14.4" customHeight="1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4" customHeight="1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4" customHeight="1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28.8">
      <c r="B10" s="40" t="s">
        <v>106</v>
      </c>
      <c r="C10" s="32">
        <v>1</v>
      </c>
      <c r="D10" s="41" t="s">
        <v>3</v>
      </c>
      <c r="E10" s="45" t="s">
        <v>30</v>
      </c>
      <c r="F10" s="45" t="s">
        <v>83</v>
      </c>
      <c r="G10" s="2" t="s">
        <v>43</v>
      </c>
      <c r="H10" s="1">
        <v>1</v>
      </c>
      <c r="I10" s="1">
        <v>1</v>
      </c>
      <c r="J10" s="42">
        <v>1</v>
      </c>
      <c r="K10" s="43" t="s">
        <v>107</v>
      </c>
    </row>
    <row r="11" spans="2:11">
      <c r="B11" s="46" t="s">
        <v>110</v>
      </c>
      <c r="C11" s="32">
        <v>318.14999999999998</v>
      </c>
      <c r="D11" s="35" t="s">
        <v>21</v>
      </c>
      <c r="E11" s="45" t="s">
        <v>17</v>
      </c>
      <c r="F11" s="45" t="s">
        <v>7</v>
      </c>
      <c r="G11" s="2" t="s">
        <v>49</v>
      </c>
      <c r="H11" s="45">
        <v>1</v>
      </c>
      <c r="I11" s="45">
        <v>1</v>
      </c>
      <c r="J11" s="42">
        <v>1</v>
      </c>
      <c r="K11" s="5" t="s">
        <v>105</v>
      </c>
    </row>
    <row r="12" spans="2:11">
      <c r="B12" s="4" t="s">
        <v>87</v>
      </c>
      <c r="C12" s="32">
        <v>3.3941656669286671</v>
      </c>
      <c r="D12" s="2" t="s">
        <v>20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88</v>
      </c>
    </row>
    <row r="13" spans="2:11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selectLockedCells="1"/>
  <mergeCells count="2">
    <mergeCell ref="B3:K3"/>
    <mergeCell ref="K4:K8"/>
  </mergeCells>
  <conditionalFormatting sqref="C13">
    <cfRule type="expression" dxfId="74" priority="37">
      <formula>IF(AND($C13&lt;&gt;"",$J13=0),1,0)</formula>
    </cfRule>
    <cfRule type="expression" dxfId="73" priority="38">
      <formula>IF($C13&lt;&gt;"",1,0)</formula>
    </cfRule>
    <cfRule type="expression" dxfId="72" priority="39">
      <formula>$J13=0</formula>
    </cfRule>
  </conditionalFormatting>
  <conditionalFormatting sqref="C10">
    <cfRule type="expression" dxfId="71" priority="28">
      <formula>IF(AND($C10&lt;&gt;"",$J10=0),1,0)</formula>
    </cfRule>
    <cfRule type="expression" dxfId="70" priority="29">
      <formula>IF($C10&lt;&gt;"",1,0)</formula>
    </cfRule>
    <cfRule type="expression" dxfId="69" priority="30">
      <formula>$J10=0</formula>
    </cfRule>
  </conditionalFormatting>
  <conditionalFormatting sqref="C11">
    <cfRule type="expression" dxfId="68" priority="4">
      <formula>IF(AND($C11&lt;&gt;"",$J11=0),1,0)</formula>
    </cfRule>
    <cfRule type="expression" dxfId="67" priority="5">
      <formula>IF($C11&lt;&gt;"",1,0)</formula>
    </cfRule>
    <cfRule type="expression" dxfId="66" priority="6">
      <formula>$J11=0</formula>
    </cfRule>
  </conditionalFormatting>
  <conditionalFormatting sqref="C12">
    <cfRule type="expression" dxfId="65" priority="1">
      <formula>IF(AND($C12&lt;&gt;"",$J12=0),1,0)</formula>
    </cfRule>
    <cfRule type="expression" dxfId="64" priority="2">
      <formula>IF($C12&lt;&gt;"",1,0)</formula>
    </cfRule>
    <cfRule type="expression" dxfId="63" priority="3">
      <formula>$J12=0</formula>
    </cfRule>
  </conditionalFormatting>
  <conditionalFormatting sqref="K4">
    <cfRule type="expression" dxfId="62" priority="2243">
      <formula>IF(COUNTA($C$10:$C$13)&lt;&gt;COUNTIF($J$10:$J$13,1),1,0)</formula>
    </cfRule>
    <cfRule type="expression" dxfId="61" priority="2244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C10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G10:G13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F10:F13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B2" sqref="B2:K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4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IF(COUNTIF(Table11024123[Test 3],1)=COUNTA(Table11024123[Value]),"Ready","Not Ready")</f>
        <v>Ready</v>
      </c>
    </row>
    <row r="5" spans="2:11" ht="14.4" customHeight="1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4" customHeight="1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4" customHeight="1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>
      <c r="B10" s="46" t="s">
        <v>127</v>
      </c>
      <c r="C10" s="32">
        <v>20</v>
      </c>
      <c r="D10" s="35" t="s">
        <v>69</v>
      </c>
      <c r="E10" s="45" t="s">
        <v>94</v>
      </c>
      <c r="F10" s="45" t="s">
        <v>7</v>
      </c>
      <c r="G10" s="2" t="s">
        <v>46</v>
      </c>
      <c r="H10" s="45">
        <v>1</v>
      </c>
      <c r="I10" s="45">
        <v>1</v>
      </c>
      <c r="J10" s="42">
        <v>1</v>
      </c>
      <c r="K10" s="5" t="s">
        <v>96</v>
      </c>
    </row>
    <row r="11" spans="2:11">
      <c r="B11" s="46" t="s">
        <v>128</v>
      </c>
      <c r="C11" s="32">
        <v>20.5</v>
      </c>
      <c r="D11" s="35" t="s">
        <v>69</v>
      </c>
      <c r="E11" s="45" t="s">
        <v>94</v>
      </c>
      <c r="F11" s="45" t="s">
        <v>7</v>
      </c>
      <c r="G11" s="2" t="s">
        <v>46</v>
      </c>
      <c r="H11" s="45">
        <v>1</v>
      </c>
      <c r="I11" s="45">
        <v>1</v>
      </c>
      <c r="J11" s="6">
        <v>1</v>
      </c>
      <c r="K11" s="5" t="s">
        <v>97</v>
      </c>
    </row>
    <row r="12" spans="2:11">
      <c r="B12" s="46" t="s">
        <v>129</v>
      </c>
      <c r="C12" s="32">
        <v>33.800769771555913</v>
      </c>
      <c r="D12" s="35" t="s">
        <v>69</v>
      </c>
      <c r="E12" s="45" t="s">
        <v>94</v>
      </c>
      <c r="F12" s="45" t="s">
        <v>7</v>
      </c>
      <c r="G12" s="2" t="s">
        <v>46</v>
      </c>
      <c r="H12" s="45">
        <v>1</v>
      </c>
      <c r="I12" s="45">
        <v>1</v>
      </c>
      <c r="J12" s="6">
        <v>1</v>
      </c>
      <c r="K12" s="5" t="s">
        <v>98</v>
      </c>
    </row>
    <row r="13" spans="2:11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selectLockedCells="1"/>
  <mergeCells count="2">
    <mergeCell ref="B3:K3"/>
    <mergeCell ref="K4:K8"/>
  </mergeCells>
  <conditionalFormatting sqref="C10:C13">
    <cfRule type="expression" dxfId="45" priority="28">
      <formula>IF(AND($C10&lt;&gt;"",$J10=0),1,0)</formula>
    </cfRule>
    <cfRule type="expression" dxfId="44" priority="29">
      <formula>IF($C10&lt;&gt;"",1,0)</formula>
    </cfRule>
    <cfRule type="expression" dxfId="43" priority="30">
      <formula>$J10=0</formula>
    </cfRule>
  </conditionalFormatting>
  <conditionalFormatting sqref="K4">
    <cfRule type="expression" dxfId="42" priority="2245">
      <formula>IF(COUNTA($C$10:$C$13)&lt;&gt;COUNTIF($J$10:$J$13,1),1,0)</formula>
    </cfRule>
    <cfRule type="expression" dxfId="41" priority="2246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G10:G13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F10:F13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B15" sqref="A15:XFD16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4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8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IF(COUNTIF(Table1102412[Test 3],1)=COUNTA(Table1102412[Value]),"Ready","Not Ready")</f>
        <v>Ready</v>
      </c>
    </row>
    <row r="5" spans="2:11" ht="14.4" customHeight="1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4" customHeight="1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4" customHeight="1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28.8">
      <c r="B10" s="44" t="s">
        <v>130</v>
      </c>
      <c r="C10" s="32">
        <v>10</v>
      </c>
      <c r="D10" s="35" t="s">
        <v>95</v>
      </c>
      <c r="E10" s="38" t="s">
        <v>23</v>
      </c>
      <c r="F10" s="38" t="s">
        <v>7</v>
      </c>
      <c r="G10" s="2" t="s">
        <v>49</v>
      </c>
      <c r="H10" s="38">
        <v>1</v>
      </c>
      <c r="I10" s="38">
        <v>1</v>
      </c>
      <c r="J10" s="6">
        <v>1</v>
      </c>
      <c r="K10" s="5" t="s">
        <v>99</v>
      </c>
    </row>
    <row r="11" spans="2:11" ht="28.8">
      <c r="B11" s="44" t="s">
        <v>131</v>
      </c>
      <c r="C11" s="32">
        <v>12</v>
      </c>
      <c r="D11" s="35" t="s">
        <v>95</v>
      </c>
      <c r="E11" s="38" t="s">
        <v>23</v>
      </c>
      <c r="F11" s="38" t="s">
        <v>7</v>
      </c>
      <c r="G11" s="2" t="s">
        <v>49</v>
      </c>
      <c r="H11" s="38">
        <v>1</v>
      </c>
      <c r="I11" s="38">
        <v>1</v>
      </c>
      <c r="J11" s="6">
        <v>1</v>
      </c>
      <c r="K11" s="5" t="s">
        <v>100</v>
      </c>
    </row>
    <row r="12" spans="2:11" ht="28.8">
      <c r="B12" s="39" t="s">
        <v>132</v>
      </c>
      <c r="C12" s="32">
        <v>7.8300000000000002E-3</v>
      </c>
      <c r="D12" s="35" t="s">
        <v>22</v>
      </c>
      <c r="E12" s="38" t="s">
        <v>23</v>
      </c>
      <c r="F12" s="38" t="s">
        <v>7</v>
      </c>
      <c r="G12" s="2" t="s">
        <v>49</v>
      </c>
      <c r="H12" s="38">
        <v>1</v>
      </c>
      <c r="I12" s="38">
        <v>1</v>
      </c>
      <c r="J12" s="6">
        <v>1</v>
      </c>
      <c r="K12" s="5" t="s">
        <v>99</v>
      </c>
    </row>
    <row r="13" spans="2:11" ht="28.8">
      <c r="B13" s="39" t="s">
        <v>133</v>
      </c>
      <c r="C13" s="32">
        <v>502.32</v>
      </c>
      <c r="D13" s="35" t="s">
        <v>104</v>
      </c>
      <c r="E13" s="38" t="s">
        <v>23</v>
      </c>
      <c r="F13" s="38" t="s">
        <v>7</v>
      </c>
      <c r="G13" s="2" t="s">
        <v>49</v>
      </c>
      <c r="H13" s="38">
        <v>1</v>
      </c>
      <c r="I13" s="38">
        <v>1</v>
      </c>
      <c r="J13" s="6">
        <v>1</v>
      </c>
      <c r="K13" s="5" t="s">
        <v>100</v>
      </c>
    </row>
    <row r="14" spans="2:11">
      <c r="B14" s="8" t="s">
        <v>79</v>
      </c>
      <c r="C14" s="33"/>
      <c r="D14" s="9"/>
      <c r="E14" s="10"/>
      <c r="F14" s="10"/>
      <c r="G14" s="9"/>
      <c r="H14" s="10">
        <v>1</v>
      </c>
      <c r="I14" s="10">
        <v>1</v>
      </c>
      <c r="J14" s="11">
        <v>0</v>
      </c>
      <c r="K14" s="12" t="s">
        <v>80</v>
      </c>
    </row>
  </sheetData>
  <sheetProtection algorithmName="SHA-512" hashValue="SDxCV4XHlCz0EwoBtRRbkIH2NO7uMnCIoMIyS5s0488vaiyd9waM8spX8I61WwRsyX3YqcCWha0dV2cmjvLqfA==" saltValue="QP6X77E4/NI+JGZBqLBQNw==" spinCount="100000" sheet="1" objects="1" scenarios="1" selectLockedCells="1"/>
  <mergeCells count="2">
    <mergeCell ref="B3:K3"/>
    <mergeCell ref="K4:K8"/>
  </mergeCells>
  <conditionalFormatting sqref="C14">
    <cfRule type="expression" dxfId="25" priority="88">
      <formula>IF(AND($C14&lt;&gt;"",$J14=0),1,0)</formula>
    </cfRule>
    <cfRule type="expression" dxfId="24" priority="89">
      <formula>IF($C14&lt;&gt;"",1,0)</formula>
    </cfRule>
    <cfRule type="expression" dxfId="23" priority="90">
      <formula>$J14=0</formula>
    </cfRule>
  </conditionalFormatting>
  <conditionalFormatting sqref="C12:C13">
    <cfRule type="expression" dxfId="22" priority="43">
      <formula>IF(AND($C12&lt;&gt;"",$J12=0),1,0)</formula>
    </cfRule>
    <cfRule type="expression" dxfId="21" priority="44">
      <formula>IF($C12&lt;&gt;"",1,0)</formula>
    </cfRule>
    <cfRule type="expression" dxfId="20" priority="45">
      <formula>$J12=0</formula>
    </cfRule>
  </conditionalFormatting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247">
      <formula>IF(COUNTA($C$10:$C$14)&lt;&gt;COUNTIF($J$10:$J$14,1),1,0)</formula>
    </cfRule>
    <cfRule type="expression" dxfId="15" priority="2248">
      <formula>IF(COUNTA($C$10:$C$14)=COUNTIF($J$10:$J$14,1),1,0)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E10:E14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F10:F14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G10:G14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/>
    </sheetView>
  </sheetViews>
  <sheetFormatPr defaultColWidth="0" defaultRowHeight="0" customHeight="1" zeroHeight="1"/>
  <cols>
    <col min="1" max="2" width="8.88671875" style="62" customWidth="1"/>
    <col min="3" max="3" width="13.109375" style="62" customWidth="1"/>
    <col min="4" max="4" width="13.44140625" style="62" customWidth="1"/>
    <col min="5" max="6" width="8.88671875" style="62" customWidth="1"/>
    <col min="7" max="7" width="14.77734375" style="62" customWidth="1"/>
    <col min="8" max="8" width="11.6640625" style="62" customWidth="1"/>
    <col min="9" max="9" width="10.33203125" style="62" customWidth="1"/>
    <col min="10" max="10" width="5.6640625" style="62" customWidth="1"/>
    <col min="11" max="11" width="10.5546875" style="62" customWidth="1"/>
    <col min="12" max="17" width="8.88671875" style="62" customWidth="1"/>
    <col min="18" max="16384" width="8.88671875" style="62" hidden="1"/>
  </cols>
  <sheetData>
    <row r="1" spans="1:17" ht="14.4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1"/>
      <c r="J1" s="61"/>
      <c r="K1" s="61"/>
      <c r="L1" s="61"/>
      <c r="M1" s="61"/>
      <c r="N1" s="61"/>
      <c r="O1" s="61"/>
      <c r="P1" s="61"/>
      <c r="Q1" s="61" t="str">
        <f>'[2]Revision History'!$J$4</f>
        <v>Scott Research Group (jkscottresearchgroup.com)</v>
      </c>
    </row>
    <row r="2" spans="1:17" ht="14.4">
      <c r="A2" s="80" t="s">
        <v>125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</row>
    <row r="3" spans="1:17" ht="14.4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</row>
    <row r="4" spans="1:17" ht="14.4">
      <c r="A4" s="63"/>
      <c r="B4" s="64" t="s">
        <v>123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14.4">
      <c r="A5" s="63"/>
      <c r="B5" s="65"/>
      <c r="C5" s="64" t="s">
        <v>126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</row>
    <row r="6" spans="1:17" ht="14.4">
      <c r="A6" s="63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</row>
    <row r="7" spans="1:17" ht="14.4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</row>
    <row r="8" spans="1:17" ht="14.4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</row>
    <row r="9" spans="1:17" ht="14.4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</row>
    <row r="10" spans="1:17" ht="14.4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1:17" ht="14.4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</row>
    <row r="12" spans="1:17" ht="14.4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</row>
    <row r="13" spans="1:17" ht="14.4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</row>
    <row r="14" spans="1:17" ht="14.4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</row>
    <row r="15" spans="1:17" ht="14.4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</row>
    <row r="16" spans="1:17" ht="14.4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</row>
    <row r="17" spans="1:17" ht="14.4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</row>
    <row r="18" spans="1:17" ht="14.4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</row>
    <row r="19" spans="1:17" ht="14.4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</row>
    <row r="20" spans="1:17" ht="14.4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</row>
    <row r="21" spans="1:17" ht="14.4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</row>
    <row r="22" spans="1:17" ht="14.4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</row>
    <row r="23" spans="1:17" ht="14.4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</row>
    <row r="24" spans="1:17" ht="14.4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</row>
    <row r="25" spans="1:17" ht="14.4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</row>
    <row r="26" spans="1:17" ht="14.4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7" ht="14.4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</row>
    <row r="28" spans="1:17" ht="14.4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</row>
    <row r="29" spans="1:17" ht="14.4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</row>
    <row r="30" spans="1:17" ht="14.4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</row>
    <row r="31" spans="1:17" ht="14.4">
      <c r="A31" s="63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</row>
    <row r="32" spans="1:17" ht="14.4">
      <c r="A32" s="63"/>
      <c r="B32" s="65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</row>
    <row r="33" spans="1:17" ht="14.4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</row>
    <row r="34" spans="1:17" ht="14.4">
      <c r="A34" s="63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E4A3D-7B8A-46A2-9579-1884F1D8693B}">
  <sheetPr codeName="Sheet2">
    <tabColor rgb="FF00B050"/>
  </sheetPr>
  <dimension ref="A1:AV52"/>
  <sheetViews>
    <sheetView showGridLines="0" zoomScale="85" zoomScaleNormal="85" zoomScaleSheetLayoutView="55" workbookViewId="0">
      <selection activeCell="C7" sqref="C7"/>
    </sheetView>
  </sheetViews>
  <sheetFormatPr defaultColWidth="0" defaultRowHeight="14.4" customHeight="1" zeroHeight="1"/>
  <cols>
    <col min="1" max="18" width="8.88671875" style="66" customWidth="1"/>
    <col min="19" max="48" width="0" style="66" hidden="1" customWidth="1"/>
    <col min="49" max="16384" width="8.88671875" style="66" hidden="1"/>
  </cols>
  <sheetData>
    <row r="1" spans="1:18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0"/>
      <c r="J1" s="61"/>
      <c r="K1" s="61"/>
      <c r="L1" s="61"/>
      <c r="M1" s="61"/>
      <c r="N1" s="61"/>
      <c r="O1" s="61"/>
      <c r="P1" s="61"/>
      <c r="Q1" s="61"/>
      <c r="R1" s="61" t="str">
        <f>'[2]Revision History'!$J$4</f>
        <v>Scott Research Group (jkscottresearchgroup.com)</v>
      </c>
    </row>
    <row r="2" spans="1:18">
      <c r="A2" s="67" t="s">
        <v>124</v>
      </c>
      <c r="B2" s="68"/>
      <c r="C2" s="68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70"/>
    </row>
    <row r="3" spans="1:18">
      <c r="A3" s="63"/>
      <c r="B3" s="64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2"/>
    </row>
    <row r="4" spans="1:18">
      <c r="A4" s="63"/>
      <c r="B4" s="64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>
      <c r="A5" s="63"/>
      <c r="B5" s="64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2"/>
    </row>
    <row r="6" spans="1:18">
      <c r="A6" s="63"/>
      <c r="B6" s="64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2"/>
    </row>
    <row r="7" spans="1:18">
      <c r="A7" s="63"/>
      <c r="B7" s="64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2"/>
    </row>
    <row r="8" spans="1:18">
      <c r="A8" s="63"/>
      <c r="B8" s="64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2"/>
    </row>
    <row r="9" spans="1:18">
      <c r="A9" s="63"/>
      <c r="B9" s="64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2"/>
    </row>
    <row r="10" spans="1:18">
      <c r="A10" s="63"/>
      <c r="B10" s="64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2"/>
    </row>
    <row r="11" spans="1:18">
      <c r="A11" s="63"/>
      <c r="B11" s="64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2"/>
    </row>
    <row r="12" spans="1:18">
      <c r="A12" s="63"/>
      <c r="B12" s="64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2"/>
    </row>
    <row r="13" spans="1:18">
      <c r="A13" s="63"/>
      <c r="B13" s="64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2"/>
    </row>
    <row r="14" spans="1:18">
      <c r="A14" s="63"/>
      <c r="B14" s="64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</row>
    <row r="15" spans="1:18">
      <c r="A15" s="63"/>
      <c r="B15" s="64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2"/>
    </row>
    <row r="16" spans="1:18">
      <c r="A16" s="63"/>
      <c r="B16" s="64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2"/>
    </row>
    <row r="17" spans="1:18">
      <c r="A17" s="63"/>
      <c r="B17" s="64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2"/>
    </row>
    <row r="18" spans="1:18">
      <c r="A18" s="63"/>
      <c r="B18" s="64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2"/>
    </row>
    <row r="19" spans="1:18">
      <c r="A19" s="63"/>
      <c r="B19" s="64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2"/>
    </row>
    <row r="20" spans="1:18">
      <c r="A20" s="63"/>
      <c r="B20" s="64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2"/>
    </row>
    <row r="21" spans="1:18">
      <c r="A21" s="63"/>
      <c r="B21" s="64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2"/>
    </row>
    <row r="22" spans="1:18">
      <c r="A22" s="63"/>
      <c r="B22" s="64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2"/>
    </row>
    <row r="23" spans="1:18">
      <c r="A23" s="63"/>
      <c r="B23" s="64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2"/>
    </row>
    <row r="24" spans="1:18">
      <c r="A24" s="63"/>
      <c r="B24" s="64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</row>
    <row r="25" spans="1:18">
      <c r="A25" s="63"/>
      <c r="B25" s="64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2"/>
    </row>
    <row r="26" spans="1:18">
      <c r="A26" s="63"/>
      <c r="B26" s="64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2"/>
    </row>
    <row r="27" spans="1:18">
      <c r="A27" s="63"/>
      <c r="B27" s="64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2"/>
    </row>
    <row r="28" spans="1:18">
      <c r="A28" s="63"/>
      <c r="B28" s="64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2"/>
    </row>
    <row r="29" spans="1:18">
      <c r="A29" s="63"/>
      <c r="B29" s="64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2"/>
    </row>
    <row r="30" spans="1:18">
      <c r="A30" s="63"/>
      <c r="B30" s="64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2"/>
    </row>
    <row r="31" spans="1:18">
      <c r="A31" s="63"/>
      <c r="B31" s="64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2"/>
    </row>
    <row r="32" spans="1:18">
      <c r="A32" s="63"/>
      <c r="B32" s="64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2"/>
    </row>
    <row r="33" spans="1:18">
      <c r="A33" s="63"/>
      <c r="B33" s="64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2"/>
    </row>
    <row r="34" spans="1:18">
      <c r="A34" s="63"/>
      <c r="B34" s="64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2"/>
    </row>
    <row r="35" spans="1:18">
      <c r="A35" s="63"/>
      <c r="B35" s="64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2"/>
    </row>
    <row r="36" spans="1:18">
      <c r="A36" s="63"/>
      <c r="B36" s="64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2"/>
    </row>
    <row r="37" spans="1:18">
      <c r="A37" s="63"/>
      <c r="B37" s="64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2"/>
    </row>
    <row r="38" spans="1:18">
      <c r="A38" s="63"/>
      <c r="B38" s="64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2"/>
    </row>
    <row r="39" spans="1:18">
      <c r="A39" s="63"/>
      <c r="B39" s="64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2"/>
    </row>
    <row r="40" spans="1:18">
      <c r="A40" s="63"/>
      <c r="B40" s="64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2"/>
    </row>
    <row r="41" spans="1:18">
      <c r="A41" s="63"/>
      <c r="B41" s="64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2"/>
    </row>
    <row r="42" spans="1:18">
      <c r="A42" s="63"/>
      <c r="B42" s="64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2"/>
    </row>
    <row r="43" spans="1:18">
      <c r="A43" s="63"/>
      <c r="B43" s="64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2"/>
    </row>
    <row r="44" spans="1:18">
      <c r="A44" s="63"/>
      <c r="B44" s="64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2"/>
    </row>
    <row r="45" spans="1:18">
      <c r="A45" s="63"/>
      <c r="B45" s="64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2"/>
    </row>
    <row r="46" spans="1:18">
      <c r="A46" s="63"/>
      <c r="B46" s="64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2"/>
    </row>
    <row r="47" spans="1:18">
      <c r="A47" s="63"/>
      <c r="B47" s="64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2"/>
    </row>
    <row r="48" spans="1:18">
      <c r="A48" s="63"/>
      <c r="B48" s="64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2"/>
    </row>
    <row r="49" spans="1:18">
      <c r="A49" s="63"/>
      <c r="B49" s="6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2"/>
    </row>
    <row r="50" spans="1:18">
      <c r="A50" s="63"/>
      <c r="B50" s="64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2"/>
    </row>
    <row r="51" spans="1:18">
      <c r="A51" s="63"/>
      <c r="B51" s="64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2"/>
    </row>
    <row r="52" spans="1:18">
      <c r="A52" s="63"/>
      <c r="B52" s="64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RowHeight="14.4"/>
  <sheetData>
    <row r="1" spans="1:13">
      <c r="A1" t="s">
        <v>106</v>
      </c>
      <c r="B1" t="s">
        <v>110</v>
      </c>
      <c r="C1" t="s">
        <v>87</v>
      </c>
      <c r="D1" t="s">
        <v>79</v>
      </c>
      <c r="E1" t="s">
        <v>127</v>
      </c>
      <c r="F1" t="s">
        <v>128</v>
      </c>
      <c r="G1" t="s">
        <v>129</v>
      </c>
      <c r="H1" t="s">
        <v>79</v>
      </c>
      <c r="I1" t="s">
        <v>130</v>
      </c>
      <c r="J1" t="s">
        <v>131</v>
      </c>
      <c r="K1" t="s">
        <v>132</v>
      </c>
      <c r="L1" t="s">
        <v>133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RowHeight="14.4"/>
  <sheetData>
    <row r="1" spans="1:13">
      <c r="A1" t="s">
        <v>106</v>
      </c>
      <c r="B1" t="s">
        <v>110</v>
      </c>
      <c r="C1" t="s">
        <v>87</v>
      </c>
      <c r="D1" t="s">
        <v>79</v>
      </c>
      <c r="E1" t="s">
        <v>127</v>
      </c>
      <c r="F1" t="s">
        <v>128</v>
      </c>
      <c r="G1" t="s">
        <v>129</v>
      </c>
      <c r="H1" t="s">
        <v>79</v>
      </c>
      <c r="I1" t="s">
        <v>130</v>
      </c>
      <c r="J1" t="s">
        <v>131</v>
      </c>
      <c r="K1" t="s">
        <v>132</v>
      </c>
      <c r="L1" t="s">
        <v>133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Help</vt:lpstr>
      <vt:lpstr>PFD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2022-06-09T14:26:14Z</dcterms:modified>
</cp:coreProperties>
</file>