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physical_properties\"/>
    </mc:Choice>
  </mc:AlternateContent>
  <xr:revisionPtr revIDLastSave="0" documentId="13_ncr:1_{A1874D40-910E-4B65-93CA-1738FAAB163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50" r:id="rId3"/>
    <sheet name="Pellet Geometry" sheetId="42" r:id="rId4"/>
    <sheet name="Void Fractions" sheetId="51" r:id="rId5"/>
    <sheet name="Densities" sheetId="52" r:id="rId6"/>
    <sheet name="Adsorption Isotherm" sheetId="53" r:id="rId7"/>
    <sheet name="Adsorption Kinetics" sheetId="54" r:id="rId8"/>
    <sheet name="Thermodynamic Properties" sheetId="55" r:id="rId9"/>
    <sheet name="Help" sheetId="39" r:id="rId10"/>
    <sheet name="PFD" sheetId="41" r:id="rId11"/>
    <sheet name="maintenance check list" sheetId="28" state="hidden" r:id="rId12"/>
    <sheet name="Data(Transposed)" sheetId="3" state="hidden" r:id="rId13"/>
    <sheet name="Data(Test)" sheetId="9" state="hidden" r:id="rId14"/>
  </sheets>
  <functionGroups builtInGroupCount="19"/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6" hidden="1">'Adsorption Isotherm'!$B$9:$K$9</definedName>
    <definedName name="_xlnm._FilterDatabase" localSheetId="7" hidden="1">'Adsorption Kinetics'!$B$9:$K$9</definedName>
    <definedName name="_xlnm._FilterDatabase" localSheetId="5" hidden="1">Densities!$B$9:$K$9</definedName>
    <definedName name="_xlnm._FilterDatabase" localSheetId="2" hidden="1">Initialization!$B$9:$K$9</definedName>
    <definedName name="_xlnm._FilterDatabase" localSheetId="3" hidden="1">'Pellet Geometry'!$B$9:$K$9</definedName>
    <definedName name="_xlnm._FilterDatabase" localSheetId="8" hidden="1">'Thermodynamic Properties'!$B$9:$K$9</definedName>
    <definedName name="_xlnm._FilterDatabase" localSheetId="4" hidden="1">'Void Fractions'!$B$9:$K$9</definedName>
    <definedName name="_xlnm.Print_Area" localSheetId="6">'Adsorption Isotherm'!$B$2:$K$15</definedName>
    <definedName name="_xlnm.Print_Area" localSheetId="7">'Adsorption Kinetics'!$B$2:$K$12</definedName>
    <definedName name="_xlnm.Print_Area" localSheetId="5">Densities!$B$2:$K$13</definedName>
    <definedName name="_xlnm.Print_Area" localSheetId="2">Initialization!$B$2:$K$11</definedName>
    <definedName name="_xlnm.Print_Area" localSheetId="3">'Pellet Geometry'!$B$2:$K$11</definedName>
    <definedName name="_xlnm.Print_Area" localSheetId="0">'Revision History'!$C$3:$K$51</definedName>
    <definedName name="_xlnm.Print_Area" localSheetId="8">'Thermodynamic Properties'!$B$2:$K$11</definedName>
    <definedName name="_xlnm.Print_Area" localSheetId="4">'Void Fractions'!$B$2:$K$13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55" l="1"/>
  <c r="K2" i="55"/>
  <c r="B2" i="55"/>
  <c r="I11" i="54"/>
  <c r="C11" i="54"/>
  <c r="I10" i="54"/>
  <c r="C10" i="54"/>
  <c r="K4" i="54" s="1"/>
  <c r="K2" i="54"/>
  <c r="B2" i="54"/>
  <c r="I13" i="53"/>
  <c r="I12" i="53"/>
  <c r="I10" i="53"/>
  <c r="I11" i="53"/>
  <c r="K4" i="53"/>
  <c r="K2" i="53"/>
  <c r="B2" i="53"/>
  <c r="C12" i="52"/>
  <c r="K4" i="52"/>
  <c r="K2" i="52"/>
  <c r="B2" i="52"/>
  <c r="J12" i="51"/>
  <c r="J11" i="51"/>
  <c r="K4" i="51"/>
  <c r="K2" i="51"/>
  <c r="B2" i="51"/>
  <c r="K4" i="50"/>
  <c r="K2" i="50"/>
  <c r="B2" i="50"/>
  <c r="K4" i="42" l="1"/>
  <c r="K2" i="42"/>
  <c r="B2" i="42"/>
  <c r="R1" i="41"/>
  <c r="A1" i="41"/>
  <c r="R1" i="39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tc={D68D7DD7-114E-4506-9004-FFA583A40F0D}</author>
    <author>tc={B23C1261-66A9-4E49-97F6-2C7C9AE0FE66}</author>
    <author>tc={F00DC2EB-F4E3-4130-B0E9-ECFBA6D95603}</author>
  </authors>
  <commentList>
    <comment ref="H9" authorId="0" shapeId="0" xr:uid="{D68D7DD7-114E-4506-9004-FFA583A40F0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B23C1261-66A9-4E49-97F6-2C7C9AE0FE6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F00DC2EB-F4E3-4130-B0E9-ECFBA6D9560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H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H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H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H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H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H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<sst xmlns="http://schemas.openxmlformats.org/spreadsheetml/2006/main" count="372" uniqueCount="165">
  <si>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</si>
  <si>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</si>
  <si>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</si>
  <si>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</si>
  <si>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</si>
  <si>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</si>
  <si>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</si>
  <si>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</si>
  <si>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</si>
  <si>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</si>
  <si>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</si>
  <si>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</si>
  <si>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</si>
  <si>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</si>
  <si>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</si>
  <si>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</si>
  <si>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</si>
  <si>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</si>
  <si>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</si>
  <si>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</si>
  <si>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</si>
  <si>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</si>
  <si>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</si>
  <si>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</si>
  <si>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</si>
  <si>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</si>
  <si>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</si>
  <si>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</si>
  <si>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</si>
  <si>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</si>
  <si>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</si>
  <si>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</si>
  <si>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</si>
  <si>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</si>
  <si>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</si>
  <si>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</si>
  <si>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</si>
  <si>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</si>
  <si>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</si>
  <si>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</si>
  <si>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</si>
  <si>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</si>
  <si>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</si>
  <si>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</si>
  <si>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</si>
  <si>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</si>
  <si>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</si>
  <si>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</si>
  <si>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</si>
  <si>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</si>
  <si>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</si>
  <si>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</si>
  <si>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</si>
  <si>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</si>
  <si>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</si>
  <si>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</si>
  <si>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</si>
  <si>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</si>
  <si>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</si>
  <si>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</si>
  <si>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</si>
  <si>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</si>
  <si>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</si>
  <si>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</si>
  <si>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</si>
  <si>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</si>
  <si>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</si>
  <si>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</si>
  <si>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</si>
  <si>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</si>
  <si>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</si>
  <si>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</si>
  <si>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</si>
  <si>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The number of components to be modeled in the system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</si>
  <si>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</si>
  <si>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</si>
  <si>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</si>
  <si>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</si>
  <si>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</si>
  <si>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</si>
  <si>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</si>
  <si>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</si>
  <si>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</si>
  <si>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</si>
  <si>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</si>
  <si>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</si>
  <si>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</si>
  <si>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</si>
  <si>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</si>
  <si>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</si>
  <si>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</si>
  <si>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</si>
  <si>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</si>
  <si>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</si>
  <si>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</si>
  <si>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</si>
  <si>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</si>
  <si>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</si>
  <si>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</si>
  <si>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</si>
  <si>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</si>
  <si>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</si>
  <si>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</si>
  <si>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</si>
  <si>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</si>
  <si>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</si>
  <si>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</si>
  <si>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</si>
  <si>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</si>
  <si>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</si>
  <si>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</si>
  <si>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</si>
  <si>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</si>
  <si>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</si>
  <si>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</si>
  <si>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</si>
  <si>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</si>
  <si>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</si>
  <si>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</si>
  <si>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</si>
  <si>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</si>
  <si>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Pellet Void Fraction (               ) = 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</si>
  <si>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</si>
  <si>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</si>
  <si>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</si>
  <si>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</si>
  <si>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</si>
  <si>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</si>
  <si>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</si>
  <si>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</si>
  <si>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</si>
  <si>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</si>
  <si>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</si>
  <si>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</si>
  <si>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</si>
  <si>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</si>
  <si>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</si>
  <si>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</si>
  <si>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</si>
  <si>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</si>
  <si>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r>
      <rPr>
        <b/>
        <i/>
        <sz val="11"/>
        <color theme="1"/>
        <rFont val="Consolas"/>
        <family val="3"/>
      </rPr>
      <t>Notes</t>
    </r>
    <r>
      <rPr>
        <sz val="11"/>
        <color theme="1"/>
        <rFont val="Consolas"/>
        <family val="3"/>
      </rPr>
      <t>: Temperature dependence of the isotherm parameters</t>
    </r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</si>
  <si>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</si>
  <si>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</si>
  <si>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</si>
  <si>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</si>
  <si>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</si>
  <si>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</si>
  <si>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</si>
  <si>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</si>
  <si>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</si>
  <si>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</si>
  <si>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</si>
  <si>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</si>
  <si>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</si>
  <si>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</si>
  <si>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</si>
  <si>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</si>
  <si>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</si>
  <si>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</si>
  <si>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</si>
  <si>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</si>
  <si>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</si>
  <si>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Initial development of the "cycle_organization.xlsm" sheet.</t>
  </si>
  <si>
    <t>REV. NO.1 (6/8/2022)</t>
  </si>
  <si>
    <t>Pressure Swing Adsorption Process Flow Diagram (PFD)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</si>
</sst>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 applyProtection="1">
      <alignment horizontal="left" vertical="center"/>
    </xf>
    <xf numFmtId="0" fontId="9" fillId="6" borderId="7" xfId="0" applyFont="1" applyFill="1" applyBorder="1" applyAlignment="1" applyProtection="1">
      <alignment horizontal="center" vertical="center"/>
    </xf>
    <xf numFmtId="0" fontId="12" fillId="6" borderId="8" xfId="0" applyFont="1" applyFill="1" applyBorder="1" applyAlignment="1" applyProtection="1">
      <alignment horizontal="right" vertical="center"/>
    </xf>
    <xf numFmtId="0" fontId="8" fillId="6" borderId="5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/>
    </xf>
    <xf numFmtId="0" fontId="8" fillId="6" borderId="9" xfId="0" applyFont="1" applyFill="1" applyBorder="1" applyAlignment="1" applyProtection="1">
      <alignment horizontal="center" vertical="center" wrapText="1"/>
    </xf>
    <xf numFmtId="0" fontId="8" fillId="6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top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3" borderId="0" xfId="0" applyFont="1" applyFill="1"/>
    <xf numFmtId="0" fontId="4" fillId="3" borderId="7" xfId="0" applyFont="1" applyFill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emf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3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3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3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500-0000018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5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5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600-0000019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6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6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700-0000019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7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7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800-0000019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8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8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8165" y="1129552"/>
          <a:ext cx="4417387" cy="426027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484094</xdr:colOff>
      <xdr:row>41</xdr:row>
      <xdr:rowOff>44823</xdr:rowOff>
    </xdr:from>
    <xdr:to>
      <xdr:col>2</xdr:col>
      <xdr:colOff>703142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03294" y="7725783"/>
          <a:ext cx="219048" cy="3500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8</xdr:col>
      <xdr:colOff>22860</xdr:colOff>
      <xdr:row>13</xdr:row>
      <xdr:rowOff>22860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560"/>
          <a:ext cx="468630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645460</xdr:colOff>
      <xdr:row>44</xdr:row>
      <xdr:rowOff>62754</xdr:rowOff>
    </xdr:from>
    <xdr:to>
      <xdr:col>3</xdr:col>
      <xdr:colOff>863275</xdr:colOff>
      <xdr:row>46</xdr:row>
      <xdr:rowOff>85118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64660" y="8292354"/>
          <a:ext cx="1116975" cy="388123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699248</xdr:colOff>
      <xdr:row>48</xdr:row>
      <xdr:rowOff>8965</xdr:rowOff>
    </xdr:from>
    <xdr:to>
      <xdr:col>2</xdr:col>
      <xdr:colOff>851629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918448" y="897008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68035</xdr:rowOff>
    </xdr:from>
    <xdr:to>
      <xdr:col>11</xdr:col>
      <xdr:colOff>2541841</xdr:colOff>
      <xdr:row>98</xdr:row>
      <xdr:rowOff>62195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17258755"/>
          <a:ext cx="12242101" cy="69436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esktop/RAPID%20Model%20Release/v3.0/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0_settings/0.3_simulation_output_setting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6_pump_propertie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."/>
      <sheetName val="Data"/>
      <sheetName val="Reference"/>
      <sheetName val="Data(Transposed)"/>
      <sheetName val="Data(Test)"/>
      <sheetName val="(guide) valve constants"/>
      <sheetName val="(guide) void fraction &amp; density"/>
      <sheetName val="(guide) sorption isotherm"/>
      <sheetName val="(guide) sorption kineti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Models"/>
      <sheetName val="Plotting"/>
      <sheetName val="Numerical Methods"/>
      <sheetName val="Reference"/>
      <sheetName val="Natural Constants"/>
      <sheetName val="Cycle Organizer"/>
      <sheetName val="Packed Bed Properties"/>
      <sheetName val="Tank Properties"/>
      <sheetName val="Adsorbent Properties"/>
      <sheetName val="Adsorbate Properties"/>
      <sheetName val="Stream Properties"/>
      <sheetName val="maintenance check list"/>
      <sheetName val="Data(Transposed)"/>
      <sheetName val="Data(Test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>
        <row r="11">
          <cell r="C11">
            <v>2</v>
          </cell>
        </row>
      </sheetData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PSA Cycle"/>
      <sheetName val="Valve Constants"/>
      <sheetName val="Extended Definitions"/>
      <sheetName val="Pressure Changer Properties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  <cell r="J4" t="str">
            <v>Scott Research Group (jkscottresearchgroup.com)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785CD0-3F96-4E27-9862-7D37570CE63F}" name="Table19311" displayName="Table19311" ref="B9:K11" totalsRowShown="0" headerRowDxfId="161" dataDxfId="159" headerRowBorderDxfId="160" tableBorderDxfId="158" totalsRowBorderDxfId="157">
  <autoFilter ref="B9:K11" xr:uid="{B089C5C3-2CCE-4800-96CA-2131BB6E3E4F}"/>
  <tableColumns count="10">
    <tableColumn id="1" xr3:uid="{C2C9EF81-FAF5-4C7B-A769-034BA2C96AF2}" name="Variable" dataDxfId="156"/>
    <tableColumn id="4" xr3:uid="{9963731A-5F81-43CC-85AB-01E549F01530}" name="Value" dataDxfId="155"/>
    <tableColumn id="5" xr3:uid="{761CDAC4-D775-4957-9E91-699D5840F945}" name="Unit" dataDxfId="154"/>
    <tableColumn id="6" xr3:uid="{E2C73056-29A6-4CCE-9D37-2DA97C9613DD}" name="Comparisons" dataDxfId="153"/>
    <tableColumn id="7" xr3:uid="{7F7695DA-A22E-4A3F-B6CD-D44549C39DB7}" name="Variable Type" dataDxfId="152"/>
    <tableColumn id="8" xr3:uid="{029381B5-29FB-4042-8DA8-46213B1BF407}" name="Dependency" dataDxfId="151"/>
    <tableColumn id="12" xr3:uid="{598FC1CE-E06C-4A0F-B035-E63DFBCC0DBB}" name="Test 1" dataDxfId="150"/>
    <tableColumn id="10" xr3:uid="{BAC0E785-7151-4930-B2DA-E48E5A0F6BE7}" name="Test 2" dataDxfId="149"/>
    <tableColumn id="2" xr3:uid="{AF3B27EE-5C95-4860-BAF3-C9A7CD9A1A04}" name="Test 3" dataDxfId="148"/>
    <tableColumn id="9" xr3:uid="{F53F86EF-48D9-4F34-AB65-59B38A30B6FD}" name="Description" dataDxfId="1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B9:K11" totalsRowShown="0" headerRowDxfId="138" dataDxfId="136" headerRowBorderDxfId="137" tableBorderDxfId="135" totalsRowBorderDxfId="134">
  <autoFilter ref="B9:K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B9:K13" totalsRowShown="0" headerRowDxfId="109" dataDxfId="107" headerRowBorderDxfId="108" tableBorderDxfId="106" totalsRowBorderDxfId="105">
  <autoFilter ref="B9:K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B9:K15" totalsRowShown="0" headerRowDxfId="60" dataDxfId="58" headerRowBorderDxfId="59" tableBorderDxfId="57" totalsRowBorderDxfId="56">
  <autoFilter ref="B9:K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B9:K12" totalsRowShown="0" headerRowDxfId="37" dataDxfId="35" headerRowBorderDxfId="36" tableBorderDxfId="34" totalsRowBorderDxfId="33">
  <autoFilter ref="B9:K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D68D7DD7-114E-4506-9004-FFA583A40F0D}">
    <text>place 1 if we want to keep the row when re-initializing. Otherwise, leave it as a blank.</text>
  </threadedComment>
  <threadedComment ref="I9" dT="2020-11-26T18:35:03.27" personId="{7F98AE94-13FB-49E1-9262-339C11E0EDB4}" id="{B23C1261-66A9-4E49-97F6-2C7C9AE0FE66}">
    <text>supply a value greater than 1 if you want to duplicate the row</text>
  </threadedComment>
  <threadedComment ref="J9" dT="2020-11-28T01:53:47.29" personId="{7F98AE94-13FB-49E1-9262-339C11E0EDB4}" id="{F00DC2EB-F4E3-4130-B0E9-ECFBA6D95603}">
    <text>1 means we need to have the variable specified; 0 means we need not have the variable specified</text>
  </threadedComment>
  <threadedComment ref="J9" dT="2020-11-28T01:56:42.32" personId="{7F98AE94-13FB-49E1-9262-339C11E0EDB4}" id="{F9CF4A43-74BD-4AF1-9D8F-9170DA43916A}" parentId="{F00DC2EB-F4E3-4130-B0E9-ECFBA6D9560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A3B7318-ABF5-4964-8585-DC1B4485FC8D}">
    <text>place 1 if we want to keep the row when re-initializing. Otherwise, leave it as a blank.</text>
  </threadedComment>
  <threadedComment ref="I9" dT="2020-11-26T18:35:03.27" personId="{7F98AE94-13FB-49E1-9262-339C11E0EDB4}" id="{1F766DF8-4F4C-4CAC-A34A-0EE77796A689}">
    <text>supply a value greater than 1 if you want to duplicate the row</text>
  </threadedComment>
  <threadedComment ref="J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J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95B3EC1-A5D3-4C2B-B926-25E745C35296}">
    <text>place 1 if we want to keep the row when re-initializing. Otherwise, leave it as a blank.</text>
  </threadedComment>
  <threadedComment ref="I9" dT="2020-11-26T18:35:03.27" personId="{7F98AE94-13FB-49E1-9262-339C11E0EDB4}" id="{AE93204B-2197-4D7A-AA49-C466674EC8B1}">
    <text>supply a value greater than 1 if you want to duplicate the row</text>
  </threadedComment>
  <threadedComment ref="J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J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D7ACC8B-E136-46C9-A208-4FFB47F07F13}">
    <text>place 1 if we want to keep the row when re-initializing. Otherwise, leave it as a blank.</text>
  </threadedComment>
  <threadedComment ref="I9" dT="2020-11-26T18:35:03.27" personId="{7F98AE94-13FB-49E1-9262-339C11E0EDB4}" id="{524D07B7-3BCD-416A-945D-F50C138F908B}">
    <text>supply a value greater than 1 if you want to duplicate the row</text>
  </threadedComment>
  <threadedComment ref="J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J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4679A202-C379-4D4A-8302-C6FC8DA92DAA}">
    <text>place 1 if we want to keep the row when re-initializing. Otherwise, leave it as a blank.</text>
  </threadedComment>
  <threadedComment ref="I9" dT="2020-11-26T18:35:03.27" personId="{7F98AE94-13FB-49E1-9262-339C11E0EDB4}" id="{B18702AE-04BD-4837-92FE-1853D01A6067}">
    <text>supply a value greater than 1 if you want to duplicate the row</text>
  </threadedComment>
  <threadedComment ref="J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J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3F2771C-7CC0-44FC-9260-3189065E2D5A}">
    <text>place 1 if we want to keep the row when re-initializing. Otherwise, leave it as a blank.</text>
  </threadedComment>
  <threadedComment ref="I9" dT="2020-11-26T18:35:03.27" personId="{7F98AE94-13FB-49E1-9262-339C11E0EDB4}" id="{1CDAD62E-ED78-41AC-B275-04BA7975D617}">
    <text>supply a value greater than 1 if you want to duplicate the row</text>
  </threadedComment>
  <threadedComment ref="J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J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D7B050E2-ADE4-4B45-9734-B067EA00A2ED}">
    <text>place 1 if we want to keep the row when re-initializing. Otherwise, leave it as a blank.</text>
  </threadedComment>
  <threadedComment ref="I9" dT="2020-11-26T18:35:03.27" personId="{7F98AE94-13FB-49E1-9262-339C11E0EDB4}" id="{C7BCD8B2-54F5-4D15-9DE0-6ECB4743340E}">
    <text>supply a value greater than 1 if you want to duplicate the row</text>
  </threadedComment>
  <threadedComment ref="J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J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microsoft.com/office/2017/10/relationships/threadedComment" Target="../threadedComments/threadedComment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43" hidden="1" customWidth="1"/>
    <col min="3" max="3" width="2.44140625" style="43" customWidth="1"/>
    <col min="4" max="4" width="13.88671875" style="43" customWidth="1"/>
    <col min="5" max="5" width="51.33203125" style="44" bestFit="1" customWidth="1"/>
    <col min="6" max="6" width="15.77734375" style="45" bestFit="1" customWidth="1"/>
    <col min="7" max="9" width="13.33203125" style="43" customWidth="1"/>
    <col min="10" max="10" width="48.88671875" style="43" customWidth="1"/>
    <col min="11" max="11" width="2.44140625" style="43" customWidth="1"/>
    <col min="12" max="12" width="0" style="43" hidden="1" customWidth="1"/>
    <col min="13" max="16384" width="9" style="43" hidden="1"/>
  </cols>
  <sheetData>
    <row r="3" spans="4:10"/>
    <row r="4" spans="4:10" ht="18">
      <c r="D4" s="74" t="s">
        <v>163</v>
      </c>
      <c r="E4" s="75"/>
      <c r="F4" s="76"/>
      <c r="G4" s="77"/>
      <c r="H4" s="77"/>
      <c r="I4" s="77"/>
      <c r="J4" s="46" t="s">
        <v>103</v>
      </c>
    </row>
    <row r="5" spans="4:10" ht="36">
      <c r="D5" s="80" t="s">
        <v>41</v>
      </c>
      <c r="E5" s="80"/>
      <c r="F5" s="80"/>
      <c r="G5" s="80"/>
      <c r="H5" s="80"/>
      <c r="I5" s="80"/>
      <c r="J5" s="80"/>
    </row>
    <row r="6" spans="4:10" ht="18">
      <c r="D6" s="60" t="s">
        <v>35</v>
      </c>
      <c r="E6" s="60" t="s">
        <v>161</v>
      </c>
      <c r="F6" s="60" t="s">
        <v>36</v>
      </c>
      <c r="G6" s="60" t="s">
        <v>37</v>
      </c>
      <c r="H6" s="60" t="s">
        <v>38</v>
      </c>
      <c r="I6" s="60" t="s">
        <v>39</v>
      </c>
      <c r="J6" s="60" t="s">
        <v>40</v>
      </c>
    </row>
    <row r="7" spans="4:10" ht="36">
      <c r="D7" s="47">
        <v>1</v>
      </c>
      <c r="E7" s="71" t="s">
        <v>162</v>
      </c>
      <c r="F7" s="72">
        <v>44720</v>
      </c>
      <c r="G7" s="73" t="s">
        <v>42</v>
      </c>
      <c r="H7" s="47"/>
      <c r="I7" s="47"/>
      <c r="J7" s="48"/>
    </row>
    <row r="8" spans="4:10" ht="18">
      <c r="D8" s="47">
        <v>2</v>
      </c>
      <c r="E8" s="48"/>
      <c r="F8" s="49"/>
      <c r="G8" s="47"/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83</v>
      </c>
      <c r="F1" t="s">
        <v>84</v>
      </c>
      <c r="G1" s="1" t="s">
        <v>85</v>
      </c>
      <c r="H1" s="1" t="s">
        <v>86</v>
      </c>
      <c r="I1" s="1" t="s">
        <v>87</v>
      </c>
      <c r="J1" s="7" t="s">
        <v>89</v>
      </c>
      <c r="K1" s="7" t="s">
        <v>6</v>
      </c>
      <c r="L1" t="s">
        <v>101</v>
      </c>
      <c r="M1" t="s">
        <v>96</v>
      </c>
      <c r="N1" t="s">
        <v>97</v>
      </c>
      <c r="O1" t="s">
        <v>102</v>
      </c>
      <c r="P1" t="s">
        <v>107</v>
      </c>
      <c r="Q1" t="s">
        <v>129</v>
      </c>
      <c r="R1" t="s">
        <v>137</v>
      </c>
      <c r="S1" t="s">
        <v>138</v>
      </c>
      <c r="T1" t="s">
        <v>150</v>
      </c>
      <c r="U1" t="s">
        <v>151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92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152</v>
      </c>
    </row>
    <row r="4" spans="1:21">
      <c r="A4" t="s">
        <v>100</v>
      </c>
      <c r="B4" t="s">
        <v>26</v>
      </c>
      <c r="C4" t="s">
        <v>48</v>
      </c>
      <c r="D4" t="s">
        <v>93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153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154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155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156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157</v>
      </c>
    </row>
    <row r="9" spans="1:21">
      <c r="B9" t="s">
        <v>108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158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148</v>
      </c>
    </row>
    <row r="12" spans="1:21">
      <c r="B12" t="s">
        <v>109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149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AA60-0B67-4904-8330-421D5B768AE9}">
  <sheetPr codeName="Sheet19">
    <tabColor rgb="FF00B050"/>
  </sheetPr>
  <dimension ref="A2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0" sqref="C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IF(COUNTIF(Table19311[Test 3],1)=COUNTA(Table19311[Value]),"Ready","Not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28.8">
      <c r="B10" s="51" t="s">
        <v>5</v>
      </c>
      <c r="C10" s="39">
        <v>2</v>
      </c>
      <c r="D10" s="52" t="s">
        <v>3</v>
      </c>
      <c r="E10" s="1" t="s">
        <v>17</v>
      </c>
      <c r="F10" s="1" t="s">
        <v>7</v>
      </c>
      <c r="G10" s="52" t="s">
        <v>44</v>
      </c>
      <c r="H10" s="1">
        <v>1</v>
      </c>
      <c r="I10" s="1">
        <v>1</v>
      </c>
      <c r="J10" s="53">
        <v>1</v>
      </c>
      <c r="K10" s="54" t="s">
        <v>73</v>
      </c>
    </row>
    <row r="11" spans="2:11">
      <c r="B11" s="8" t="s">
        <v>94</v>
      </c>
      <c r="C11" s="40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95</v>
      </c>
    </row>
  </sheetData>
  <sheetProtection algorithmName="SHA-512" hashValue="Y2Im+0f0fDR5voTA6wHrkc3bX7V6YhSMokRv9agUda8e6PeLI/GHTlpqhKNrxf2ocDDW3A7H71goXfUq1LX+sg==" saltValue="4jJ1F3fmAQMHcuxnErt7VQ==" spinCount="100000" sheet="1" objects="1" scenarios="1" selectLockedCells="1"/>
  <mergeCells count="2">
    <mergeCell ref="B3:K3"/>
    <mergeCell ref="K4:K8"/>
  </mergeCells>
  <conditionalFormatting sqref="C11">
    <cfRule type="expression" dxfId="169" priority="7">
      <formula>IF(AND($C11&lt;&gt;"",$J11=0),1,0)</formula>
    </cfRule>
    <cfRule type="expression" dxfId="168" priority="8">
      <formula>IF($C11&lt;&gt;"",1,0)</formula>
    </cfRule>
    <cfRule type="expression" dxfId="167" priority="9">
      <formula>$J11=0</formula>
    </cfRule>
  </conditionalFormatting>
  <conditionalFormatting sqref="C10">
    <cfRule type="expression" dxfId="166" priority="1">
      <formula>IF(AND($C10&lt;&gt;"",$J10=0),1,0)</formula>
    </cfRule>
    <cfRule type="expression" dxfId="165" priority="2">
      <formula>IF($C10&lt;&gt;"",1,0)</formula>
    </cfRule>
    <cfRule type="expression" dxfId="164" priority="3">
      <formula>$J10=0</formula>
    </cfRule>
  </conditionalFormatting>
  <conditionalFormatting sqref="K4">
    <cfRule type="expression" dxfId="163" priority="10">
      <formula>IF(COUNTA($C$10:$C$11)&lt;&gt;COUNTIF($J$10:$J$11,1),1,0)</formula>
    </cfRule>
    <cfRule type="expression" dxfId="162" priority="11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0100CD-2725-4507-9A33-5CD4F671293A}">
          <x14:formula1>
            <xm:f>'C:\Users\tkim333\Desktop\RAPID Model Release\v3.0\[Test.xlsm]Reference'!#REF!</xm:f>
          </x14:formula1>
          <xm:sqref>G10</xm:sqref>
        </x14:dataValidation>
        <x14:dataValidation type="list" allowBlank="1" showInputMessage="1" showErrorMessage="1" xr:uid="{65849375-F955-40C4-A0B7-CD0ECF83ADDA}">
          <x14:formula1>
            <xm:f>Reference!$A$2:$A$8</xm:f>
          </x14:formula1>
          <xm:sqref>F10:F11</xm:sqref>
        </x14:dataValidation>
        <x14:dataValidation type="list" allowBlank="1" showInputMessage="1" showErrorMessage="1" xr:uid="{60015497-358C-486E-A507-C442827A4A6C}">
          <x14:formula1>
            <xm:f>Reference!$C$2:$C$23</xm:f>
          </x14:formula1>
          <xm:sqref>G11</xm:sqref>
        </x14:dataValidation>
        <x14:dataValidation type="list" allowBlank="1" showInputMessage="1" showErrorMessage="1" xr:uid="{1E709614-2CA6-44C0-B44D-087D0E07A23B}">
          <x14:formula1>
            <xm:f>Reference!$B$2:$B$18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IF(COUNTIF(Table193[Test 3],1)=COUNTA(Table193[Value]),"Ready","Not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28.8">
      <c r="B10" s="55" t="s">
        <v>159</v>
      </c>
      <c r="C10" s="56">
        <v>0.2</v>
      </c>
      <c r="D10" s="57" t="s">
        <v>79</v>
      </c>
      <c r="E10" s="1" t="s">
        <v>26</v>
      </c>
      <c r="F10" s="1" t="s">
        <v>7</v>
      </c>
      <c r="G10" s="52" t="s">
        <v>52</v>
      </c>
      <c r="H10" s="1">
        <v>1</v>
      </c>
      <c r="I10" s="1">
        <v>1</v>
      </c>
      <c r="J10" s="6">
        <v>1</v>
      </c>
      <c r="K10" s="59" t="s">
        <v>160</v>
      </c>
    </row>
    <row r="11" spans="2:11">
      <c r="B11" s="8" t="s">
        <v>94</v>
      </c>
      <c r="C11" s="40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95</v>
      </c>
    </row>
  </sheetData>
  <sheetProtection algorithmName="SHA-512" hashValue="e57Udy8MGdwomfGSx4OLatp0jfIkpDak7okUcAfhvP4aJADxPR2sOdbTSZ7JpM7Vg1lKPxd8lLKARjSPvDGWXw==" saltValue="pqVx5ivVVkv/8vyqjLFAww==" spinCount="100000" sheet="1" objects="1" scenarios="1" selectLockedCells="1"/>
  <mergeCells count="2">
    <mergeCell ref="B3:K3"/>
    <mergeCell ref="K4:K8"/>
  </mergeCells>
  <conditionalFormatting sqref="C11">
    <cfRule type="expression" dxfId="146" priority="4">
      <formula>IF(AND($C11&lt;&gt;"",$J11=0),1,0)</formula>
    </cfRule>
    <cfRule type="expression" dxfId="145" priority="5">
      <formula>IF($C11&lt;&gt;"",1,0)</formula>
    </cfRule>
    <cfRule type="expression" dxfId="144" priority="6">
      <formula>$J11=0</formula>
    </cfRule>
  </conditionalFormatting>
  <conditionalFormatting sqref="C10">
    <cfRule type="expression" dxfId="143" priority="1">
      <formula>IF(AND($C10&lt;&gt;"",$J10=0),1,0)</formula>
    </cfRule>
    <cfRule type="expression" dxfId="142" priority="2">
      <formula>IF($C10&lt;&gt;"",1,0)</formula>
    </cfRule>
    <cfRule type="expression" dxfId="141" priority="3">
      <formula>$J10=0</formula>
    </cfRule>
  </conditionalFormatting>
  <conditionalFormatting sqref="K4">
    <cfRule type="expression" dxfId="140" priority="7">
      <formula>IF(COUNTA($C$10:$C$11)&lt;&gt;COUNTIF($J$10:$J$11,1),1,0)</formula>
    </cfRule>
    <cfRule type="expression" dxfId="139" priority="8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E10:E11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G11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F10:F11</xm:sqref>
        </x14:dataValidation>
        <x14:dataValidation type="list" allowBlank="1" showInputMessage="1" showErrorMessage="1" xr:uid="{7188B3FA-FD6C-4DA6-B8CC-9407C4E95FD3}">
          <x14:formula1>
            <xm:f>'C:\Users\tkim333\Desktop\RAPID Model Release\v3.0\[Test.xlsm]Reference'!#REF!</xm:f>
          </x14:formula1>
          <xm:sqref>G10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2" sqref="C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IF(COUNTIF(Table19312[Test 3],1)=COUNTA(Table19312[Value]),"Ready","Not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72">
      <c r="B10" s="79" t="s">
        <v>130</v>
      </c>
      <c r="C10" s="39">
        <v>1</v>
      </c>
      <c r="D10" s="57" t="s">
        <v>3</v>
      </c>
      <c r="E10" s="1" t="s">
        <v>26</v>
      </c>
      <c r="F10" s="1" t="s">
        <v>100</v>
      </c>
      <c r="G10" s="52" t="s">
        <v>44</v>
      </c>
      <c r="H10" s="1">
        <v>1</v>
      </c>
      <c r="I10" s="1">
        <v>1</v>
      </c>
      <c r="J10" s="53">
        <v>1</v>
      </c>
      <c r="K10" s="54" t="s">
        <v>143</v>
      </c>
    </row>
    <row r="11" spans="2:11">
      <c r="B11" s="51" t="s">
        <v>146</v>
      </c>
      <c r="C11" s="39"/>
      <c r="D11" s="52" t="s">
        <v>3</v>
      </c>
      <c r="E11" s="1" t="s">
        <v>26</v>
      </c>
      <c r="F11" s="1" t="s">
        <v>7</v>
      </c>
      <c r="G11" s="52" t="s">
        <v>33</v>
      </c>
      <c r="H11" s="1">
        <v>1</v>
      </c>
      <c r="I11" s="1">
        <v>1</v>
      </c>
      <c r="J11" s="58">
        <f>IF($C$10=0,0,IF($C$10=1,0,IF($C$10=2,1,IF($C$10=3,1,0))))</f>
        <v>0</v>
      </c>
      <c r="K11" s="54" t="s">
        <v>144</v>
      </c>
    </row>
    <row r="12" spans="2:11">
      <c r="B12" s="51" t="s">
        <v>147</v>
      </c>
      <c r="C12" s="41"/>
      <c r="D12" s="52" t="s">
        <v>3</v>
      </c>
      <c r="E12" s="1" t="s">
        <v>26</v>
      </c>
      <c r="F12" s="1" t="s">
        <v>7</v>
      </c>
      <c r="G12" s="52" t="s">
        <v>33</v>
      </c>
      <c r="H12" s="1">
        <v>1</v>
      </c>
      <c r="I12" s="1">
        <v>1</v>
      </c>
      <c r="J12" s="58">
        <f>IF($C$10=0,0,IF($C$10=1,0,IF($C$10=2,0,IF($C$10=3,1,0))))</f>
        <v>0</v>
      </c>
      <c r="K12" s="54" t="s">
        <v>145</v>
      </c>
    </row>
    <row r="13" spans="2:11">
      <c r="B13" s="8" t="s">
        <v>94</v>
      </c>
      <c r="C13" s="40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95</v>
      </c>
    </row>
  </sheetData>
  <sheetProtection algorithmName="SHA-512" hashValue="x+Iw7pQfSxlh0pQpF01Sqmx436uohZGpuXQqJfjfiwao/TC5a+psy7qG0lcjWakWmiB4Zh6Dt8VyTx09f8oaNg==" saltValue="mEW0A1nnZrWPApSacZNngg==" spinCount="100000" sheet="1" objects="1" scenarios="1" selectLockedCells="1"/>
  <mergeCells count="2">
    <mergeCell ref="B3:K3"/>
    <mergeCell ref="K4:K8"/>
  </mergeCells>
  <conditionalFormatting sqref="C13">
    <cfRule type="expression" dxfId="123" priority="13">
      <formula>IF(AND($C13&lt;&gt;"",$J13=0),1,0)</formula>
    </cfRule>
    <cfRule type="expression" dxfId="122" priority="14">
      <formula>IF($C13&lt;&gt;"",1,0)</formula>
    </cfRule>
    <cfRule type="expression" dxfId="121" priority="15">
      <formula>$J13=0</formula>
    </cfRule>
  </conditionalFormatting>
  <conditionalFormatting sqref="C12">
    <cfRule type="expression" dxfId="120" priority="1">
      <formula>IF(AND($C12&lt;&gt;"",$J12=0),1,0)</formula>
    </cfRule>
    <cfRule type="expression" dxfId="119" priority="2">
      <formula>IF($C12&lt;&gt;"",1,0)</formula>
    </cfRule>
    <cfRule type="expression" dxfId="118" priority="3">
      <formula>$J12=0</formula>
    </cfRule>
  </conditionalFormatting>
  <conditionalFormatting sqref="K4">
    <cfRule type="expression" dxfId="117" priority="16">
      <formula>IF(COUNTA($C$10:$C$13)&lt;&gt;COUNTIF($J$10:$J$13,1),1,0)</formula>
    </cfRule>
    <cfRule type="expression" dxfId="116" priority="17">
      <formula>IF(COUNTA($C$10:$C$13)=COUNTIF($J$10:$J$13,1),1,0)</formula>
    </cfRule>
  </conditionalFormatting>
  <conditionalFormatting sqref="C10">
    <cfRule type="expression" dxfId="115" priority="7">
      <formula>IF(AND($C10&lt;&gt;"",$J10=0),1,0)</formula>
    </cfRule>
    <cfRule type="expression" dxfId="114" priority="8">
      <formula>IF($C10&lt;&gt;"",1,0)</formula>
    </cfRule>
    <cfRule type="expression" dxfId="113" priority="9">
      <formula>$J10=0</formula>
    </cfRule>
  </conditionalFormatting>
  <conditionalFormatting sqref="C11">
    <cfRule type="expression" dxfId="112" priority="4">
      <formula>IF(AND($C11&lt;&gt;"",$J11=0),1,0)</formula>
    </cfRule>
    <cfRule type="expression" dxfId="111" priority="5">
      <formula>IF($C11&lt;&gt;"",1,0)</formula>
    </cfRule>
    <cfRule type="expression" dxfId="110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7F8BDE5-DC00-4BE4-8115-5847E571D2AF}">
          <x14:formula1>
            <xm:f>'C:\Users\tkim333\Desktop\RAPID Model Release\v3.0\[Test.xlsm]Reference'!#REF!</xm:f>
          </x14:formula1>
          <xm:sqref>G10:G12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F10:F13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G13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E10:E13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00B050"/>
  </sheetPr>
  <dimension ref="A2:K13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0" sqref="B10:K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IF(COUNTIF(Table1931213[Test 3],1)=COUNTA(Table1931213[Value]),"Ready","Not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28.8">
      <c r="B10" s="51" t="s">
        <v>68</v>
      </c>
      <c r="C10" s="41">
        <v>1.552E-3</v>
      </c>
      <c r="D10" s="52" t="s">
        <v>21</v>
      </c>
      <c r="E10" s="1" t="s">
        <v>26</v>
      </c>
      <c r="F10" s="1" t="s">
        <v>7</v>
      </c>
      <c r="G10" s="52" t="s">
        <v>44</v>
      </c>
      <c r="H10" s="1">
        <v>1</v>
      </c>
      <c r="I10" s="1">
        <v>1</v>
      </c>
      <c r="J10" s="53">
        <v>1</v>
      </c>
      <c r="K10" s="54" t="s">
        <v>99</v>
      </c>
    </row>
    <row r="11" spans="2:11" ht="28.8">
      <c r="B11" s="51" t="s">
        <v>69</v>
      </c>
      <c r="C11" s="41">
        <v>1.552E-3</v>
      </c>
      <c r="D11" s="52" t="s">
        <v>21</v>
      </c>
      <c r="E11" s="1" t="s">
        <v>26</v>
      </c>
      <c r="F11" s="1" t="s">
        <v>7</v>
      </c>
      <c r="G11" s="52" t="s">
        <v>44</v>
      </c>
      <c r="H11" s="1">
        <v>1</v>
      </c>
      <c r="I11" s="1">
        <v>1</v>
      </c>
      <c r="J11" s="53">
        <v>1</v>
      </c>
      <c r="K11" s="54" t="s">
        <v>128</v>
      </c>
    </row>
    <row r="12" spans="2:11" ht="28.8">
      <c r="B12" s="51" t="s">
        <v>70</v>
      </c>
      <c r="C12" s="41">
        <f>0.81/1000</f>
        <v>8.1000000000000006E-4</v>
      </c>
      <c r="D12" s="52" t="s">
        <v>21</v>
      </c>
      <c r="E12" s="1" t="s">
        <v>26</v>
      </c>
      <c r="F12" s="1" t="s">
        <v>7</v>
      </c>
      <c r="G12" s="52" t="s">
        <v>44</v>
      </c>
      <c r="H12" s="1">
        <v>1</v>
      </c>
      <c r="I12" s="1">
        <v>1</v>
      </c>
      <c r="J12" s="53">
        <v>1</v>
      </c>
      <c r="K12" s="54" t="s">
        <v>98</v>
      </c>
    </row>
    <row r="13" spans="2:11">
      <c r="B13" s="8" t="s">
        <v>94</v>
      </c>
      <c r="C13" s="40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95</v>
      </c>
    </row>
  </sheetData>
  <sheetProtection selectLockedCells="1"/>
  <mergeCells count="2">
    <mergeCell ref="B3:K3"/>
    <mergeCell ref="K4:K8"/>
  </mergeCells>
  <conditionalFormatting sqref="C13">
    <cfRule type="expression" dxfId="94" priority="13">
      <formula>IF(AND($C13&lt;&gt;"",$J13=0),1,0)</formula>
    </cfRule>
    <cfRule type="expression" dxfId="93" priority="14">
      <formula>IF($C13&lt;&gt;"",1,0)</formula>
    </cfRule>
    <cfRule type="expression" dxfId="92" priority="15">
      <formula>$J13=0</formula>
    </cfRule>
  </conditionalFormatting>
  <conditionalFormatting sqref="K4">
    <cfRule type="expression" dxfId="91" priority="16">
      <formula>IF(COUNTA($C$10:$C$13)&lt;&gt;COUNTIF($J$10:$J$13,1),1,0)</formula>
    </cfRule>
    <cfRule type="expression" dxfId="90" priority="17">
      <formula>IF(COUNTA($C$10:$C$13)=COUNTIF($J$10:$J$13,1),1,0)</formula>
    </cfRule>
  </conditionalFormatting>
  <conditionalFormatting sqref="C10:C12">
    <cfRule type="expression" dxfId="89" priority="1">
      <formula>IF(AND($C10&lt;&gt;"",$J10=0),1,0)</formula>
    </cfRule>
    <cfRule type="expression" dxfId="88" priority="2">
      <formula>IF($C10&lt;&gt;"",1,0)</formula>
    </cfRule>
    <cfRule type="expression" dxfId="87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E10:E13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G13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F10:F13</xm:sqref>
        </x14:dataValidation>
        <x14:dataValidation type="list" allowBlank="1" showInputMessage="1" showErrorMessage="1" xr:uid="{E06ACB21-9368-4FA9-AE9E-2591FC06E76D}">
          <x14:formula1>
            <xm:f>'C:\Users\tkim333\Desktop\RAPID Model Release\v3.0\[Test.xlsm]Reference'!#REF!</xm:f>
          </x14:formula1>
          <xm:sqref>G10:G12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3" sqref="C13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IF(COUNTIF(Table193121314[Test 3],1)=COUNTA(Table193121314[Value]),"Ready","Not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28.8">
      <c r="B10" s="4" t="s">
        <v>75</v>
      </c>
      <c r="C10" s="39">
        <v>2903.4751548481281</v>
      </c>
      <c r="D10" s="2" t="s">
        <v>22</v>
      </c>
      <c r="E10" s="61" t="s">
        <v>26</v>
      </c>
      <c r="F10" s="61" t="s">
        <v>7</v>
      </c>
      <c r="G10" s="2" t="s">
        <v>5</v>
      </c>
      <c r="H10" s="61">
        <v>1</v>
      </c>
      <c r="I10" s="61">
        <f>Initialization!$C$10</f>
        <v>2</v>
      </c>
      <c r="J10" s="6">
        <v>1</v>
      </c>
      <c r="K10" s="5" t="s">
        <v>80</v>
      </c>
    </row>
    <row r="11" spans="2:11" ht="28.8">
      <c r="B11" s="4" t="s">
        <v>78</v>
      </c>
      <c r="C11" s="39">
        <v>5311.235039356332</v>
      </c>
      <c r="D11" s="2" t="s">
        <v>22</v>
      </c>
      <c r="E11" s="61" t="s">
        <v>26</v>
      </c>
      <c r="F11" s="61" t="s">
        <v>7</v>
      </c>
      <c r="G11" s="2" t="s">
        <v>5</v>
      </c>
      <c r="H11" s="61"/>
      <c r="I11" s="61">
        <f>Initialization!$C$10</f>
        <v>2</v>
      </c>
      <c r="J11" s="6">
        <v>1</v>
      </c>
      <c r="K11" s="5" t="s">
        <v>80</v>
      </c>
    </row>
    <row r="12" spans="2:11" ht="28.8">
      <c r="B12" s="4" t="s">
        <v>76</v>
      </c>
      <c r="C12" s="39">
        <v>1</v>
      </c>
      <c r="D12" s="2" t="s">
        <v>23</v>
      </c>
      <c r="E12" s="61" t="s">
        <v>26</v>
      </c>
      <c r="F12" s="61" t="s">
        <v>7</v>
      </c>
      <c r="G12" s="2" t="s">
        <v>5</v>
      </c>
      <c r="H12" s="61">
        <v>1</v>
      </c>
      <c r="I12" s="61">
        <f>Initialization!$C$10</f>
        <v>2</v>
      </c>
      <c r="J12" s="6">
        <v>1</v>
      </c>
      <c r="K12" s="5" t="s">
        <v>81</v>
      </c>
    </row>
    <row r="13" spans="2:11" ht="28.8">
      <c r="B13" s="4" t="s">
        <v>77</v>
      </c>
      <c r="C13" s="39">
        <v>1</v>
      </c>
      <c r="D13" s="2" t="s">
        <v>23</v>
      </c>
      <c r="E13" s="61" t="s">
        <v>26</v>
      </c>
      <c r="F13" s="61" t="s">
        <v>7</v>
      </c>
      <c r="G13" s="2" t="s">
        <v>5</v>
      </c>
      <c r="H13" s="61"/>
      <c r="I13" s="61">
        <f>Initialization!$C$10</f>
        <v>2</v>
      </c>
      <c r="J13" s="6">
        <v>1</v>
      </c>
      <c r="K13" s="5" t="s">
        <v>81</v>
      </c>
    </row>
    <row r="14" spans="2:11" ht="28.8">
      <c r="B14" s="62" t="s">
        <v>141</v>
      </c>
      <c r="C14" s="39">
        <v>315.14999999999998</v>
      </c>
      <c r="D14" s="42" t="s">
        <v>20</v>
      </c>
      <c r="E14" s="61" t="s">
        <v>26</v>
      </c>
      <c r="F14" s="61" t="s">
        <v>7</v>
      </c>
      <c r="G14" s="2" t="s">
        <v>51</v>
      </c>
      <c r="H14" s="61">
        <v>1</v>
      </c>
      <c r="I14" s="61">
        <v>1</v>
      </c>
      <c r="J14" s="6">
        <v>1</v>
      </c>
      <c r="K14" s="5" t="s">
        <v>142</v>
      </c>
    </row>
    <row r="15" spans="2:11">
      <c r="B15" s="8" t="s">
        <v>94</v>
      </c>
      <c r="C15" s="40"/>
      <c r="D15" s="9"/>
      <c r="E15" s="10"/>
      <c r="F15" s="10"/>
      <c r="G15" s="9"/>
      <c r="H15" s="10">
        <v>1</v>
      </c>
      <c r="I15" s="10">
        <v>1</v>
      </c>
      <c r="J15" s="11">
        <v>0</v>
      </c>
      <c r="K15" s="12" t="s">
        <v>95</v>
      </c>
    </row>
  </sheetData>
  <sheetProtection algorithmName="SHA-512" hashValue="A5yqukrE6RHP1a38E7XxZmhatlV2mJoWRMxwJURV0Ga2GoSIpE69qCkN19rKPP0aNRW13t6M6PvEusa5vbhTiA==" saltValue="zOFTcdmeV6swgy0w7MDpiA==" spinCount="100000" sheet="1" objects="1" scenarios="1" selectLockedCells="1"/>
  <mergeCells count="2">
    <mergeCell ref="B3:K3"/>
    <mergeCell ref="K4:K8"/>
  </mergeCells>
  <conditionalFormatting sqref="C15">
    <cfRule type="expression" dxfId="71" priority="10">
      <formula>IF(AND($C15&lt;&gt;"",$J15=0),1,0)</formula>
    </cfRule>
    <cfRule type="expression" dxfId="70" priority="11">
      <formula>IF($C15&lt;&gt;"",1,0)</formula>
    </cfRule>
    <cfRule type="expression" dxfId="69" priority="12">
      <formula>$J15=0</formula>
    </cfRule>
  </conditionalFormatting>
  <conditionalFormatting sqref="K4">
    <cfRule type="expression" dxfId="68" priority="13">
      <formula>IF(COUNTA($C$10:$C$15)&lt;&gt;COUNTIF($J$10:$J$15,1),1,0)</formula>
    </cfRule>
    <cfRule type="expression" dxfId="67" priority="14">
      <formula>IF(COUNTA($C$10:$C$15)=COUNTIF($J$10:$J$15,1),1,0)</formula>
    </cfRule>
  </conditionalFormatting>
  <conditionalFormatting sqref="C10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conditionalFormatting sqref="C11:C14">
    <cfRule type="expression" dxfId="63" priority="4">
      <formula>IF(AND($C11&lt;&gt;"",$J11=0),1,0)</formula>
    </cfRule>
    <cfRule type="expression" dxfId="62" priority="5">
      <formula>IF($C11&lt;&gt;"",1,0)</formula>
    </cfRule>
    <cfRule type="expression" dxfId="61" priority="6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F10:F15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G10:G15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E10:E15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IF(COUNTIF(Table19312131415[Test 3],1)=COUNTA(Table19312131415[Value]),"Ready","Not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43.2">
      <c r="B10" s="51" t="s">
        <v>90</v>
      </c>
      <c r="C10" s="39">
        <f>62</f>
        <v>62</v>
      </c>
      <c r="D10" s="52" t="s">
        <v>24</v>
      </c>
      <c r="E10" s="1" t="s">
        <v>25</v>
      </c>
      <c r="F10" s="1" t="s">
        <v>7</v>
      </c>
      <c r="G10" s="52" t="s">
        <v>5</v>
      </c>
      <c r="H10" s="1">
        <v>1</v>
      </c>
      <c r="I10" s="1">
        <f>'[2]Stream Properties'!$C$11</f>
        <v>2</v>
      </c>
      <c r="J10" s="53">
        <v>1</v>
      </c>
      <c r="K10" s="54" t="s">
        <v>82</v>
      </c>
    </row>
    <row r="11" spans="2:11" ht="43.2">
      <c r="B11" s="51" t="s">
        <v>91</v>
      </c>
      <c r="C11" s="39">
        <f>19.7</f>
        <v>19.7</v>
      </c>
      <c r="D11" s="52" t="s">
        <v>24</v>
      </c>
      <c r="E11" s="1" t="s">
        <v>25</v>
      </c>
      <c r="F11" s="1" t="s">
        <v>7</v>
      </c>
      <c r="G11" s="52" t="s">
        <v>5</v>
      </c>
      <c r="H11" s="1"/>
      <c r="I11" s="1">
        <f>'[2]Stream Properties'!$C$11</f>
        <v>2</v>
      </c>
      <c r="J11" s="53">
        <v>1</v>
      </c>
      <c r="K11" s="54" t="s">
        <v>82</v>
      </c>
    </row>
    <row r="12" spans="2:11">
      <c r="B12" s="8" t="s">
        <v>94</v>
      </c>
      <c r="C12" s="40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95</v>
      </c>
    </row>
  </sheetData>
  <sheetProtection algorithmName="SHA-512" hashValue="YwmGUmjSx6IQWLq1l23GXH4w5aHFaKi7DGr7nmg7jUnf2NmcioNqXsV3D1IJaB+ydr+7MoWyhdynEsGn5sM25A==" saltValue="rCN4EgUUHtnRlzLqc606Jw==" spinCount="100000" sheet="1" objects="1" scenarios="1" selectLockedCells="1"/>
  <mergeCells count="2">
    <mergeCell ref="B3:K3"/>
    <mergeCell ref="K4:K8"/>
  </mergeCells>
  <conditionalFormatting sqref="C12">
    <cfRule type="expression" dxfId="45" priority="10">
      <formula>IF(AND($C12&lt;&gt;"",$J12=0),1,0)</formula>
    </cfRule>
    <cfRule type="expression" dxfId="44" priority="11">
      <formula>IF($C12&lt;&gt;"",1,0)</formula>
    </cfRule>
    <cfRule type="expression" dxfId="43" priority="12">
      <formula>$J12=0</formula>
    </cfRule>
  </conditionalFormatting>
  <conditionalFormatting sqref="C10:C11">
    <cfRule type="expression" dxfId="42" priority="1">
      <formula>IF(AND($C10&lt;&gt;"",$J10=0),1,0)</formula>
    </cfRule>
    <cfRule type="expression" dxfId="41" priority="2">
      <formula>IF($C10&lt;&gt;"",1,0)</formula>
    </cfRule>
    <cfRule type="expression" dxfId="40" priority="3">
      <formula>$J10=0</formula>
    </cfRule>
  </conditionalFormatting>
  <conditionalFormatting sqref="K4">
    <cfRule type="expression" dxfId="39" priority="2052">
      <formula>IF(COUNTA($C$10:$C$12)&lt;&gt;COUNTIF($J$10:$J$12,1),1,0)</formula>
    </cfRule>
    <cfRule type="expression" dxfId="38" priority="2053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E10:E12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G10:G12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F10:F12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2" sqref="A12:XFD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32" t="str">
        <f>'Revision History'!$D$4</f>
        <v>REV. NO.1 (6/8/2022)</v>
      </c>
      <c r="C2" s="33"/>
      <c r="D2" s="33"/>
      <c r="E2" s="33"/>
      <c r="F2" s="33"/>
      <c r="G2" s="33"/>
      <c r="H2" s="33"/>
      <c r="I2" s="33"/>
      <c r="J2" s="33"/>
      <c r="K2" s="34" t="str">
        <f>'Revision History'!$J$4</f>
        <v>Scott Research Group (jkscottresearchgroup.com)</v>
      </c>
    </row>
    <row r="3" spans="2:11" ht="18">
      <c r="B3" s="81" t="s">
        <v>34</v>
      </c>
      <c r="C3" s="81"/>
      <c r="D3" s="81"/>
      <c r="E3" s="81"/>
      <c r="F3" s="81"/>
      <c r="G3" s="81"/>
      <c r="H3" s="81"/>
      <c r="I3" s="81"/>
      <c r="J3" s="81"/>
      <c r="K3" s="81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82" t="str">
        <f>IF(COUNTIF(Table1931213141516[Test 3],1)=COUNTA(Table1931213141516[Value]),"Ready","Not Ready")</f>
        <v>Ready</v>
      </c>
    </row>
    <row r="5" spans="2:11" ht="14.4" customHeight="1">
      <c r="B5" s="17"/>
      <c r="C5" s="18"/>
      <c r="D5" s="63"/>
      <c r="E5" s="63"/>
      <c r="F5" s="63"/>
      <c r="G5" s="63"/>
      <c r="H5" s="19"/>
      <c r="I5" s="63"/>
      <c r="J5" s="63"/>
      <c r="K5" s="83"/>
    </row>
    <row r="6" spans="2:11" ht="14.4" customHeight="1">
      <c r="B6" s="17"/>
      <c r="C6" s="18"/>
      <c r="D6" s="63"/>
      <c r="E6" s="63"/>
      <c r="F6" s="63"/>
      <c r="G6" s="63"/>
      <c r="H6" s="19"/>
      <c r="I6" s="63"/>
      <c r="J6" s="63"/>
      <c r="K6" s="83"/>
    </row>
    <row r="7" spans="2:11" ht="14.4" customHeight="1">
      <c r="B7" s="17"/>
      <c r="C7" s="18"/>
      <c r="D7" s="63"/>
      <c r="E7" s="63"/>
      <c r="F7" s="63"/>
      <c r="G7" s="63"/>
      <c r="H7" s="19"/>
      <c r="I7" s="63"/>
      <c r="J7" s="63"/>
      <c r="K7" s="83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84"/>
    </row>
    <row r="9" spans="2:11" ht="14.4" customHeight="1">
      <c r="B9" s="35" t="s">
        <v>0</v>
      </c>
      <c r="C9" s="36" t="s">
        <v>1</v>
      </c>
      <c r="D9" s="36" t="s">
        <v>2</v>
      </c>
      <c r="E9" s="36" t="s">
        <v>14</v>
      </c>
      <c r="F9" s="36" t="s">
        <v>67</v>
      </c>
      <c r="G9" s="37" t="s">
        <v>43</v>
      </c>
      <c r="H9" s="37" t="s">
        <v>71</v>
      </c>
      <c r="I9" s="36" t="s">
        <v>72</v>
      </c>
      <c r="J9" s="38" t="s">
        <v>88</v>
      </c>
      <c r="K9" s="38" t="s">
        <v>12</v>
      </c>
    </row>
    <row r="10" spans="2:11" ht="43.2">
      <c r="B10" s="79" t="s">
        <v>135</v>
      </c>
      <c r="C10" s="39">
        <v>920.9</v>
      </c>
      <c r="D10" s="57" t="s">
        <v>139</v>
      </c>
      <c r="E10" s="1" t="s">
        <v>26</v>
      </c>
      <c r="F10" s="1" t="s">
        <v>7</v>
      </c>
      <c r="G10" s="52" t="s">
        <v>44</v>
      </c>
      <c r="H10" s="1">
        <v>1</v>
      </c>
      <c r="I10" s="1">
        <v>1</v>
      </c>
      <c r="J10" s="53">
        <v>1</v>
      </c>
      <c r="K10" s="54" t="s">
        <v>136</v>
      </c>
    </row>
    <row r="11" spans="2:11">
      <c r="B11" s="8" t="s">
        <v>94</v>
      </c>
      <c r="C11" s="40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95</v>
      </c>
    </row>
  </sheetData>
  <sheetProtection algorithmName="SHA-512" hashValue="RFQc3u8aMKKwWmzbYDr7lw9oYc9cKQSYw0Ms1xwbaqFijl5VdpX4f7VzDBOvxk8ECGGocRq3afDT/8MHKg646A==" saltValue="+1Pgn2EXE7ffxQKYQQxytg==" spinCount="100000" sheet="1" objects="1" scenarios="1" selectLockedCells="1"/>
  <mergeCells count="2">
    <mergeCell ref="B3:K3"/>
    <mergeCell ref="K4:K8"/>
  </mergeCells>
  <conditionalFormatting sqref="C11">
    <cfRule type="expression" dxfId="22" priority="7">
      <formula>IF(AND($C11&lt;&gt;"",$J11=0),1,0)</formula>
    </cfRule>
    <cfRule type="expression" dxfId="21" priority="8">
      <formula>IF($C11&lt;&gt;"",1,0)</formula>
    </cfRule>
    <cfRule type="expression" dxfId="20" priority="9">
      <formula>$J11=0</formula>
    </cfRule>
  </conditionalFormatting>
  <conditionalFormatting sqref="C1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054">
      <formula>IF(COUNTA($C$10:$C$11)&lt;&gt;COUNTIF($J$10:$J$11,1),1,0)</formula>
    </cfRule>
    <cfRule type="expression" dxfId="15" priority="205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F10:F11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G10:G11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E10:E11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99"/>
  <sheetViews>
    <sheetView showGridLines="0" zoomScale="85" zoomScaleNormal="85" zoomScaleSheetLayoutView="55" workbookViewId="0">
      <selection activeCell="I7" sqref="I7"/>
    </sheetView>
  </sheetViews>
  <sheetFormatPr defaultColWidth="0" defaultRowHeight="14.4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7" width="8.88671875" style="67" customWidth="1"/>
    <col min="8" max="8" width="14.77734375" style="67" customWidth="1"/>
    <col min="9" max="9" width="11.6640625" style="67" customWidth="1"/>
    <col min="10" max="10" width="10.33203125" style="67" customWidth="1"/>
    <col min="11" max="11" width="33.6640625" style="67" customWidth="1"/>
    <col min="12" max="12" width="40.88671875" style="67" customWidth="1"/>
    <col min="13" max="18" width="8.88671875" style="67" customWidth="1"/>
    <col min="19" max="48" width="0" style="67" hidden="1" customWidth="1"/>
    <col min="49" max="16384" width="8.88671875" style="67" hidden="1"/>
  </cols>
  <sheetData>
    <row r="1" spans="1:18" ht="14.4" customHeight="1">
      <c r="A1" s="64" t="str">
        <f>'[3]Revision History'!$D$4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'[3]Revision History'!$J$4</f>
        <v>Scott Research Group (jkscottresearchgroup.com)</v>
      </c>
    </row>
    <row r="2" spans="1:18">
      <c r="A2" s="85" t="s">
        <v>110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3" spans="1:18">
      <c r="A3" s="31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</row>
    <row r="4" spans="1:18">
      <c r="A4" s="30" t="s">
        <v>114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</row>
    <row r="5" spans="1:18">
      <c r="A5" s="30"/>
      <c r="B5" s="68" t="s">
        <v>115</v>
      </c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</row>
    <row r="6" spans="1:18">
      <c r="A6" s="30"/>
      <c r="B6" s="68" t="s">
        <v>116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</row>
    <row r="7" spans="1:18">
      <c r="A7" s="30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</row>
    <row r="8" spans="1:18">
      <c r="A8" s="30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</row>
    <row r="9" spans="1:18">
      <c r="A9" s="30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8">
      <c r="A10" s="30"/>
      <c r="B10" s="68" t="s">
        <v>126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</row>
    <row r="11" spans="1:18">
      <c r="A11" s="30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</row>
    <row r="12" spans="1:18">
      <c r="A12" s="30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</row>
    <row r="13" spans="1:18">
      <c r="A13" s="30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</row>
    <row r="14" spans="1:18">
      <c r="A14" s="30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</row>
    <row r="15" spans="1:18">
      <c r="A15" s="30" t="s">
        <v>111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</row>
    <row r="16" spans="1:18">
      <c r="A16" s="30" t="s">
        <v>112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</row>
    <row r="17" spans="1:18">
      <c r="A17" s="3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>
      <c r="A18" s="30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>
      <c r="A19" s="30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>
      <c r="A20" s="30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>
      <c r="A21" s="30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>
      <c r="A22" s="30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>
      <c r="A23" s="30" t="s">
        <v>118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>
      <c r="A24" s="30" t="s">
        <v>119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>
      <c r="A25" s="30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>
      <c r="A26" s="30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>
      <c r="A27" s="30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>
      <c r="A28" s="30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>
      <c r="A29" s="30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>
      <c r="A30" s="30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>
      <c r="A31" s="30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>
      <c r="A32" s="30" t="s">
        <v>124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>
      <c r="A33" s="30" t="s">
        <v>125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>
      <c r="A34" s="30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>
      <c r="A35" s="30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>
      <c r="A36" s="30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>
      <c r="A37" s="30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>
      <c r="A38" s="30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>
      <c r="A39" s="30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>
      <c r="A40" s="30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>
      <c r="A41" s="30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>
      <c r="A42" s="30"/>
      <c r="B42" s="69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>
      <c r="A43" s="30" t="s">
        <v>117</v>
      </c>
      <c r="B43" s="69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>
      <c r="A44" s="30" t="s">
        <v>113</v>
      </c>
      <c r="B44" s="69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>
      <c r="A45" s="30"/>
      <c r="B45" s="69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>
      <c r="A46" s="30" t="s">
        <v>121</v>
      </c>
      <c r="B46" s="69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>
      <c r="A47" s="30" t="s">
        <v>120</v>
      </c>
      <c r="B47" s="69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>
      <c r="A48" s="30"/>
      <c r="B48" s="69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8">
      <c r="A49" s="30" t="s">
        <v>123</v>
      </c>
      <c r="B49" s="69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</row>
    <row r="50" spans="1:18">
      <c r="A50" s="30" t="s">
        <v>122</v>
      </c>
      <c r="B50" s="69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</row>
    <row r="51" spans="1:18">
      <c r="A51" s="30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</row>
    <row r="52" spans="1:18">
      <c r="A52" s="30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</row>
    <row r="53" spans="1:18">
      <c r="A53" s="30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</row>
    <row r="54" spans="1:18">
      <c r="A54" s="30"/>
      <c r="B54" s="68" t="s">
        <v>127</v>
      </c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</row>
    <row r="55" spans="1:18">
      <c r="A55" s="30"/>
      <c r="B55" s="68"/>
      <c r="C55" s="68" t="s">
        <v>131</v>
      </c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</row>
    <row r="56" spans="1:18">
      <c r="A56" s="30"/>
      <c r="B56" s="68"/>
      <c r="C56" s="68"/>
      <c r="D56" s="68" t="s">
        <v>132</v>
      </c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</row>
    <row r="57" spans="1:18">
      <c r="A57" s="30"/>
      <c r="B57" s="68"/>
      <c r="C57" s="68"/>
      <c r="D57" s="68" t="s">
        <v>133</v>
      </c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</row>
    <row r="58" spans="1:18">
      <c r="A58" s="30"/>
      <c r="B58" s="68"/>
      <c r="C58" s="68" t="s">
        <v>134</v>
      </c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</row>
    <row r="59" spans="1:18">
      <c r="A59" s="30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</row>
    <row r="60" spans="1:18">
      <c r="A60" s="85" t="s">
        <v>140</v>
      </c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</row>
    <row r="61" spans="1:18">
      <c r="A61" s="30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68"/>
      <c r="O61" s="68"/>
      <c r="P61" s="68"/>
      <c r="Q61" s="68"/>
      <c r="R61" s="68"/>
    </row>
    <row r="62" spans="1:18">
      <c r="A62" s="3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68"/>
      <c r="O62" s="68"/>
      <c r="P62" s="68"/>
      <c r="Q62" s="68"/>
      <c r="R62" s="68"/>
    </row>
    <row r="63" spans="1:18">
      <c r="A63" s="3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68"/>
      <c r="O63" s="68"/>
      <c r="P63" s="68"/>
      <c r="Q63" s="68"/>
      <c r="R63" s="68"/>
    </row>
    <row r="64" spans="1:18">
      <c r="A64" s="3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68"/>
      <c r="O64" s="68"/>
      <c r="P64" s="68"/>
      <c r="Q64" s="68"/>
      <c r="R64" s="68"/>
    </row>
    <row r="65" spans="1:18">
      <c r="A65" s="3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68"/>
      <c r="O65" s="68"/>
      <c r="P65" s="68"/>
      <c r="Q65" s="68"/>
      <c r="R65" s="68"/>
    </row>
    <row r="66" spans="1:18">
      <c r="A66" s="3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68"/>
      <c r="O66" s="68"/>
      <c r="P66" s="68"/>
      <c r="Q66" s="68"/>
      <c r="R66" s="68"/>
    </row>
    <row r="67" spans="1:18">
      <c r="A67" s="3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68"/>
      <c r="O67" s="68"/>
      <c r="P67" s="68"/>
      <c r="Q67" s="68"/>
      <c r="R67" s="68"/>
    </row>
    <row r="68" spans="1:18">
      <c r="A68" s="3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68"/>
      <c r="O68" s="68"/>
      <c r="P68" s="68"/>
      <c r="Q68" s="68"/>
      <c r="R68" s="68"/>
    </row>
    <row r="69" spans="1:18">
      <c r="A69" s="3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68"/>
      <c r="O69" s="68"/>
      <c r="P69" s="68"/>
      <c r="Q69" s="68"/>
      <c r="R69" s="68"/>
    </row>
    <row r="70" spans="1:18">
      <c r="A70" s="3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68"/>
      <c r="O70" s="68"/>
      <c r="P70" s="68"/>
      <c r="Q70" s="68"/>
      <c r="R70" s="68"/>
    </row>
    <row r="71" spans="1:18">
      <c r="A71" s="3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68"/>
      <c r="O71" s="68"/>
      <c r="P71" s="68"/>
      <c r="Q71" s="68"/>
      <c r="R71" s="68"/>
    </row>
    <row r="72" spans="1:18">
      <c r="A72" s="3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68"/>
      <c r="O72" s="68"/>
      <c r="P72" s="68"/>
      <c r="Q72" s="68"/>
      <c r="R72" s="68"/>
    </row>
    <row r="73" spans="1:18">
      <c r="A73" s="3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68"/>
      <c r="O73" s="68"/>
      <c r="P73" s="68"/>
      <c r="Q73" s="68"/>
      <c r="R73" s="68"/>
    </row>
    <row r="74" spans="1:18">
      <c r="A74" s="3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68"/>
      <c r="O74" s="68"/>
      <c r="P74" s="68"/>
      <c r="Q74" s="68"/>
      <c r="R74" s="68"/>
    </row>
    <row r="75" spans="1:18">
      <c r="A75" s="3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68"/>
      <c r="O75" s="68"/>
      <c r="P75" s="68"/>
      <c r="Q75" s="68"/>
      <c r="R75" s="68"/>
    </row>
    <row r="76" spans="1:18">
      <c r="A76" s="3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68"/>
      <c r="O76" s="68"/>
      <c r="P76" s="68"/>
      <c r="Q76" s="68"/>
      <c r="R76" s="68"/>
    </row>
    <row r="77" spans="1:18">
      <c r="A77" s="3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68"/>
      <c r="O77" s="68"/>
      <c r="P77" s="68"/>
      <c r="Q77" s="68"/>
      <c r="R77" s="68"/>
    </row>
    <row r="78" spans="1:18">
      <c r="A78" s="3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68"/>
      <c r="O78" s="68"/>
      <c r="P78" s="68"/>
      <c r="Q78" s="68"/>
      <c r="R78" s="68"/>
    </row>
    <row r="79" spans="1:18">
      <c r="A79" s="3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68"/>
      <c r="O79" s="68"/>
      <c r="P79" s="68"/>
      <c r="Q79" s="68"/>
      <c r="R79" s="68"/>
    </row>
    <row r="80" spans="1:18">
      <c r="A80" s="3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68"/>
      <c r="O80" s="68"/>
      <c r="P80" s="68"/>
      <c r="Q80" s="68"/>
      <c r="R80" s="68"/>
    </row>
    <row r="81" spans="1:18">
      <c r="A81" s="3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68"/>
      <c r="O81" s="68"/>
      <c r="P81" s="68"/>
      <c r="Q81" s="68"/>
      <c r="R81" s="68"/>
    </row>
    <row r="82" spans="1:18">
      <c r="A82" s="3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68"/>
      <c r="O82" s="68"/>
      <c r="P82" s="68"/>
      <c r="Q82" s="68"/>
      <c r="R82" s="68"/>
    </row>
    <row r="83" spans="1:18">
      <c r="A83" s="3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68"/>
      <c r="O83" s="68"/>
      <c r="P83" s="68"/>
      <c r="Q83" s="68"/>
      <c r="R83" s="68"/>
    </row>
    <row r="84" spans="1:18">
      <c r="A84" s="3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68"/>
      <c r="O84" s="68"/>
      <c r="P84" s="68"/>
      <c r="Q84" s="68"/>
      <c r="R84" s="68"/>
    </row>
    <row r="85" spans="1:18">
      <c r="A85" s="3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68"/>
      <c r="O85" s="68"/>
      <c r="P85" s="68"/>
      <c r="Q85" s="68"/>
      <c r="R85" s="68"/>
    </row>
    <row r="86" spans="1:18">
      <c r="A86" s="3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68"/>
      <c r="O86" s="68"/>
      <c r="P86" s="68"/>
      <c r="Q86" s="68"/>
      <c r="R86" s="68"/>
    </row>
    <row r="87" spans="1:18">
      <c r="A87" s="3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68"/>
      <c r="O87" s="68"/>
      <c r="P87" s="68"/>
      <c r="Q87" s="68"/>
      <c r="R87" s="68"/>
    </row>
    <row r="88" spans="1:18">
      <c r="A88" s="3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68"/>
      <c r="O88" s="68"/>
      <c r="P88" s="68"/>
      <c r="Q88" s="68"/>
      <c r="R88" s="68"/>
    </row>
    <row r="89" spans="1:18">
      <c r="A89" s="3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68"/>
      <c r="O89" s="68"/>
      <c r="P89" s="68"/>
      <c r="Q89" s="68"/>
      <c r="R89" s="68"/>
    </row>
    <row r="90" spans="1:18">
      <c r="A90" s="3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68"/>
      <c r="O90" s="68"/>
      <c r="P90" s="68"/>
      <c r="Q90" s="68"/>
      <c r="R90" s="68"/>
    </row>
    <row r="91" spans="1:18">
      <c r="A91" s="3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68"/>
      <c r="O91" s="68"/>
      <c r="P91" s="68"/>
      <c r="Q91" s="68"/>
      <c r="R91" s="68"/>
    </row>
    <row r="92" spans="1:18">
      <c r="A92" s="3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68"/>
      <c r="O92" s="68"/>
      <c r="P92" s="68"/>
      <c r="Q92" s="68"/>
      <c r="R92" s="68"/>
    </row>
    <row r="93" spans="1:18">
      <c r="A93" s="3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68"/>
      <c r="O93" s="68"/>
      <c r="P93" s="68"/>
      <c r="Q93" s="68"/>
      <c r="R93" s="68"/>
    </row>
    <row r="94" spans="1:18">
      <c r="A94" s="3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68"/>
      <c r="O94" s="68"/>
      <c r="P94" s="68"/>
      <c r="Q94" s="68"/>
      <c r="R94" s="68"/>
    </row>
    <row r="95" spans="1:18">
      <c r="A95" s="3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68"/>
      <c r="O95" s="68"/>
      <c r="P95" s="68"/>
      <c r="Q95" s="68"/>
      <c r="R95" s="68"/>
    </row>
    <row r="96" spans="1:18">
      <c r="A96" s="3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68"/>
      <c r="O96" s="68"/>
      <c r="P96" s="68"/>
      <c r="Q96" s="68"/>
      <c r="R96" s="68"/>
    </row>
    <row r="97" spans="1:18">
      <c r="A97" s="3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68"/>
      <c r="O97" s="68"/>
      <c r="P97" s="68"/>
      <c r="Q97" s="68"/>
      <c r="R97" s="68"/>
    </row>
    <row r="98" spans="1:18">
      <c r="A98" s="3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68"/>
      <c r="O98" s="68"/>
      <c r="P98" s="68"/>
      <c r="Q98" s="68"/>
      <c r="R98" s="68"/>
    </row>
    <row r="99" spans="1:18">
      <c r="A99" s="3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68"/>
      <c r="O99" s="68"/>
      <c r="P99" s="68"/>
      <c r="Q99" s="68"/>
      <c r="R99" s="68"/>
    </row>
  </sheetData>
  <sheetProtection selectLockedCells="1" selectUnlockedCells="1"/>
  <mergeCells count="3">
    <mergeCell ref="A2:R2"/>
    <mergeCell ref="A60:R60"/>
    <mergeCell ref="B61:M61"/>
  </mergeCells>
  <pageMargins left="0.7" right="0.7" top="0.75" bottom="0.75" header="0.3" footer="0.3"/>
  <pageSetup scale="2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4BC4F-6513-42CB-81E3-E02EF79FE0F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4" t="str">
        <f>'[4]Revision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'[5]Revision History'!$J$4</f>
        <v>Scott Research Group (jkscottresearchgroup.com)</v>
      </c>
    </row>
    <row r="2" spans="1:18">
      <c r="A2" s="28" t="s">
        <v>164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27"/>
    </row>
    <row r="4" spans="1:18">
      <c r="A4" s="30"/>
      <c r="B4" s="6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27"/>
    </row>
    <row r="5" spans="1:18">
      <c r="A5" s="30"/>
      <c r="B5" s="6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27"/>
    </row>
    <row r="6" spans="1:18">
      <c r="A6" s="30"/>
      <c r="B6" s="6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27"/>
    </row>
    <row r="7" spans="1:18">
      <c r="A7" s="30"/>
      <c r="B7" s="6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27"/>
    </row>
    <row r="8" spans="1:18">
      <c r="A8" s="30"/>
      <c r="B8" s="6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27"/>
    </row>
    <row r="9" spans="1:18">
      <c r="A9" s="30"/>
      <c r="B9" s="6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27"/>
    </row>
    <row r="10" spans="1:18">
      <c r="A10" s="30"/>
      <c r="B10" s="6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27"/>
    </row>
    <row r="11" spans="1:18">
      <c r="A11" s="30"/>
      <c r="B11" s="6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27"/>
    </row>
    <row r="12" spans="1:18">
      <c r="A12" s="30"/>
      <c r="B12" s="6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27"/>
    </row>
    <row r="13" spans="1:18">
      <c r="A13" s="30"/>
      <c r="B13" s="6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27"/>
    </row>
    <row r="14" spans="1:18">
      <c r="A14" s="30"/>
      <c r="B14" s="6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27"/>
    </row>
    <row r="15" spans="1:18">
      <c r="A15" s="30"/>
      <c r="B15" s="6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7"/>
    </row>
    <row r="16" spans="1:18">
      <c r="A16" s="30"/>
      <c r="B16" s="6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27"/>
    </row>
    <row r="17" spans="1:18">
      <c r="A17" s="30"/>
      <c r="B17" s="6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27"/>
    </row>
    <row r="18" spans="1:18">
      <c r="A18" s="30"/>
      <c r="B18" s="6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27"/>
    </row>
    <row r="19" spans="1:18">
      <c r="A19" s="30"/>
      <c r="B19" s="6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27"/>
    </row>
    <row r="20" spans="1:18">
      <c r="A20" s="30"/>
      <c r="B20" s="6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27"/>
    </row>
    <row r="21" spans="1:18">
      <c r="A21" s="30"/>
      <c r="B21" s="6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27"/>
    </row>
    <row r="22" spans="1:18">
      <c r="A22" s="30"/>
      <c r="B22" s="6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27"/>
    </row>
    <row r="23" spans="1:18">
      <c r="A23" s="30"/>
      <c r="B23" s="6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27"/>
    </row>
    <row r="24" spans="1:18">
      <c r="A24" s="30"/>
      <c r="B24" s="6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27"/>
    </row>
    <row r="25" spans="1:18">
      <c r="A25" s="30"/>
      <c r="B25" s="6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27"/>
    </row>
    <row r="26" spans="1:18">
      <c r="A26" s="30"/>
      <c r="B26" s="6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27"/>
    </row>
    <row r="27" spans="1:18">
      <c r="A27" s="30"/>
      <c r="B27" s="6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27"/>
    </row>
    <row r="28" spans="1:18">
      <c r="A28" s="30"/>
      <c r="B28" s="6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27"/>
    </row>
    <row r="29" spans="1:18">
      <c r="A29" s="30"/>
      <c r="B29" s="6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27"/>
    </row>
    <row r="30" spans="1:18">
      <c r="A30" s="30"/>
      <c r="B30" s="6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27"/>
    </row>
    <row r="31" spans="1:18">
      <c r="A31" s="30"/>
      <c r="B31" s="6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27"/>
    </row>
    <row r="32" spans="1:18">
      <c r="A32" s="30"/>
      <c r="B32" s="6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27"/>
    </row>
    <row r="33" spans="1:18">
      <c r="A33" s="30"/>
      <c r="B33" s="6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27"/>
    </row>
    <row r="34" spans="1:18">
      <c r="A34" s="30"/>
      <c r="B34" s="6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27"/>
    </row>
    <row r="35" spans="1:18">
      <c r="A35" s="30"/>
      <c r="B35" s="6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27"/>
    </row>
    <row r="36" spans="1:18">
      <c r="A36" s="30"/>
      <c r="B36" s="6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27"/>
    </row>
    <row r="37" spans="1:18">
      <c r="A37" s="30"/>
      <c r="B37" s="6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27"/>
    </row>
    <row r="38" spans="1:18">
      <c r="A38" s="30"/>
      <c r="B38" s="6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27"/>
    </row>
    <row r="39" spans="1:18">
      <c r="A39" s="30"/>
      <c r="B39" s="6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27"/>
    </row>
    <row r="40" spans="1:18">
      <c r="A40" s="30"/>
      <c r="B40" s="6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27"/>
    </row>
    <row r="41" spans="1:18">
      <c r="A41" s="30"/>
      <c r="B41" s="6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27"/>
    </row>
    <row r="42" spans="1:18">
      <c r="A42" s="30"/>
      <c r="B42" s="6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27"/>
    </row>
    <row r="43" spans="1:18">
      <c r="A43" s="30"/>
      <c r="B43" s="6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27"/>
    </row>
    <row r="44" spans="1:18">
      <c r="A44" s="30"/>
      <c r="B44" s="6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27"/>
    </row>
    <row r="45" spans="1:18">
      <c r="A45" s="30"/>
      <c r="B45" s="6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27"/>
    </row>
    <row r="46" spans="1:18">
      <c r="A46" s="30"/>
      <c r="B46" s="6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27"/>
    </row>
    <row r="47" spans="1:18">
      <c r="A47" s="30"/>
      <c r="B47" s="6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27"/>
    </row>
    <row r="48" spans="1:18">
      <c r="A48" s="30"/>
      <c r="B48" s="6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27"/>
    </row>
    <row r="49" spans="1:18">
      <c r="A49" s="30"/>
      <c r="B49" s="6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27"/>
    </row>
    <row r="50" spans="1:18">
      <c r="A50" s="30"/>
      <c r="B50" s="6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27"/>
    </row>
    <row r="51" spans="1:18">
      <c r="A51" s="30"/>
      <c r="B51" s="6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27"/>
    </row>
    <row r="52" spans="1:18">
      <c r="A52" s="30"/>
      <c r="B52" s="6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106</v>
      </c>
    </row>
    <row r="2" spans="1:1">
      <c r="A2" t="s">
        <v>104</v>
      </c>
    </row>
    <row r="3" spans="1:1">
      <c r="A3" t="s">
        <v>105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RowHeight="14.4"/>
  <sheetData>
    <row r="1" spans="1:23">
      <c r="A1" t="s">
        <v>5</v>
      </c>
      <c r="B1" t="s">
        <v>94</v>
      </c>
      <c r="C1" t="s">
        <v>159</v>
      </c>
      <c r="D1" t="s">
        <v>94</v>
      </c>
      <c r="E1" t="s">
        <v>130</v>
      </c>
      <c r="F1" t="s">
        <v>146</v>
      </c>
      <c r="G1" t="s">
        <v>147</v>
      </c>
      <c r="H1" t="s">
        <v>94</v>
      </c>
      <c r="I1" t="s">
        <v>68</v>
      </c>
      <c r="J1" t="s">
        <v>69</v>
      </c>
      <c r="K1" t="s">
        <v>70</v>
      </c>
      <c r="L1" t="s">
        <v>94</v>
      </c>
      <c r="M1" t="s">
        <v>75</v>
      </c>
      <c r="N1" t="s">
        <v>78</v>
      </c>
      <c r="O1" t="s">
        <v>76</v>
      </c>
      <c r="P1" t="s">
        <v>77</v>
      </c>
      <c r="Q1" t="s">
        <v>141</v>
      </c>
      <c r="R1" t="s">
        <v>94</v>
      </c>
      <c r="S1" t="s">
        <v>90</v>
      </c>
      <c r="T1" t="s">
        <v>91</v>
      </c>
      <c r="U1" t="s">
        <v>94</v>
      </c>
      <c r="V1" t="s">
        <v>135</v>
      </c>
      <c r="W1" t="s">
        <v>94</v>
      </c>
    </row>
    <row r="2" spans="1:23">
      <c r="A2">
        <v>2</v>
      </c>
      <c r="C2">
        <v>0.2</v>
      </c>
      <c r="E2">
        <v>1</v>
      </c>
      <c r="I2">
        <v>1.552E-3</v>
      </c>
      <c r="J2">
        <v>1.552E-3</v>
      </c>
      <c r="K2">
        <v>8.1000000000000006E-4</v>
      </c>
      <c r="M2">
        <v>2903.4751548481281</v>
      </c>
      <c r="N2">
        <v>5311.235039356332</v>
      </c>
      <c r="O2">
        <v>1</v>
      </c>
      <c r="P2">
        <v>1</v>
      </c>
      <c r="Q2">
        <v>315.14999999999998</v>
      </c>
      <c r="S2">
        <v>62</v>
      </c>
      <c r="T2">
        <v>19.7</v>
      </c>
      <c r="V2">
        <v>920.9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RowHeight="14.4"/>
  <sheetData>
    <row r="1" spans="1:23">
      <c r="A1" t="s">
        <v>5</v>
      </c>
      <c r="B1" t="s">
        <v>94</v>
      </c>
      <c r="C1" t="s">
        <v>159</v>
      </c>
      <c r="D1" t="s">
        <v>94</v>
      </c>
      <c r="E1" t="s">
        <v>130</v>
      </c>
      <c r="F1" t="s">
        <v>146</v>
      </c>
      <c r="G1" t="s">
        <v>147</v>
      </c>
      <c r="H1" t="s">
        <v>94</v>
      </c>
      <c r="I1" t="s">
        <v>68</v>
      </c>
      <c r="J1" t="s">
        <v>69</v>
      </c>
      <c r="K1" t="s">
        <v>70</v>
      </c>
      <c r="L1" t="s">
        <v>94</v>
      </c>
      <c r="M1" t="s">
        <v>75</v>
      </c>
      <c r="N1" t="s">
        <v>78</v>
      </c>
      <c r="O1" t="s">
        <v>76</v>
      </c>
      <c r="P1" t="s">
        <v>77</v>
      </c>
      <c r="Q1" t="s">
        <v>141</v>
      </c>
      <c r="R1" t="s">
        <v>94</v>
      </c>
      <c r="S1" t="s">
        <v>90</v>
      </c>
      <c r="T1" t="s">
        <v>91</v>
      </c>
      <c r="U1" t="s">
        <v>94</v>
      </c>
      <c r="V1" t="s">
        <v>135</v>
      </c>
      <c r="W1" t="s">
        <v>94</v>
      </c>
    </row>
    <row r="2" spans="1:23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0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</vt:i4>
      </vt:variant>
    </vt:vector>
  </HeadingPairs>
  <TitlesOfParts>
    <vt:vector size="22" baseType="lpstr">
      <vt:lpstr>Revision History</vt:lpstr>
      <vt:lpstr>Reference</vt:lpstr>
      <vt:lpstr>Initialization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PFD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Initialization!Print_Area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2022-06-09T22:18:56Z</dcterms:modified>
</cp:coreProperties>
</file>