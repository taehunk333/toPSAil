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development\2_stream_properties\"/>
    </mc:Choice>
  </mc:AlternateContent>
  <xr:revisionPtr revIDLastSave="0" documentId="13_ncr:1_{8D651023-DB17-493A-9738-635DA1CFD005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Stream Properties" sheetId="39" r:id="rId4"/>
    <sheet name="Help" sheetId="41" r:id="rId5"/>
    <sheet name="PFD" sheetId="42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2" hidden="1">Initialization!$B$9:$K$10</definedName>
    <definedName name="_xlnm._FilterDatabase" localSheetId="3" hidden="1">'Stream Properties'!$B$9:$K$9</definedName>
    <definedName name="_xlnm.Print_Area" localSheetId="2">Initialization!$B$2:$K$11</definedName>
    <definedName name="_xlnm.Print_Area" localSheetId="0">'Revision History'!$C$3:$K$51</definedName>
    <definedName name="_xlnm.Print_Area" localSheetId="3">'Stream Properties'!$B$2:$K$12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1" i="39" l="1"/>
  <c r="I10" i="39"/>
  <c r="R1" i="42"/>
  <c r="A1" i="42"/>
  <c r="Q1" i="41"/>
  <c r="A1" i="41"/>
  <c r="K4" i="40"/>
  <c r="K2" i="40"/>
  <c r="B2" i="40"/>
  <c r="K4" i="39"/>
  <c r="K2" i="39"/>
  <c r="B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H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H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<sst xmlns="http://schemas.openxmlformats.org/spreadsheetml/2006/main" count="178" uniqueCount="119">
  <si>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</si>
  <si>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</si>
  <si>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</si>
  <si>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</si>
  <si>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</si>
  <si>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</si>
  <si>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</si>
  <si>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</si>
  <si>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</si>
  <si>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</si>
  <si>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</si>
  <si>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</si>
  <si>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</si>
  <si>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</si>
  <si>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</si>
  <si>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</si>
  <si>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</si>
  <si>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</si>
  <si>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</si>
  <si>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</si>
  <si>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</si>
  <si>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</si>
  <si>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</si>
  <si>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</si>
  <si>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</si>
  <si>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</si>
  <si>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</si>
  <si>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</si>
  <si>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</si>
  <si>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</si>
  <si>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</si>
  <si>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</si>
  <si>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</si>
  <si>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</si>
  <si>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</si>
  <si>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</si>
  <si>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</si>
  <si>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</si>
  <si>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</si>
  <si>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</si>
  <si>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</si>
  <si>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</si>
  <si>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</si>
  <si>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</si>
  <si>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</si>
  <si>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</si>
  <si>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</si>
  <si>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</si>
  <si>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</si>
  <si>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</si>
  <si>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</si>
  <si>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</si>
  <si>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</si>
  <si>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</si>
  <si>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</si>
  <si>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</si>
  <si>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</si>
  <si>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</si>
  <si>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</si>
  <si>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</si>
  <si>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</si>
  <si>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</si>
  <si>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</si>
  <si>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</si>
  <si>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</si>
  <si>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The number of components to be modeled in the system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</si>
  <si>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</si>
  <si>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</si>
  <si>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</si>
  <si>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</si>
  <si>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</si>
  <si>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</si>
  <si>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</si>
  <si>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</si>
  <si>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</si>
  <si>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</si>
  <si>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</si>
  <si>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</si>
  <si>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</si>
  <si>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</si>
  <si>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</si>
  <si>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</si>
  <si>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</si>
  <si>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</si>
  <si>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</si>
  <si>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</si>
  <si>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</si>
  <si>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</si>
  <si>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</si>
  <si>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</si>
  <si>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</si>
  <si>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</si>
  <si>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</si>
  <si>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</si>
  <si>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</si>
  <si>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</si>
  <si>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</si>
  <si>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yExC1</t>
  </si>
  <si>
    <t>yExC2</t>
  </si>
  <si>
    <t>The extract product mole fraction of ith component at the extract product pressure; the first component is the light key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</si>
  <si>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</si>
  <si>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</si>
  <si>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</si>
  <si>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</si>
  <si>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</si>
  <si>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</si>
  <si>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</si>
  <si>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</si>
  <si>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</si>
  <si>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</si>
  <si>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</si>
  <si>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</si>
  <si>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Initial development of the "cycle_organization.xlsm" sheet.</t>
  </si>
  <si>
    <t>REV. NO.1 (6/8/2022)</t>
  </si>
  <si>
    <t>Pressure Swing Adsorption Process Flow Diagram (PFD)</t>
  </si>
  <si>
    <t>Adsorbate Information</t>
  </si>
  <si>
    <t>Physical Property Reference Sources</t>
  </si>
  <si>
    <t>Assumptions</t>
  </si>
  <si>
    <t>1. Make sure that the light key is defined as the first adsorbate species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</si>
</sst>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4" fillId="0" borderId="0" xfId="0" applyFont="1"/>
    <xf numFmtId="0" fontId="4" fillId="4" borderId="7" xfId="0" applyFont="1" applyFill="1" applyBorder="1"/>
    <xf numFmtId="0" fontId="4" fillId="4" borderId="8" xfId="0" applyFont="1" applyFill="1" applyBorder="1"/>
    <xf numFmtId="0" fontId="4" fillId="3" borderId="14" xfId="0" applyFont="1" applyFill="1" applyBorder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0" xfId="0" applyFont="1" applyFill="1"/>
    <xf numFmtId="0" fontId="5" fillId="0" borderId="2" xfId="1" applyFont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300-0000014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3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3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B9:K11" totalsRowShown="0" headerRowDxfId="39" dataDxfId="37" headerRowBorderDxfId="38" tableBorderDxfId="36" totalsRowBorderDxfId="35">
  <autoFilter ref="B9:K11" xr:uid="{B089C5C3-2CCE-4800-96CA-2131BB6E3E4F}"/>
  <tableColumns count="10">
    <tableColumn id="1" xr3:uid="{F0083DBC-BA3F-499A-AB41-58DC14E7EC9B}" name="Variable" dataDxfId="34"/>
    <tableColumn id="4" xr3:uid="{2D9C78CB-0A98-4E06-A17A-328F6643A2AB}" name="Value" dataDxfId="33"/>
    <tableColumn id="5" xr3:uid="{2D40A785-0BF0-4D20-A6A3-606AF3EAEA1D}" name="Unit" dataDxfId="32"/>
    <tableColumn id="6" xr3:uid="{47E47CE1-84EE-4BBF-AF16-7CD09E32C8D5}" name="Comparisons" dataDxfId="31"/>
    <tableColumn id="7" xr3:uid="{1E01755C-F10B-47AF-87D2-261FE9E5C304}" name="Variable Type" dataDxfId="30"/>
    <tableColumn id="8" xr3:uid="{A1508BC9-F251-4C78-AFE1-9780568F4570}" name="Dependency" dataDxfId="29"/>
    <tableColumn id="12" xr3:uid="{483B9187-B663-438A-A6C2-F92DD2C5981E}" name="Test 1" dataDxfId="28"/>
    <tableColumn id="10" xr3:uid="{B0989B53-E4FA-42D2-AC40-B81EF1952308}" name="Test 2" dataDxfId="27"/>
    <tableColumn id="2" xr3:uid="{3B51E6F8-78E0-4FDA-AE7D-0D8F50BB7A78}" name="Test 3" dataDxfId="26"/>
    <tableColumn id="9" xr3:uid="{87AE414E-FFE1-4067-A57C-04659EEE8430}" name="Description" dataDxfId="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B9:K12" totalsRowShown="0" headerRowDxfId="24" dataDxfId="22" headerRowBorderDxfId="23" tableBorderDxfId="21" totalsRowBorderDxfId="20">
  <autoFilter ref="B9:K12" xr:uid="{B089C5C3-2CCE-4800-96CA-2131BB6E3E4F}"/>
  <tableColumns count="10">
    <tableColumn id="1" xr3:uid="{8CA72147-4D79-4652-A9E9-87D51653DA84}" name="Variable" dataDxfId="19"/>
    <tableColumn id="4" xr3:uid="{E819EB63-CB5D-404C-B2BA-29FF258DB4F8}" name="Value" dataDxfId="18"/>
    <tableColumn id="5" xr3:uid="{1794E572-D285-47C1-B741-27E454FDF4FD}" name="Unit" dataDxfId="17"/>
    <tableColumn id="6" xr3:uid="{7F8A147E-F024-4089-965F-D6A02CD18DC6}" name="Comparisons" dataDxfId="16"/>
    <tableColumn id="7" xr3:uid="{59037F64-D8B7-466E-B9B6-97F14C2CBDD9}" name="Variable Type" dataDxfId="15"/>
    <tableColumn id="8" xr3:uid="{B3A5DFE8-8D61-4FFC-837B-F606356A99BD}" name="Dependency" dataDxfId="14"/>
    <tableColumn id="12" xr3:uid="{6C20D82D-93BB-42A1-A91B-759FC99CBE8C}" name="Test 1" dataDxfId="13"/>
    <tableColumn id="10" xr3:uid="{87C7F8B7-5A99-489D-AB7E-B6E5697C481A}" name="Test 2" dataDxfId="12"/>
    <tableColumn id="2" xr3:uid="{55413903-6AA5-4148-81F3-1F6AD647C108}" name="Test 3" dataDxfId="11"/>
    <tableColumn id="9" xr3:uid="{48D67C6B-2FDE-4718-AF32-11DEAACCFD0C}" name="Description" dataDxf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B1843E07-2516-483D-A63D-A86B5B904914}">
    <text>place 1 if we want to keep the row when re-initializing. Otherwise, leave it as a blank.</text>
  </threadedComment>
  <threadedComment ref="I9" dT="2020-11-26T18:35:03.27" personId="{7F98AE94-13FB-49E1-9262-339C11E0EDB4}" id="{6888000F-CF93-4D02-AF13-97DC6B0D5C73}">
    <text>supply a value greater than 1 if you want to duplicate the row</text>
  </threadedComment>
  <threadedComment ref="J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J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1A026445-FB9B-4762-B965-16991A5C1815}">
    <text>place 1 if we want to keep the row when re-initializing. Otherwise, leave it as a blank.</text>
  </threadedComment>
  <threadedComment ref="I9" dT="2020-11-26T18:35:03.27" personId="{7F98AE94-13FB-49E1-9262-339C11E0EDB4}" id="{D80DBB20-50CB-4F00-9538-DAD0AE44E42D}">
    <text>supply a value greater than 1 if you want to duplicate the row</text>
  </threadedComment>
  <threadedComment ref="J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J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D4" sqref="D4:J4"/>
    </sheetView>
  </sheetViews>
  <sheetFormatPr defaultColWidth="0" defaultRowHeight="14.4" zeroHeight="1"/>
  <cols>
    <col min="1" max="2" width="3.33203125" style="38" hidden="1" customWidth="1"/>
    <col min="3" max="3" width="2.44140625" style="38" customWidth="1"/>
    <col min="4" max="4" width="13.88671875" style="38" customWidth="1"/>
    <col min="5" max="5" width="51.33203125" style="39" bestFit="1" customWidth="1"/>
    <col min="6" max="6" width="15.77734375" style="40" bestFit="1" customWidth="1"/>
    <col min="7" max="9" width="13.33203125" style="38" customWidth="1"/>
    <col min="10" max="10" width="48.88671875" style="38" customWidth="1"/>
    <col min="11" max="11" width="2.44140625" style="38" customWidth="1"/>
    <col min="12" max="12" width="0" style="38" hidden="1" customWidth="1"/>
    <col min="13" max="16384" width="9" style="38" hidden="1"/>
  </cols>
  <sheetData>
    <row r="3" spans="4:10"/>
    <row r="4" spans="4:10" ht="18">
      <c r="D4" s="57" t="s">
        <v>113</v>
      </c>
      <c r="E4" s="58"/>
      <c r="F4" s="59"/>
      <c r="G4" s="60"/>
      <c r="H4" s="60"/>
      <c r="I4" s="60"/>
      <c r="J4" s="41" t="s">
        <v>83</v>
      </c>
    </row>
    <row r="5" spans="4:10" ht="36">
      <c r="D5" s="68" t="s">
        <v>36</v>
      </c>
      <c r="E5" s="68"/>
      <c r="F5" s="68"/>
      <c r="G5" s="68"/>
      <c r="H5" s="68"/>
      <c r="I5" s="68"/>
      <c r="J5" s="68"/>
    </row>
    <row r="6" spans="4:10" ht="18">
      <c r="D6" s="51" t="s">
        <v>30</v>
      </c>
      <c r="E6" s="51" t="s">
        <v>111</v>
      </c>
      <c r="F6" s="51" t="s">
        <v>31</v>
      </c>
      <c r="G6" s="51" t="s">
        <v>32</v>
      </c>
      <c r="H6" s="51" t="s">
        <v>33</v>
      </c>
      <c r="I6" s="51" t="s">
        <v>34</v>
      </c>
      <c r="J6" s="51" t="s">
        <v>35</v>
      </c>
    </row>
    <row r="7" spans="4:10" ht="36">
      <c r="D7" s="42">
        <v>1</v>
      </c>
      <c r="E7" s="54" t="s">
        <v>112</v>
      </c>
      <c r="F7" s="55">
        <v>44720</v>
      </c>
      <c r="G7" s="56" t="s">
        <v>37</v>
      </c>
      <c r="H7" s="42"/>
      <c r="I7" s="42"/>
      <c r="J7" s="43"/>
    </row>
    <row r="8" spans="4:10" ht="18">
      <c r="D8" s="42">
        <v>2</v>
      </c>
      <c r="E8" s="43"/>
      <c r="F8" s="44"/>
      <c r="G8" s="42"/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886718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69</v>
      </c>
      <c r="H1" s="1" t="s">
        <v>70</v>
      </c>
      <c r="I1" s="1" t="s">
        <v>71</v>
      </c>
      <c r="J1" s="7" t="s">
        <v>73</v>
      </c>
      <c r="K1" s="7" t="s">
        <v>6</v>
      </c>
      <c r="L1" t="s">
        <v>81</v>
      </c>
      <c r="M1" t="s">
        <v>78</v>
      </c>
      <c r="N1" t="s">
        <v>79</v>
      </c>
      <c r="O1" t="s">
        <v>82</v>
      </c>
      <c r="P1" t="s">
        <v>87</v>
      </c>
      <c r="Q1" t="s">
        <v>90</v>
      </c>
      <c r="R1" t="s">
        <v>95</v>
      </c>
      <c r="S1" t="s">
        <v>96</v>
      </c>
      <c r="T1" t="s">
        <v>102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80</v>
      </c>
      <c r="B4" t="s">
        <v>21</v>
      </c>
      <c r="C4" t="s">
        <v>43</v>
      </c>
      <c r="D4" t="s">
        <v>75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88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100</v>
      </c>
    </row>
    <row r="12" spans="1:21">
      <c r="B12" t="s">
        <v>89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101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1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2:11">
      <c r="B2" s="46" t="str">
        <f>'Revision History'!$D$4</f>
        <v>REV. NO.1 (6/8/2022)</v>
      </c>
      <c r="C2" s="47"/>
      <c r="D2" s="47"/>
      <c r="E2" s="47"/>
      <c r="F2" s="47"/>
      <c r="G2" s="47"/>
      <c r="H2" s="47"/>
      <c r="I2" s="47"/>
      <c r="J2" s="47"/>
      <c r="K2" s="48" t="str">
        <f>'Revision History'!$J$4</f>
        <v>Scott Research Group (jkscottresearchgroup.com)</v>
      </c>
    </row>
    <row r="3" spans="2:11" ht="18">
      <c r="B3" s="69" t="s">
        <v>29</v>
      </c>
      <c r="C3" s="69"/>
      <c r="D3" s="69"/>
      <c r="E3" s="69"/>
      <c r="F3" s="69"/>
      <c r="G3" s="69"/>
      <c r="H3" s="69"/>
      <c r="I3" s="69"/>
      <c r="J3" s="69"/>
      <c r="K3" s="69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70" t="str">
        <f>IF(COUNTIF(Table110823[Test 3],1)=COUNTA(Table110823[Value]),"Ready","Not Ready")</f>
        <v>Ready</v>
      </c>
    </row>
    <row r="5" spans="2:11" ht="14.4" customHeight="1">
      <c r="B5" s="17"/>
      <c r="C5" s="18"/>
      <c r="D5" s="53"/>
      <c r="E5" s="53"/>
      <c r="F5" s="53"/>
      <c r="G5" s="53"/>
      <c r="H5" s="19"/>
      <c r="I5" s="53"/>
      <c r="J5" s="53"/>
      <c r="K5" s="71"/>
    </row>
    <row r="6" spans="2:11" ht="14.4" customHeight="1">
      <c r="B6" s="17"/>
      <c r="C6" s="18"/>
      <c r="D6" s="53"/>
      <c r="E6" s="53"/>
      <c r="F6" s="53"/>
      <c r="G6" s="53"/>
      <c r="H6" s="19"/>
      <c r="I6" s="53"/>
      <c r="J6" s="53"/>
      <c r="K6" s="71"/>
    </row>
    <row r="7" spans="2:11" ht="14.4" customHeight="1">
      <c r="B7" s="17"/>
      <c r="C7" s="18"/>
      <c r="D7" s="53"/>
      <c r="E7" s="53"/>
      <c r="F7" s="53"/>
      <c r="G7" s="53"/>
      <c r="H7" s="19"/>
      <c r="I7" s="53"/>
      <c r="J7" s="53"/>
      <c r="K7" s="71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2"/>
    </row>
    <row r="9" spans="2:11">
      <c r="B9" s="32" t="s">
        <v>0</v>
      </c>
      <c r="C9" s="33" t="s">
        <v>1</v>
      </c>
      <c r="D9" s="33" t="s">
        <v>2</v>
      </c>
      <c r="E9" s="33" t="s">
        <v>14</v>
      </c>
      <c r="F9" s="33" t="s">
        <v>62</v>
      </c>
      <c r="G9" s="34" t="s">
        <v>38</v>
      </c>
      <c r="H9" s="34" t="s">
        <v>63</v>
      </c>
      <c r="I9" s="33" t="s">
        <v>64</v>
      </c>
      <c r="J9" s="35" t="s">
        <v>72</v>
      </c>
      <c r="K9" s="35" t="s">
        <v>12</v>
      </c>
    </row>
    <row r="10" spans="2:11" ht="28.8">
      <c r="B10" s="4" t="s">
        <v>5</v>
      </c>
      <c r="C10" s="36">
        <v>2</v>
      </c>
      <c r="D10" s="2" t="s">
        <v>3</v>
      </c>
      <c r="E10" s="52" t="s">
        <v>17</v>
      </c>
      <c r="F10" s="52" t="s">
        <v>7</v>
      </c>
      <c r="G10" s="2" t="s">
        <v>39</v>
      </c>
      <c r="H10" s="52">
        <v>1</v>
      </c>
      <c r="I10" s="52">
        <v>1</v>
      </c>
      <c r="J10" s="6">
        <v>1</v>
      </c>
      <c r="K10" s="5" t="s">
        <v>65</v>
      </c>
    </row>
    <row r="11" spans="2:11">
      <c r="B11" s="8" t="s">
        <v>76</v>
      </c>
      <c r="C11" s="37"/>
      <c r="D11" s="9"/>
      <c r="E11" s="10"/>
      <c r="F11" s="10"/>
      <c r="G11" s="9"/>
      <c r="H11" s="10">
        <v>1</v>
      </c>
      <c r="I11" s="10">
        <v>1</v>
      </c>
      <c r="J11" s="11">
        <v>0</v>
      </c>
      <c r="K11" s="12" t="s">
        <v>77</v>
      </c>
    </row>
  </sheetData>
  <sheetProtection selectLockedCells="1"/>
  <mergeCells count="2">
    <mergeCell ref="B3:K3"/>
    <mergeCell ref="K4:K8"/>
  </mergeCells>
  <conditionalFormatting sqref="C10:C11">
    <cfRule type="expression" dxfId="9" priority="4">
      <formula>IF(AND($C10&lt;&gt;"",$J10=0),1,0)</formula>
    </cfRule>
    <cfRule type="expression" dxfId="8" priority="5">
      <formula>IF($C10&lt;&gt;"",1,0)</formula>
    </cfRule>
    <cfRule type="expression" dxfId="7" priority="6">
      <formula>$J10=0</formula>
    </cfRule>
  </conditionalFormatting>
  <conditionalFormatting sqref="K4">
    <cfRule type="expression" dxfId="6" priority="56">
      <formula>IF(COUNTA($C$10:$C$11)&lt;&gt;COUNTIF($J$10:$J$11,1),1,0)</formula>
    </cfRule>
    <cfRule type="expression" dxfId="5" priority="57">
      <formula>IF(COUNTA($C$10:$C$11)=COUNTIF($J$10:$J$11,1),1,0)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G10:G11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E10:E11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F10:F11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2"/>
  <sheetViews>
    <sheetView showGridLines="0" tabSelected="1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B13" sqref="A13:XFD13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2:11">
      <c r="B2" s="46" t="str">
        <f>'Revision History'!$D$4</f>
        <v>REV. NO.1 (6/8/2022)</v>
      </c>
      <c r="C2" s="47"/>
      <c r="D2" s="47"/>
      <c r="E2" s="47"/>
      <c r="F2" s="47"/>
      <c r="G2" s="47"/>
      <c r="H2" s="47"/>
      <c r="I2" s="47"/>
      <c r="J2" s="47"/>
      <c r="K2" s="48" t="str">
        <f>'Revision History'!$J$4</f>
        <v>Scott Research Group (jkscottresearchgroup.com)</v>
      </c>
    </row>
    <row r="3" spans="2:11" ht="18">
      <c r="B3" s="69" t="s">
        <v>29</v>
      </c>
      <c r="C3" s="69"/>
      <c r="D3" s="69"/>
      <c r="E3" s="69"/>
      <c r="F3" s="69"/>
      <c r="G3" s="69"/>
      <c r="H3" s="69"/>
      <c r="I3" s="69"/>
      <c r="J3" s="69"/>
      <c r="K3" s="69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70" t="str">
        <f>IF(COUNTIF(Table11082[Test 3],1)=COUNTA(Table11082[Value]),"Ready","Not Ready")</f>
        <v>Ready</v>
      </c>
    </row>
    <row r="5" spans="2:11" ht="14.4" customHeight="1">
      <c r="B5" s="17"/>
      <c r="C5" s="18"/>
      <c r="D5" s="53"/>
      <c r="E5" s="53"/>
      <c r="F5" s="53"/>
      <c r="G5" s="53"/>
      <c r="H5" s="19"/>
      <c r="I5" s="53"/>
      <c r="J5" s="53"/>
      <c r="K5" s="71"/>
    </row>
    <row r="6" spans="2:11" ht="14.4" customHeight="1">
      <c r="B6" s="17"/>
      <c r="C6" s="18"/>
      <c r="D6" s="53"/>
      <c r="E6" s="53"/>
      <c r="F6" s="53"/>
      <c r="G6" s="53"/>
      <c r="H6" s="19"/>
      <c r="I6" s="53"/>
      <c r="J6" s="53"/>
      <c r="K6" s="71"/>
    </row>
    <row r="7" spans="2:11" ht="14.4" customHeight="1">
      <c r="B7" s="17"/>
      <c r="C7" s="18"/>
      <c r="D7" s="53"/>
      <c r="E7" s="53"/>
      <c r="F7" s="53"/>
      <c r="G7" s="53"/>
      <c r="H7" s="19"/>
      <c r="I7" s="53"/>
      <c r="J7" s="53"/>
      <c r="K7" s="71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2"/>
    </row>
    <row r="9" spans="2:11">
      <c r="B9" s="32" t="s">
        <v>0</v>
      </c>
      <c r="C9" s="33" t="s">
        <v>1</v>
      </c>
      <c r="D9" s="33" t="s">
        <v>2</v>
      </c>
      <c r="E9" s="33" t="s">
        <v>14</v>
      </c>
      <c r="F9" s="33" t="s">
        <v>62</v>
      </c>
      <c r="G9" s="34" t="s">
        <v>38</v>
      </c>
      <c r="H9" s="34" t="s">
        <v>63</v>
      </c>
      <c r="I9" s="33" t="s">
        <v>64</v>
      </c>
      <c r="J9" s="35" t="s">
        <v>72</v>
      </c>
      <c r="K9" s="35" t="s">
        <v>12</v>
      </c>
    </row>
    <row r="10" spans="2:11" ht="43.2">
      <c r="B10" s="4" t="s">
        <v>97</v>
      </c>
      <c r="C10" s="36">
        <v>0.2</v>
      </c>
      <c r="D10" s="2" t="s">
        <v>3</v>
      </c>
      <c r="E10" s="52" t="s">
        <v>22</v>
      </c>
      <c r="F10" s="52" t="s">
        <v>7</v>
      </c>
      <c r="G10" s="2" t="s">
        <v>39</v>
      </c>
      <c r="H10" s="52">
        <v>1</v>
      </c>
      <c r="I10" s="52">
        <f>Initialization!$C$10</f>
        <v>2</v>
      </c>
      <c r="J10" s="6">
        <v>1</v>
      </c>
      <c r="K10" s="5" t="s">
        <v>99</v>
      </c>
    </row>
    <row r="11" spans="2:11" ht="43.2">
      <c r="B11" s="4" t="s">
        <v>98</v>
      </c>
      <c r="C11" s="36">
        <v>0.8</v>
      </c>
      <c r="D11" s="2" t="s">
        <v>3</v>
      </c>
      <c r="E11" s="52" t="s">
        <v>22</v>
      </c>
      <c r="F11" s="52" t="s">
        <v>7</v>
      </c>
      <c r="G11" s="2" t="s">
        <v>39</v>
      </c>
      <c r="H11" s="52"/>
      <c r="I11" s="52">
        <f>Initialization!$C$10</f>
        <v>2</v>
      </c>
      <c r="J11" s="6">
        <v>1</v>
      </c>
      <c r="K11" s="5" t="s">
        <v>99</v>
      </c>
    </row>
    <row r="12" spans="2:11">
      <c r="B12" s="8" t="s">
        <v>76</v>
      </c>
      <c r="C12" s="37"/>
      <c r="D12" s="9"/>
      <c r="E12" s="10"/>
      <c r="F12" s="10"/>
      <c r="G12" s="9"/>
      <c r="H12" s="10">
        <v>1</v>
      </c>
      <c r="I12" s="10">
        <v>1</v>
      </c>
      <c r="J12" s="11">
        <v>0</v>
      </c>
      <c r="K12" s="12" t="s">
        <v>77</v>
      </c>
    </row>
  </sheetData>
  <sheetProtection algorithmName="SHA-512" hashValue="/qFS6+g5TrhXHP8e+k5vKVWJSfJKsgnICZCfIoqdywYZ21L7I8XHqAd0vxvWtHAgHTruXTyMbC+56RVgKNwkQg==" saltValue="rz2eKnDBJmGtQrSCwR3/xw==" spinCount="100000" sheet="1" objects="1" scenarios="1" selectLockedCells="1"/>
  <mergeCells count="2">
    <mergeCell ref="B3:K3"/>
    <mergeCell ref="K4:K8"/>
  </mergeCells>
  <conditionalFormatting sqref="C10:C12">
    <cfRule type="expression" dxfId="4" priority="7">
      <formula>IF(AND($C10&lt;&gt;"",$J10=0),1,0)</formula>
    </cfRule>
    <cfRule type="expression" dxfId="3" priority="8">
      <formula>IF($C10&lt;&gt;"",1,0)</formula>
    </cfRule>
    <cfRule type="expression" dxfId="2" priority="9">
      <formula>$J10=0</formula>
    </cfRule>
  </conditionalFormatting>
  <conditionalFormatting sqref="K4">
    <cfRule type="expression" dxfId="1" priority="93">
      <formula>IF(COUNTA($C$10:$C$12)&lt;&gt;COUNTIF($J$10:$J$12,1),1,0)</formula>
    </cfRule>
    <cfRule type="expression" dxfId="0" priority="94">
      <formula>IF(COUNTA($C$10:$C$12)=COUNTIF($J$10:$J$12,1),1,0)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F10:F12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E10:E12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G10:G12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2" sqref="C12"/>
    </sheetView>
  </sheetViews>
  <sheetFormatPr defaultColWidth="0" defaultRowHeight="0" customHeight="1" zeroHeight="1"/>
  <cols>
    <col min="1" max="2" width="8.88671875" style="64" customWidth="1"/>
    <col min="3" max="3" width="13.109375" style="64" customWidth="1"/>
    <col min="4" max="4" width="13.44140625" style="64" customWidth="1"/>
    <col min="5" max="6" width="8.88671875" style="64" customWidth="1"/>
    <col min="7" max="7" width="14.77734375" style="64" customWidth="1"/>
    <col min="8" max="8" width="11.6640625" style="64" customWidth="1"/>
    <col min="9" max="9" width="10.33203125" style="64" customWidth="1"/>
    <col min="10" max="10" width="5.6640625" style="64" customWidth="1"/>
    <col min="11" max="11" width="10.5546875" style="64" customWidth="1"/>
    <col min="12" max="17" width="8.88671875" style="64" customWidth="1"/>
    <col min="18" max="16384" width="8.88671875" style="64" hidden="1"/>
  </cols>
  <sheetData>
    <row r="1" spans="1:17" ht="14.4">
      <c r="A1" s="61" t="str">
        <f>'[1]Revision History'!D4</f>
        <v>REV. NO.1 (6/8/2022)</v>
      </c>
      <c r="B1" s="62"/>
      <c r="C1" s="62"/>
      <c r="D1" s="62"/>
      <c r="E1" s="62"/>
      <c r="F1" s="62"/>
      <c r="G1" s="62"/>
      <c r="H1" s="62"/>
      <c r="I1" s="63"/>
      <c r="J1" s="63"/>
      <c r="K1" s="63"/>
      <c r="L1" s="63"/>
      <c r="M1" s="63"/>
      <c r="N1" s="63"/>
      <c r="O1" s="63"/>
      <c r="P1" s="63"/>
      <c r="Q1" s="63" t="str">
        <f>'[2]Revision History'!$J$4</f>
        <v>Scott Research Group (jkscottresearchgroup.com)</v>
      </c>
    </row>
    <row r="2" spans="1:17" ht="14.4">
      <c r="A2" s="73" t="s">
        <v>115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</row>
    <row r="3" spans="1:17" ht="14.4">
      <c r="A3" s="30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</row>
    <row r="4" spans="1:17" ht="14.4">
      <c r="A4" s="30"/>
      <c r="B4" s="65" t="s">
        <v>116</v>
      </c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</row>
    <row r="5" spans="1:17" ht="14.4">
      <c r="A5" s="30"/>
      <c r="B5" s="65"/>
      <c r="C5" s="65" t="s">
        <v>91</v>
      </c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</row>
    <row r="6" spans="1:17" ht="14.4">
      <c r="A6" s="30"/>
      <c r="B6" s="65"/>
      <c r="C6" s="65"/>
      <c r="D6" s="50" t="s">
        <v>92</v>
      </c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</row>
    <row r="7" spans="1:17" ht="14.4">
      <c r="A7" s="30"/>
      <c r="B7" s="65"/>
      <c r="C7" s="65" t="s">
        <v>93</v>
      </c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</row>
    <row r="8" spans="1:17" ht="14.4">
      <c r="A8" s="30"/>
      <c r="B8" s="65"/>
      <c r="C8" s="65"/>
      <c r="D8" s="49" t="s">
        <v>94</v>
      </c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</row>
    <row r="9" spans="1:17" ht="14.4">
      <c r="A9" s="30"/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</row>
    <row r="10" spans="1:17" ht="14.4">
      <c r="A10" s="30"/>
      <c r="B10" s="65" t="s">
        <v>117</v>
      </c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</row>
    <row r="11" spans="1:17" ht="14.4">
      <c r="A11" s="30"/>
      <c r="B11" s="65"/>
      <c r="C11" s="65" t="s">
        <v>118</v>
      </c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</row>
    <row r="12" spans="1:17" ht="14.4">
      <c r="A12" s="30"/>
      <c r="B12" s="65"/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</row>
    <row r="13" spans="1:17" ht="14.4">
      <c r="A13" s="30"/>
      <c r="B13" s="65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</row>
    <row r="14" spans="1:17" ht="14.4">
      <c r="A14" s="30"/>
      <c r="B14" s="65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</row>
    <row r="15" spans="1:17" ht="14.4">
      <c r="A15" s="30"/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</row>
    <row r="16" spans="1:17" ht="14.4">
      <c r="A16" s="30"/>
      <c r="B16" s="65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</row>
    <row r="17" spans="1:17" ht="14.4">
      <c r="A17" s="30"/>
      <c r="B17" s="65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</row>
    <row r="18" spans="1:17" ht="14.4">
      <c r="A18" s="30"/>
      <c r="B18" s="65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</row>
    <row r="19" spans="1:17" ht="14.4">
      <c r="A19" s="30"/>
      <c r="B19" s="65"/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</row>
    <row r="20" spans="1:17" ht="14.4">
      <c r="A20" s="30"/>
      <c r="B20" s="65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</row>
    <row r="21" spans="1:17" ht="14.4">
      <c r="A21" s="30"/>
      <c r="B21" s="65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</row>
    <row r="22" spans="1:17" ht="14.4">
      <c r="A22" s="30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</row>
    <row r="23" spans="1:17" ht="14.4">
      <c r="A23" s="30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</row>
    <row r="24" spans="1:17" ht="14.4">
      <c r="A24" s="30"/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</row>
    <row r="25" spans="1:17" ht="14.4">
      <c r="A25" s="30"/>
      <c r="B25" s="65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</row>
    <row r="26" spans="1:17" ht="14.4">
      <c r="A26" s="30"/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</row>
    <row r="27" spans="1:17" ht="14.4">
      <c r="A27" s="30"/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</row>
    <row r="28" spans="1:17" ht="14.4">
      <c r="A28" s="30"/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</row>
    <row r="29" spans="1:17" ht="14.4">
      <c r="A29" s="30"/>
      <c r="B29" s="65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</row>
    <row r="30" spans="1:17" ht="14.4">
      <c r="A30" s="30"/>
      <c r="B30" s="65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</row>
    <row r="31" spans="1:17" ht="14.4">
      <c r="A31" s="30"/>
      <c r="B31" s="65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</row>
    <row r="32" spans="1:17" ht="14.4">
      <c r="A32" s="30"/>
      <c r="B32" s="66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</row>
    <row r="33" spans="1:17" ht="14.4">
      <c r="A33" s="30"/>
      <c r="B33" s="65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</row>
    <row r="34" spans="1:17" ht="14.4">
      <c r="A34" s="30"/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BCDE-CEB0-4BB0-9117-E571D994F35E}">
  <sheetPr codeName="Sheet2">
    <tabColor rgb="FF00B050"/>
  </sheetPr>
  <dimension ref="A1:AV52"/>
  <sheetViews>
    <sheetView showGridLines="0" zoomScale="85" zoomScaleNormal="85" zoomScaleSheetLayoutView="55" workbookViewId="0">
      <selection activeCell="A3" sqref="A3"/>
    </sheetView>
  </sheetViews>
  <sheetFormatPr defaultColWidth="0" defaultRowHeight="14.4" customHeight="1" zeroHeight="1"/>
  <cols>
    <col min="1" max="18" width="8.88671875" style="24" customWidth="1"/>
    <col min="19" max="48" width="0" style="24" hidden="1" customWidth="1"/>
    <col min="49" max="16384" width="8.88671875" style="24" hidden="1"/>
  </cols>
  <sheetData>
    <row r="1" spans="1:18">
      <c r="A1" s="61" t="str">
        <f>'[1]Revision History'!D4</f>
        <v>REV. NO.1 (6/8/2022)</v>
      </c>
      <c r="B1" s="62"/>
      <c r="C1" s="62"/>
      <c r="D1" s="62"/>
      <c r="E1" s="62"/>
      <c r="F1" s="62"/>
      <c r="G1" s="62"/>
      <c r="H1" s="62"/>
      <c r="I1" s="62"/>
      <c r="J1" s="63"/>
      <c r="K1" s="63"/>
      <c r="L1" s="63"/>
      <c r="M1" s="63"/>
      <c r="N1" s="63"/>
      <c r="O1" s="63"/>
      <c r="P1" s="63"/>
      <c r="Q1" s="63"/>
      <c r="R1" s="63" t="str">
        <f>'[2]Revision History'!$J$4</f>
        <v>Scott Research Group (jkscottresearchgroup.com)</v>
      </c>
    </row>
    <row r="2" spans="1:18">
      <c r="A2" s="28" t="s">
        <v>114</v>
      </c>
      <c r="B2" s="29"/>
      <c r="C2" s="29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6"/>
    </row>
    <row r="3" spans="1:18">
      <c r="A3" s="30"/>
      <c r="B3" s="65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27"/>
    </row>
    <row r="4" spans="1:18">
      <c r="A4" s="30"/>
      <c r="B4" s="65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27"/>
    </row>
    <row r="5" spans="1:18">
      <c r="A5" s="30"/>
      <c r="B5" s="65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27"/>
    </row>
    <row r="6" spans="1:18">
      <c r="A6" s="30"/>
      <c r="B6" s="65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27"/>
    </row>
    <row r="7" spans="1:18">
      <c r="A7" s="30"/>
      <c r="B7" s="65"/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27"/>
    </row>
    <row r="8" spans="1:18">
      <c r="A8" s="30"/>
      <c r="B8" s="65"/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27"/>
    </row>
    <row r="9" spans="1:18">
      <c r="A9" s="30"/>
      <c r="B9" s="65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27"/>
    </row>
    <row r="10" spans="1:18">
      <c r="A10" s="30"/>
      <c r="B10" s="65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27"/>
    </row>
    <row r="11" spans="1:18">
      <c r="A11" s="30"/>
      <c r="B11" s="65"/>
      <c r="C11" s="67"/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27"/>
    </row>
    <row r="12" spans="1:18">
      <c r="A12" s="30"/>
      <c r="B12" s="65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27"/>
    </row>
    <row r="13" spans="1:18">
      <c r="A13" s="30"/>
      <c r="B13" s="65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27"/>
    </row>
    <row r="14" spans="1:18">
      <c r="A14" s="30"/>
      <c r="B14" s="65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27"/>
    </row>
    <row r="15" spans="1:18">
      <c r="A15" s="30"/>
      <c r="B15" s="65"/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27"/>
    </row>
    <row r="16" spans="1:18">
      <c r="A16" s="30"/>
      <c r="B16" s="65"/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27"/>
    </row>
    <row r="17" spans="1:18">
      <c r="A17" s="30"/>
      <c r="B17" s="65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27"/>
    </row>
    <row r="18" spans="1:18">
      <c r="A18" s="30"/>
      <c r="B18" s="65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27"/>
    </row>
    <row r="19" spans="1:18">
      <c r="A19" s="30"/>
      <c r="B19" s="65"/>
      <c r="C19" s="67"/>
      <c r="D19" s="67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27"/>
    </row>
    <row r="20" spans="1:18">
      <c r="A20" s="30"/>
      <c r="B20" s="65"/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27"/>
    </row>
    <row r="21" spans="1:18">
      <c r="A21" s="30"/>
      <c r="B21" s="65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27"/>
    </row>
    <row r="22" spans="1:18">
      <c r="A22" s="30"/>
      <c r="B22" s="65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27"/>
    </row>
    <row r="23" spans="1:18">
      <c r="A23" s="30"/>
      <c r="B23" s="65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27"/>
    </row>
    <row r="24" spans="1:18">
      <c r="A24" s="30"/>
      <c r="B24" s="65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27"/>
    </row>
    <row r="25" spans="1:18">
      <c r="A25" s="30"/>
      <c r="B25" s="65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27"/>
    </row>
    <row r="26" spans="1:18">
      <c r="A26" s="30"/>
      <c r="B26" s="65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27"/>
    </row>
    <row r="27" spans="1:18">
      <c r="A27" s="30"/>
      <c r="B27" s="65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27"/>
    </row>
    <row r="28" spans="1:18">
      <c r="A28" s="30"/>
      <c r="B28" s="65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27"/>
    </row>
    <row r="29" spans="1:18">
      <c r="A29" s="30"/>
      <c r="B29" s="65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27"/>
    </row>
    <row r="30" spans="1:18">
      <c r="A30" s="30"/>
      <c r="B30" s="65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27"/>
    </row>
    <row r="31" spans="1:18">
      <c r="A31" s="30"/>
      <c r="B31" s="65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27"/>
    </row>
    <row r="32" spans="1:18">
      <c r="A32" s="30"/>
      <c r="B32" s="65"/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27"/>
    </row>
    <row r="33" spans="1:18">
      <c r="A33" s="30"/>
      <c r="B33" s="65"/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27"/>
    </row>
    <row r="34" spans="1:18">
      <c r="A34" s="30"/>
      <c r="B34" s="65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27"/>
    </row>
    <row r="35" spans="1:18">
      <c r="A35" s="30"/>
      <c r="B35" s="65"/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27"/>
    </row>
    <row r="36" spans="1:18">
      <c r="A36" s="30"/>
      <c r="B36" s="65"/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27"/>
    </row>
    <row r="37" spans="1:18">
      <c r="A37" s="30"/>
      <c r="B37" s="65"/>
      <c r="C37" s="67"/>
      <c r="D37" s="67"/>
      <c r="E37" s="67"/>
      <c r="F37" s="67"/>
      <c r="G37" s="67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27"/>
    </row>
    <row r="38" spans="1:18">
      <c r="A38" s="30"/>
      <c r="B38" s="65"/>
      <c r="C38" s="67"/>
      <c r="D38" s="67"/>
      <c r="E38" s="67"/>
      <c r="F38" s="67"/>
      <c r="G38" s="67"/>
      <c r="H38" s="67"/>
      <c r="I38" s="67"/>
      <c r="J38" s="67"/>
      <c r="K38" s="67"/>
      <c r="L38" s="67"/>
      <c r="M38" s="67"/>
      <c r="N38" s="67"/>
      <c r="O38" s="67"/>
      <c r="P38" s="67"/>
      <c r="Q38" s="67"/>
      <c r="R38" s="27"/>
    </row>
    <row r="39" spans="1:18">
      <c r="A39" s="30"/>
      <c r="B39" s="65"/>
      <c r="C39" s="67"/>
      <c r="D39" s="67"/>
      <c r="E39" s="67"/>
      <c r="F39" s="67"/>
      <c r="G39" s="67"/>
      <c r="H39" s="67"/>
      <c r="I39" s="67"/>
      <c r="J39" s="67"/>
      <c r="K39" s="67"/>
      <c r="L39" s="67"/>
      <c r="M39" s="67"/>
      <c r="N39" s="67"/>
      <c r="O39" s="67"/>
      <c r="P39" s="67"/>
      <c r="Q39" s="67"/>
      <c r="R39" s="27"/>
    </row>
    <row r="40" spans="1:18">
      <c r="A40" s="30"/>
      <c r="B40" s="65"/>
      <c r="C40" s="67"/>
      <c r="D40" s="67"/>
      <c r="E40" s="67"/>
      <c r="F40" s="67"/>
      <c r="G40" s="67"/>
      <c r="H40" s="67"/>
      <c r="I40" s="67"/>
      <c r="J40" s="67"/>
      <c r="K40" s="67"/>
      <c r="L40" s="67"/>
      <c r="M40" s="67"/>
      <c r="N40" s="67"/>
      <c r="O40" s="67"/>
      <c r="P40" s="67"/>
      <c r="Q40" s="67"/>
      <c r="R40" s="27"/>
    </row>
    <row r="41" spans="1:18">
      <c r="A41" s="30"/>
      <c r="B41" s="65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27"/>
    </row>
    <row r="42" spans="1:18">
      <c r="A42" s="30"/>
      <c r="B42" s="65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27"/>
    </row>
    <row r="43" spans="1:18">
      <c r="A43" s="30"/>
      <c r="B43" s="65"/>
      <c r="C43" s="67"/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27"/>
    </row>
    <row r="44" spans="1:18">
      <c r="A44" s="30"/>
      <c r="B44" s="65"/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27"/>
    </row>
    <row r="45" spans="1:18">
      <c r="A45" s="30"/>
      <c r="B45" s="65"/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67"/>
      <c r="P45" s="67"/>
      <c r="Q45" s="67"/>
      <c r="R45" s="27"/>
    </row>
    <row r="46" spans="1:18">
      <c r="A46" s="30"/>
      <c r="B46" s="65"/>
      <c r="C46" s="67"/>
      <c r="D46" s="67"/>
      <c r="E46" s="67"/>
      <c r="F46" s="67"/>
      <c r="G46" s="67"/>
      <c r="H46" s="67"/>
      <c r="I46" s="67"/>
      <c r="J46" s="67"/>
      <c r="K46" s="67"/>
      <c r="L46" s="67"/>
      <c r="M46" s="67"/>
      <c r="N46" s="67"/>
      <c r="O46" s="67"/>
      <c r="P46" s="67"/>
      <c r="Q46" s="67"/>
      <c r="R46" s="27"/>
    </row>
    <row r="47" spans="1:18">
      <c r="A47" s="30"/>
      <c r="B47" s="65"/>
      <c r="C47" s="67"/>
      <c r="D47" s="67"/>
      <c r="E47" s="67"/>
      <c r="F47" s="67"/>
      <c r="G47" s="67"/>
      <c r="H47" s="67"/>
      <c r="I47" s="67"/>
      <c r="J47" s="67"/>
      <c r="K47" s="67"/>
      <c r="L47" s="67"/>
      <c r="M47" s="67"/>
      <c r="N47" s="67"/>
      <c r="O47" s="67"/>
      <c r="P47" s="67"/>
      <c r="Q47" s="67"/>
      <c r="R47" s="27"/>
    </row>
    <row r="48" spans="1:18">
      <c r="A48" s="30"/>
      <c r="B48" s="65"/>
      <c r="C48" s="67"/>
      <c r="D48" s="67"/>
      <c r="E48" s="67"/>
      <c r="F48" s="67"/>
      <c r="G48" s="67"/>
      <c r="H48" s="67"/>
      <c r="I48" s="67"/>
      <c r="J48" s="67"/>
      <c r="K48" s="67"/>
      <c r="L48" s="67"/>
      <c r="M48" s="67"/>
      <c r="N48" s="67"/>
      <c r="O48" s="67"/>
      <c r="P48" s="67"/>
      <c r="Q48" s="67"/>
      <c r="R48" s="27"/>
    </row>
    <row r="49" spans="1:18">
      <c r="A49" s="30"/>
      <c r="B49" s="65"/>
      <c r="C49" s="67"/>
      <c r="D49" s="67"/>
      <c r="E49" s="67"/>
      <c r="F49" s="67"/>
      <c r="G49" s="67"/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27"/>
    </row>
    <row r="50" spans="1:18">
      <c r="A50" s="30"/>
      <c r="B50" s="65"/>
      <c r="C50" s="67"/>
      <c r="D50" s="67"/>
      <c r="E50" s="67"/>
      <c r="F50" s="67"/>
      <c r="G50" s="67"/>
      <c r="H50" s="67"/>
      <c r="I50" s="67"/>
      <c r="J50" s="67"/>
      <c r="K50" s="67"/>
      <c r="L50" s="67"/>
      <c r="M50" s="67"/>
      <c r="N50" s="67"/>
      <c r="O50" s="67"/>
      <c r="P50" s="67"/>
      <c r="Q50" s="67"/>
      <c r="R50" s="27"/>
    </row>
    <row r="51" spans="1:18">
      <c r="A51" s="30"/>
      <c r="B51" s="65"/>
      <c r="C51" s="67"/>
      <c r="D51" s="67"/>
      <c r="E51" s="67"/>
      <c r="F51" s="67"/>
      <c r="G51" s="67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27"/>
    </row>
    <row r="52" spans="1:18">
      <c r="A52" s="30"/>
      <c r="B52" s="65"/>
      <c r="C52" s="67"/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/>
      <c r="Q52" s="67"/>
      <c r="R52" s="27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RowHeight="14.4"/>
  <sheetData>
    <row r="1" spans="1:1">
      <c r="A1" t="s">
        <v>86</v>
      </c>
    </row>
    <row r="2" spans="1:1">
      <c r="A2" t="s">
        <v>84</v>
      </c>
    </row>
    <row r="3" spans="1:1">
      <c r="A3" t="s">
        <v>85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E2"/>
  <sheetViews>
    <sheetView topLeftCell="CF1" workbookViewId="0">
      <selection activeCell="CM2" sqref="CM2"/>
    </sheetView>
  </sheetViews>
  <sheetFormatPr defaultRowHeight="14.4"/>
  <sheetData>
    <row r="1" spans="1:5">
      <c r="A1" t="s">
        <v>5</v>
      </c>
      <c r="B1" t="s">
        <v>76</v>
      </c>
      <c r="C1" t="s">
        <v>97</v>
      </c>
      <c r="D1" t="s">
        <v>98</v>
      </c>
      <c r="E1" t="s">
        <v>76</v>
      </c>
    </row>
    <row r="2" spans="1:5">
      <c r="A2">
        <v>2</v>
      </c>
      <c r="C2">
        <v>0.2</v>
      </c>
      <c r="D2">
        <v>0.8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E2"/>
  <sheetViews>
    <sheetView topLeftCell="CC1" workbookViewId="0">
      <selection activeCell="CR2" sqref="CR2"/>
    </sheetView>
  </sheetViews>
  <sheetFormatPr defaultRowHeight="14.4"/>
  <sheetData>
    <row r="1" spans="1:5">
      <c r="A1" t="s">
        <v>5</v>
      </c>
      <c r="B1" t="s">
        <v>76</v>
      </c>
      <c r="C1" t="s">
        <v>97</v>
      </c>
      <c r="D1" t="s">
        <v>98</v>
      </c>
      <c r="E1" t="s">
        <v>76</v>
      </c>
    </row>
    <row r="2" spans="1:5">
      <c r="A2">
        <v>1</v>
      </c>
      <c r="B2">
        <v>0</v>
      </c>
      <c r="C2">
        <v>1</v>
      </c>
      <c r="D2">
        <v>1</v>
      </c>
      <c r="E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Revision History</vt:lpstr>
      <vt:lpstr>Reference</vt:lpstr>
      <vt:lpstr>Initialization</vt:lpstr>
      <vt:lpstr>Stream Properties</vt:lpstr>
      <vt:lpstr>Help</vt:lpstr>
      <vt:lpstr>PFD</vt:lpstr>
      <vt:lpstr>maintenance check list</vt:lpstr>
      <vt:lpstr>Data(Transposed)</vt:lpstr>
      <vt:lpstr>Data(Test)</vt:lpstr>
      <vt:lpstr>Initialization!Print_Area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2022-06-10T12:28:04Z</dcterms:modified>
</cp:coreProperties>
</file>