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development\2_stream_properties\"/>
    </mc:Choice>
  </mc:AlternateContent>
  <xr:revisionPtr revIDLastSave="0" documentId="13_ncr:1_{4A8782CE-4A9D-46D5-B537-68E0F482D93B}" xr6:coauthVersionLast="47" xr6:coauthVersionMax="47" xr10:uidLastSave="{00000000-0000-0000-0000-000000000000}"/>
  <bookViews>
    <workbookView xWindow="-108" yWindow="-108" windowWidth="23256" windowHeight="13176" tabRatio="818" activeTab="3" xr2:uid="{CB583278-6AF7-49E7-A969-6064EAB4A9B4}"/>
  </bookViews>
  <sheets>
    <sheet name="Revision History" sheetId="4" r:id="rId1"/>
    <sheet name="Reference" sheetId="2" state="hidden" r:id="rId2"/>
    <sheet name="Initialization" sheetId="40" r:id="rId3"/>
    <sheet name="Stream Properties" sheetId="39" r:id="rId4"/>
    <sheet name="Help" sheetId="41" r:id="rId5"/>
    <sheet name="PFD" sheetId="42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  <externalReference r:id="rId11"/>
  </externalReferences>
  <definedNames>
    <definedName name="_xlnm._FilterDatabase" localSheetId="2" hidden="1">Initialization!$B$9:$K$10</definedName>
    <definedName name="_xlnm._FilterDatabase" localSheetId="3" hidden="1">'Stream Properties'!$B$9:$K$9</definedName>
    <definedName name="_xlnm.Print_Area" localSheetId="2">Initialization!$B$2:$K$11</definedName>
    <definedName name="_xlnm.Print_Area" localSheetId="0">'Revision History'!$C$3:$K$51</definedName>
    <definedName name="_xlnm.Print_Area" localSheetId="3">'Stream Properties'!$B$2:$K$12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1" i="39" l="1"/>
  <c r="I10" i="39"/>
  <c r="R1" i="42"/>
  <c r="A1" i="42"/>
  <c r="Q1" i="41"/>
  <c r="A1" i="41"/>
  <c r="K4" i="40"/>
  <c r="K2" i="40"/>
  <c r="B2" i="40"/>
  <c r="K4" i="39"/>
  <c r="K2" i="39"/>
  <c r="B2" i="3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tc={B1843E07-2516-483D-A63D-A86B5B904914}</author>
    <author>tc={6888000F-CF93-4D02-AF13-97DC6B0D5C73}</author>
    <author>tc={D0BD17CB-ADC0-404B-8A5E-43BEF3ADF85E}</author>
  </authors>
  <commentList>
    <comment ref="H9" authorId="0" shapeId="0" xr:uid="{B1843E07-2516-483D-A63D-A86B5B90491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I9" authorId="1" shapeId="0" xr:uid="{6888000F-CF93-4D02-AF13-97DC6B0D5C7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J9" authorId="2" shapeId="0" xr:uid="{D0BD17CB-ADC0-404B-8A5E-43BEF3ADF8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tc={1A026445-FB9B-4762-B965-16991A5C1815}</author>
    <author>tc={D80DBB20-50CB-4F00-9538-DAD0AE44E42D}</author>
    <author>tc={80C7D8EB-2E40-4EC8-9709-9973ADEE9EBD}</author>
  </authors>
  <commentList>
    <comment ref="H9" authorId="0" shapeId="0" xr:uid="{1A026445-FB9B-4762-B965-16991A5C181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I9" authorId="1" shapeId="0" xr:uid="{D80DBB20-50CB-4F00-9538-DAD0AE44E42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J9" authorId="2" shapeId="0" xr:uid="{80C7D8EB-2E40-4EC8-9709-9973ADEE9EB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<sst xmlns="http://schemas.openxmlformats.org/spreadsheetml/2006/main" count="178" uniqueCount="119">
  <si>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</si>
  <si>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</si>
  <si>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</si>
  <si>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</si>
  <si>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</si>
  <si>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</si>
  <si>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</si>
  <si>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</si>
  <si>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</si>
  <si>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</si>
  <si>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</si>
  <si>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</si>
  <si>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</si>
  <si>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</si>
  <si>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</si>
  <si>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</si>
  <si>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</si>
  <si>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</si>
  <si>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</si>
  <si>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</si>
  <si>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</si>
  <si>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</si>
  <si>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</si>
  <si>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</si>
  <si>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</si>
  <si>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</si>
  <si>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</si>
  <si>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</si>
  <si>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</si>
  <si>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</si>
  <si>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</si>
  <si>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</si>
  <si>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</si>
  <si>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</si>
  <si>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</si>
  <si>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</si>
  <si>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</si>
  <si>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</si>
  <si>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</si>
  <si>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</si>
  <si>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</si>
  <si>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</si>
  <si>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</si>
  <si>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</si>
  <si>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</si>
  <si>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</si>
  <si>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</si>
  <si>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</si>
  <si>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</si>
  <si>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</si>
  <si>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</si>
  <si>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</si>
  <si>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</si>
  <si>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</si>
  <si>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</si>
  <si>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</si>
  <si>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</si>
  <si>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</si>
  <si>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</si>
  <si>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</si>
  <si>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</si>
  <si>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</si>
  <si>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</si>
  <si>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</si>
  <si>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</si>
  <si>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The number of components to be modeled in the system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</si>
  <si>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</si>
  <si>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</si>
  <si>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</si>
  <si>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</si>
  <si>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</si>
  <si>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</si>
  <si>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</si>
  <si>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</si>
  <si>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</si>
  <si>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</si>
  <si>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</si>
  <si>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</si>
  <si>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</si>
  <si>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</si>
  <si>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</si>
  <si>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</si>
  <si>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</si>
  <si>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</si>
  <si>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</si>
  <si>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</si>
  <si>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</si>
  <si>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</si>
  <si>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</si>
  <si>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</si>
  <si>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</si>
  <si>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1. AIChE's DIPPR</t>
  </si>
  <si>
    <t>Home Page - DIPPR801 (aiche.org)</t>
  </si>
  <si>
    <t>2. NIST adsorption database</t>
  </si>
  <si>
    <t>NIST Data Resources for Adsorption Science and Technology</t>
  </si>
  <si>
    <t>Boolean</t>
  </si>
  <si>
    <t>numTanks</t>
  </si>
  <si>
    <t>The raffinate product mole fraction of ith component at the raffinate product pressure; the first component is the light key</t>
  </si>
  <si>
    <t>yRaC1</t>
  </si>
  <si>
    <t>yRaC2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</si>
  <si>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</si>
  <si>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</si>
  <si>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</si>
  <si>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</si>
  <si>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</si>
  <si>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</si>
  <si>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</si>
  <si>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</si>
  <si>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</si>
  <si>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</si>
  <si>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</si>
  <si>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</si>
  <si>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Initial development of the "cycle_organization.xlsm" sheet.</t>
  </si>
  <si>
    <t>REV. NO.1 (6/8/2022)</t>
  </si>
  <si>
    <t>Pressure Swing Adsorption Process Flow Diagram (PFD)</t>
  </si>
  <si>
    <t>Adsorbate Information</t>
  </si>
  <si>
    <t>Physical Property Reference Sources</t>
  </si>
  <si>
    <t>Assumptions</t>
  </si>
  <si>
    <t>1. Make sure that the light key is defined as the first adsorbate species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</si>
</sst>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u/>
      <sz val="11"/>
      <color theme="10"/>
      <name val="Consolas"/>
      <family val="3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7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3" borderId="6" xfId="0" applyFont="1" applyFill="1" applyBorder="1" applyAlignment="1" applyProtection="1">
      <alignment horizontal="center" vertical="center"/>
    </xf>
    <xf numFmtId="0" fontId="4" fillId="3" borderId="0" xfId="0" applyFont="1" applyFill="1" applyBorder="1" applyAlignment="1">
      <alignment horizontal="center" vertical="center"/>
    </xf>
    <xf numFmtId="0" fontId="4" fillId="3" borderId="12" xfId="0" applyFont="1" applyFill="1" applyBorder="1" applyAlignment="1" applyProtection="1">
      <alignment horizontal="center" vertical="center"/>
    </xf>
    <xf numFmtId="0" fontId="4" fillId="3" borderId="10" xfId="0" applyFont="1" applyFill="1" applyBorder="1" applyAlignment="1" applyProtection="1">
      <alignment horizontal="left" vertical="center" indent="1"/>
    </xf>
    <xf numFmtId="0" fontId="4" fillId="3" borderId="10" xfId="0" applyFont="1" applyFill="1" applyBorder="1" applyAlignment="1" applyProtection="1">
      <alignment horizontal="center" vertical="center"/>
    </xf>
    <xf numFmtId="0" fontId="4" fillId="3" borderId="11" xfId="0" applyFont="1" applyFill="1" applyBorder="1" applyAlignment="1" applyProtection="1">
      <alignment horizontal="center" vertical="center"/>
    </xf>
    <xf numFmtId="0" fontId="4" fillId="3" borderId="11" xfId="0" applyFont="1" applyFill="1" applyBorder="1" applyAlignment="1" applyProtection="1">
      <alignment horizontal="left" vertical="center" wrapText="1" indent="1"/>
    </xf>
    <xf numFmtId="0" fontId="4" fillId="4" borderId="11" xfId="0" applyFont="1" applyFill="1" applyBorder="1" applyAlignment="1" applyProtection="1">
      <alignment horizontal="right" vertical="center"/>
    </xf>
    <xf numFmtId="0" fontId="4" fillId="4" borderId="13" xfId="0" applyFont="1" applyFill="1" applyBorder="1" applyAlignment="1" applyProtection="1">
      <alignment horizontal="right" vertical="center"/>
    </xf>
    <xf numFmtId="0" fontId="4" fillId="4" borderId="13" xfId="0" applyFont="1" applyFill="1" applyBorder="1" applyAlignment="1" applyProtection="1">
      <alignment horizontal="left" vertical="center"/>
    </xf>
    <xf numFmtId="0" fontId="4" fillId="4" borderId="13" xfId="0" applyFont="1" applyFill="1" applyBorder="1" applyAlignment="1" applyProtection="1">
      <alignment horizontal="center" vertical="center"/>
    </xf>
    <xf numFmtId="0" fontId="4" fillId="4" borderId="3" xfId="0" applyFont="1" applyFill="1" applyBorder="1" applyAlignment="1" applyProtection="1">
      <alignment horizontal="right" vertical="center"/>
    </xf>
    <xf numFmtId="0" fontId="4" fillId="4" borderId="0" xfId="0" applyFont="1" applyFill="1" applyBorder="1" applyAlignment="1" applyProtection="1">
      <alignment horizontal="right" vertical="center"/>
    </xf>
    <xf numFmtId="0" fontId="4" fillId="4" borderId="0" xfId="0" applyFont="1" applyFill="1" applyBorder="1" applyAlignment="1" applyProtection="1">
      <alignment horizontal="center" vertical="center"/>
    </xf>
    <xf numFmtId="0" fontId="4" fillId="4" borderId="4" xfId="0" applyFont="1" applyFill="1" applyBorder="1" applyAlignment="1" applyProtection="1">
      <alignment horizontal="right" vertical="center"/>
    </xf>
    <xf numFmtId="0" fontId="4" fillId="4" borderId="2" xfId="0" applyFont="1" applyFill="1" applyBorder="1" applyAlignment="1" applyProtection="1">
      <alignment horizontal="right" vertical="center"/>
    </xf>
    <xf numFmtId="0" fontId="4" fillId="4" borderId="2" xfId="0" applyFont="1" applyFill="1" applyBorder="1" applyAlignment="1" applyProtection="1">
      <alignment horizontal="left" vertical="center"/>
    </xf>
    <xf numFmtId="0" fontId="4" fillId="4" borderId="2" xfId="0" applyFont="1" applyFill="1" applyBorder="1" applyAlignment="1" applyProtection="1">
      <alignment horizontal="center" vertical="center"/>
    </xf>
    <xf numFmtId="0" fontId="4" fillId="0" borderId="0" xfId="0" applyFont="1"/>
    <xf numFmtId="0" fontId="4" fillId="4" borderId="7" xfId="0" applyFont="1" applyFill="1" applyBorder="1"/>
    <xf numFmtId="0" fontId="4" fillId="4" borderId="8" xfId="0" applyFont="1" applyFill="1" applyBorder="1"/>
    <xf numFmtId="0" fontId="4" fillId="3" borderId="14" xfId="0" applyFont="1" applyFill="1" applyBorder="1"/>
    <xf numFmtId="0" fontId="7" fillId="4" borderId="6" xfId="0" applyFont="1" applyFill="1" applyBorder="1" applyAlignment="1">
      <alignment vertical="center"/>
    </xf>
    <xf numFmtId="0" fontId="4" fillId="4" borderId="7" xfId="0" applyFont="1" applyFill="1" applyBorder="1" applyAlignment="1">
      <alignment vertical="center"/>
    </xf>
    <xf numFmtId="0" fontId="4" fillId="3" borderId="3" xfId="0" applyFont="1" applyFill="1" applyBorder="1" applyAlignment="1">
      <alignment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 applyProtection="1">
      <alignment horizontal="center" vertical="center"/>
    </xf>
    <xf numFmtId="0" fontId="8" fillId="5" borderId="9" xfId="0" applyFont="1" applyFill="1" applyBorder="1" applyAlignment="1" applyProtection="1">
      <alignment horizontal="center" vertical="center"/>
    </xf>
    <xf numFmtId="0" fontId="8" fillId="5" borderId="9" xfId="0" applyFont="1" applyFill="1" applyBorder="1" applyAlignment="1" applyProtection="1">
      <alignment horizontal="center" vertical="center" wrapText="1"/>
    </xf>
    <xf numFmtId="0" fontId="8" fillId="5" borderId="4" xfId="0" applyFont="1" applyFill="1" applyBorder="1" applyAlignment="1" applyProtection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 applyProtection="1">
      <alignment vertical="center"/>
    </xf>
    <xf numFmtId="0" fontId="4" fillId="0" borderId="0" xfId="1" applyFont="1" applyAlignment="1" applyProtection="1">
      <alignment vertical="center" wrapText="1"/>
    </xf>
    <xf numFmtId="0" fontId="4" fillId="0" borderId="0" xfId="1" applyFont="1" applyAlignment="1" applyProtection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 applyProtection="1">
      <alignment horizontal="center" vertical="center"/>
    </xf>
    <xf numFmtId="0" fontId="3" fillId="0" borderId="1" xfId="1" applyFont="1" applyBorder="1" applyAlignment="1" applyProtection="1">
      <alignment horizontal="left" vertical="center" wrapText="1" indent="1"/>
    </xf>
    <xf numFmtId="14" fontId="3" fillId="0" borderId="1" xfId="1" applyNumberFormat="1" applyFont="1" applyBorder="1" applyAlignment="1" applyProtection="1">
      <alignment horizontal="center" vertical="center"/>
    </xf>
    <xf numFmtId="0" fontId="3" fillId="0" borderId="1" xfId="1" applyFont="1" applyBorder="1" applyAlignment="1" applyProtection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10" fillId="3" borderId="0" xfId="2" applyFill="1"/>
    <xf numFmtId="0" fontId="18" fillId="3" borderId="0" xfId="2" applyFont="1" applyFill="1"/>
    <xf numFmtId="0" fontId="6" fillId="3" borderId="1" xfId="1" applyFont="1" applyFill="1" applyBorder="1" applyAlignment="1" applyProtection="1">
      <alignment horizontal="center" vertical="center" wrapText="1"/>
    </xf>
    <xf numFmtId="0" fontId="4" fillId="3" borderId="1" xfId="0" applyFont="1" applyFill="1" applyBorder="1" applyAlignment="1" applyProtection="1">
      <alignment horizontal="center" vertical="center"/>
    </xf>
    <xf numFmtId="0" fontId="4" fillId="4" borderId="0" xfId="0" applyFont="1" applyFill="1" applyBorder="1" applyAlignment="1" applyProtection="1">
      <alignment horizontal="left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3" borderId="0" xfId="0" applyFont="1" applyFill="1"/>
    <xf numFmtId="0" fontId="5" fillId="0" borderId="2" xfId="1" applyFont="1" applyBorder="1" applyAlignment="1" applyProtection="1">
      <alignment horizontal="center" vertical="center"/>
    </xf>
    <xf numFmtId="0" fontId="6" fillId="4" borderId="10" xfId="0" applyFont="1" applyFill="1" applyBorder="1" applyAlignment="1" applyProtection="1">
      <alignment horizontal="center" vertical="center"/>
    </xf>
    <xf numFmtId="0" fontId="6" fillId="4" borderId="12" xfId="0" applyFont="1" applyFill="1" applyBorder="1" applyAlignment="1" applyProtection="1">
      <alignment horizontal="center" vertical="center"/>
    </xf>
    <xf numFmtId="0" fontId="6" fillId="4" borderId="14" xfId="0" applyFont="1" applyFill="1" applyBorder="1" applyAlignment="1" applyProtection="1">
      <alignment horizontal="center" vertical="center"/>
    </xf>
    <xf numFmtId="0" fontId="6" fillId="4" borderId="5" xfId="0" applyFont="1" applyFill="1" applyBorder="1" applyAlignment="1" applyProtection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80680</xdr:colOff>
      <xdr:row>4</xdr:row>
      <xdr:rowOff>0</xdr:rowOff>
    </xdr:from>
    <xdr:to>
      <xdr:col>5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1671"/>
          <a:ext cx="6129194" cy="559218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89" name="Button 1" hidden="1">
                <a:extLst>
                  <a:ext uri="{63B3BB69-23CF-44E3-9099-C40C66FF867C}">
                    <a14:compatExt spid="_x0000_s89089"/>
                  </a:ext>
                  <a:ext uri="{FF2B5EF4-FFF2-40B4-BE49-F238E27FC236}">
                    <a16:creationId xmlns:a16="http://schemas.microsoft.com/office/drawing/2014/main" id="{00000000-0008-0000-0200-0000015C0100}"/>
                  </a:ext>
                </a:extLst>
              </xdr:cNvPr>
              <xdr:cNvSpPr/>
            </xdr:nvSpPr>
            <xdr:spPr bwMode="auto">
              <a:xfrm>
                <a:off x="1505272" y="84875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0" name="Button 2" hidden="1">
                <a:extLst>
                  <a:ext uri="{63B3BB69-23CF-44E3-9099-C40C66FF867C}">
                    <a14:compatExt spid="_x0000_s89090"/>
                  </a:ext>
                  <a:ext uri="{FF2B5EF4-FFF2-40B4-BE49-F238E27FC236}">
                    <a16:creationId xmlns:a16="http://schemas.microsoft.com/office/drawing/2014/main" id="{00000000-0008-0000-0200-0000025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1" name="Button 3" hidden="1">
                <a:extLst>
                  <a:ext uri="{63B3BB69-23CF-44E3-9099-C40C66FF867C}">
                    <a14:compatExt spid="_x0000_s89091"/>
                  </a:ext>
                  <a:ext uri="{FF2B5EF4-FFF2-40B4-BE49-F238E27FC236}">
                    <a16:creationId xmlns:a16="http://schemas.microsoft.com/office/drawing/2014/main" id="{00000000-0008-0000-0200-0000035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80680</xdr:colOff>
      <xdr:row>4</xdr:row>
      <xdr:rowOff>0</xdr:rowOff>
    </xdr:from>
    <xdr:to>
      <xdr:col>5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1671"/>
          <a:ext cx="6129194" cy="559218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69" name="Button 1" hidden="1">
                <a:extLst>
                  <a:ext uri="{63B3BB69-23CF-44E3-9099-C40C66FF867C}">
                    <a14:compatExt spid="_x0000_s83969"/>
                  </a:ext>
                  <a:ext uri="{FF2B5EF4-FFF2-40B4-BE49-F238E27FC236}">
                    <a16:creationId xmlns:a16="http://schemas.microsoft.com/office/drawing/2014/main" id="{00000000-0008-0000-0300-000001480100}"/>
                  </a:ext>
                </a:extLst>
              </xdr:cNvPr>
              <xdr:cNvSpPr/>
            </xdr:nvSpPr>
            <xdr:spPr bwMode="auto">
              <a:xfrm>
                <a:off x="1505272" y="84875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0" name="Button 2" hidden="1">
                <a:extLst>
                  <a:ext uri="{63B3BB69-23CF-44E3-9099-C40C66FF867C}">
                    <a14:compatExt spid="_x0000_s83970"/>
                  </a:ext>
                  <a:ext uri="{FF2B5EF4-FFF2-40B4-BE49-F238E27FC236}">
                    <a16:creationId xmlns:a16="http://schemas.microsoft.com/office/drawing/2014/main" id="{00000000-0008-0000-0300-0000024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1" name="Button 3" hidden="1">
                <a:extLst>
                  <a:ext uri="{63B3BB69-23CF-44E3-9099-C40C66FF867C}">
                    <a14:compatExt spid="_x0000_s83971"/>
                  </a:ext>
                  <a:ext uri="{FF2B5EF4-FFF2-40B4-BE49-F238E27FC236}">
                    <a16:creationId xmlns:a16="http://schemas.microsoft.com/office/drawing/2014/main" id="{00000000-0008-0000-0300-0000034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403412</xdr:colOff>
      <xdr:row>2</xdr:row>
      <xdr:rowOff>107576</xdr:rowOff>
    </xdr:from>
    <xdr:to>
      <xdr:col>17</xdr:col>
      <xdr:colOff>188258</xdr:colOff>
      <xdr:row>51</xdr:row>
      <xdr:rowOff>17930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403412" y="473336"/>
          <a:ext cx="10148046" cy="887147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kim333/Documents/GitHub/toPSAil/4_example/development/4_cycle_organization/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kim333/Documents/GitHub/toPSAil/4_example/development/3_unit_properties/3.1_adsorber_properti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Step Durations"/>
      <sheetName val="Step Events"/>
      <sheetName val="Adsorber Valves"/>
      <sheetName val="Flowsheet Valves"/>
      <sheetName val="Help"/>
      <sheetName val="PFD"/>
      <sheetName val="Cv"/>
      <sheetName val="maintenance check list"/>
      <sheetName val="Data(Transposed)"/>
      <sheetName val="Data(Test)"/>
    </sheetNames>
    <sheetDataSet>
      <sheetData sheetId="0">
        <row r="4">
          <cell r="D4" t="str">
            <v>REV. NO.1 (6/8/2022)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Geometry"/>
      <sheetName val="Adsorber Packing"/>
      <sheetName val="Adsorber Design"/>
      <sheetName val="Physical Properties"/>
      <sheetName val="Help"/>
      <sheetName val="PFD"/>
      <sheetName val="maintenance check list"/>
      <sheetName val="Data(Transposed)"/>
      <sheetName val="Data(Test)"/>
    </sheetNames>
    <sheetDataSet>
      <sheetData sheetId="0">
        <row r="4">
          <cell r="J4" t="str">
            <v>Scott Research Group (jkscottresearchgroup.com)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3218B71-9068-4A78-AF7D-3B58ECE84D95}" name="Table110823" displayName="Table110823" ref="B9:K11" totalsRowShown="0" headerRowDxfId="39" dataDxfId="37" headerRowBorderDxfId="38" tableBorderDxfId="36" totalsRowBorderDxfId="35">
  <autoFilter ref="B9:K11" xr:uid="{B089C5C3-2CCE-4800-96CA-2131BB6E3E4F}"/>
  <tableColumns count="10">
    <tableColumn id="1" xr3:uid="{F0083DBC-BA3F-499A-AB41-58DC14E7EC9B}" name="Variable" dataDxfId="34"/>
    <tableColumn id="4" xr3:uid="{2D9C78CB-0A98-4E06-A17A-328F6643A2AB}" name="Value" dataDxfId="33"/>
    <tableColumn id="5" xr3:uid="{2D40A785-0BF0-4D20-A6A3-606AF3EAEA1D}" name="Unit" dataDxfId="32"/>
    <tableColumn id="6" xr3:uid="{47E47CE1-84EE-4BBF-AF16-7CD09E32C8D5}" name="Comparisons" dataDxfId="31"/>
    <tableColumn id="7" xr3:uid="{1E01755C-F10B-47AF-87D2-261FE9E5C304}" name="Variable Type" dataDxfId="30"/>
    <tableColumn id="8" xr3:uid="{A1508BC9-F251-4C78-AFE1-9780568F4570}" name="Dependency" dataDxfId="29"/>
    <tableColumn id="12" xr3:uid="{483B9187-B663-438A-A6C2-F92DD2C5981E}" name="Test 1" dataDxfId="28"/>
    <tableColumn id="10" xr3:uid="{B0989B53-E4FA-42D2-AC40-B81EF1952308}" name="Test 2" dataDxfId="27"/>
    <tableColumn id="2" xr3:uid="{3B51E6F8-78E0-4FDA-AE7D-0D8F50BB7A78}" name="Test 3" dataDxfId="26"/>
    <tableColumn id="9" xr3:uid="{87AE414E-FFE1-4067-A57C-04659EEE8430}" name="Description" dataDxfId="2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9958D1E-D60C-4D61-BB3C-0C1DDFB07B7A}" name="Table11082" displayName="Table11082" ref="B9:K12" totalsRowShown="0" headerRowDxfId="24" dataDxfId="22" headerRowBorderDxfId="23" tableBorderDxfId="21" totalsRowBorderDxfId="20">
  <autoFilter ref="B9:K12" xr:uid="{B089C5C3-2CCE-4800-96CA-2131BB6E3E4F}"/>
  <tableColumns count="10">
    <tableColumn id="1" xr3:uid="{8CA72147-4D79-4652-A9E9-87D51653DA84}" name="Variable" dataDxfId="19"/>
    <tableColumn id="4" xr3:uid="{E819EB63-CB5D-404C-B2BA-29FF258DB4F8}" name="Value" dataDxfId="18"/>
    <tableColumn id="5" xr3:uid="{1794E572-D285-47C1-B741-27E454FDF4FD}" name="Unit" dataDxfId="17"/>
    <tableColumn id="6" xr3:uid="{7F8A147E-F024-4089-965F-D6A02CD18DC6}" name="Comparisons" dataDxfId="16"/>
    <tableColumn id="7" xr3:uid="{59037F64-D8B7-466E-B9B6-97F14C2CBDD9}" name="Variable Type" dataDxfId="15"/>
    <tableColumn id="8" xr3:uid="{B3A5DFE8-8D61-4FFC-837B-F606356A99BD}" name="Dependency" dataDxfId="14"/>
    <tableColumn id="12" xr3:uid="{6C20D82D-93BB-42A1-A91B-759FC99CBE8C}" name="Test 1" dataDxfId="13"/>
    <tableColumn id="10" xr3:uid="{87C7F8B7-5A99-489D-AB7E-B6E5697C481A}" name="Test 2" dataDxfId="12"/>
    <tableColumn id="2" xr3:uid="{55413903-6AA5-4148-81F3-1F6AD647C108}" name="Test 3" dataDxfId="11"/>
    <tableColumn id="9" xr3:uid="{48D67C6B-2FDE-4718-AF32-11DEAACCFD0C}" name="Description" dataDxfId="1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9" dT="2020-11-26T20:01:15.60" personId="{7F98AE94-13FB-49E1-9262-339C11E0EDB4}" id="{B1843E07-2516-483D-A63D-A86B5B904914}">
    <text>place 1 if we want to keep the row when re-initializing. Otherwise, leave it as a blank.</text>
  </threadedComment>
  <threadedComment ref="I9" dT="2020-11-26T18:35:03.27" personId="{7F98AE94-13FB-49E1-9262-339C11E0EDB4}" id="{6888000F-CF93-4D02-AF13-97DC6B0D5C73}">
    <text>supply a value greater than 1 if you want to duplicate the row</text>
  </threadedComment>
  <threadedComment ref="J9" dT="2020-11-28T01:53:47.29" personId="{7F98AE94-13FB-49E1-9262-339C11E0EDB4}" id="{D0BD17CB-ADC0-404B-8A5E-43BEF3ADF85E}">
    <text>1 means we need to have the variable specified; 0 means we need not have the variable specified</text>
  </threadedComment>
  <threadedComment ref="J9" dT="2020-11-28T01:56:42.32" personId="{7F98AE94-13FB-49E1-9262-339C11E0EDB4}" id="{DB8CF1FD-2A5B-4252-9A68-3007A5A24AB0}" parentId="{D0BD17CB-ADC0-404B-8A5E-43BEF3ADF85E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H9" dT="2020-11-26T20:01:15.60" personId="{7F98AE94-13FB-49E1-9262-339C11E0EDB4}" id="{1A026445-FB9B-4762-B965-16991A5C1815}">
    <text>place 1 if we want to keep the row when re-initializing. Otherwise, leave it as a blank.</text>
  </threadedComment>
  <threadedComment ref="I9" dT="2020-11-26T18:35:03.27" personId="{7F98AE94-13FB-49E1-9262-339C11E0EDB4}" id="{D80DBB20-50CB-4F00-9538-DAD0AE44E42D}">
    <text>supply a value greater than 1 if you want to duplicate the row</text>
  </threadedComment>
  <threadedComment ref="J9" dT="2020-11-28T01:53:47.29" personId="{7F98AE94-13FB-49E1-9262-339C11E0EDB4}" id="{80C7D8EB-2E40-4EC8-9709-9973ADEE9EBD}">
    <text>1 means we need to have the variable specified; 0 means we need not have the variable specified</text>
  </threadedComment>
  <threadedComment ref="J9" dT="2020-11-28T01:56:42.32" personId="{7F98AE94-13FB-49E1-9262-339C11E0EDB4}" id="{42C1F757-9235-410D-B910-44E8C027E869}" parentId="{80C7D8EB-2E40-4EC8-9709-9973ADEE9EBD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https://adsorption.nist.gov/index.php" TargetMode="External"/><Relationship Id="rId1" Type="http://schemas.openxmlformats.org/officeDocument/2006/relationships/hyperlink" Target="https://dippr.aiche.org/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="70" zoomScaleNormal="85" zoomScaleSheetLayoutView="70" workbookViewId="0">
      <selection activeCell="D4" sqref="D4:J4"/>
    </sheetView>
  </sheetViews>
  <sheetFormatPr defaultColWidth="0" defaultRowHeight="14.4" zeroHeight="1"/>
  <cols>
    <col min="1" max="2" width="3.33203125" style="38" hidden="1" customWidth="1"/>
    <col min="3" max="3" width="2.44140625" style="38" customWidth="1"/>
    <col min="4" max="4" width="13.88671875" style="38" customWidth="1"/>
    <col min="5" max="5" width="51.33203125" style="39" bestFit="1" customWidth="1"/>
    <col min="6" max="6" width="15.77734375" style="40" bestFit="1" customWidth="1"/>
    <col min="7" max="9" width="13.33203125" style="38" customWidth="1"/>
    <col min="10" max="10" width="48.88671875" style="38" customWidth="1"/>
    <col min="11" max="11" width="2.44140625" style="38" customWidth="1"/>
    <col min="12" max="12" width="0" style="38" hidden="1" customWidth="1"/>
    <col min="13" max="16384" width="9" style="38" hidden="1"/>
  </cols>
  <sheetData>
    <row r="3" spans="4:10"/>
    <row r="4" spans="4:10" ht="18">
      <c r="D4" s="57" t="s">
        <v>113</v>
      </c>
      <c r="E4" s="58"/>
      <c r="F4" s="59"/>
      <c r="G4" s="60"/>
      <c r="H4" s="60"/>
      <c r="I4" s="60"/>
      <c r="J4" s="41" t="s">
        <v>83</v>
      </c>
    </row>
    <row r="5" spans="4:10" ht="36">
      <c r="D5" s="68" t="s">
        <v>36</v>
      </c>
      <c r="E5" s="68"/>
      <c r="F5" s="68"/>
      <c r="G5" s="68"/>
      <c r="H5" s="68"/>
      <c r="I5" s="68"/>
      <c r="J5" s="68"/>
    </row>
    <row r="6" spans="4:10" ht="18">
      <c r="D6" s="51" t="s">
        <v>30</v>
      </c>
      <c r="E6" s="51" t="s">
        <v>111</v>
      </c>
      <c r="F6" s="51" t="s">
        <v>31</v>
      </c>
      <c r="G6" s="51" t="s">
        <v>32</v>
      </c>
      <c r="H6" s="51" t="s">
        <v>33</v>
      </c>
      <c r="I6" s="51" t="s">
        <v>34</v>
      </c>
      <c r="J6" s="51" t="s">
        <v>35</v>
      </c>
    </row>
    <row r="7" spans="4:10" ht="36">
      <c r="D7" s="42">
        <v>1</v>
      </c>
      <c r="E7" s="54" t="s">
        <v>112</v>
      </c>
      <c r="F7" s="55">
        <v>44720</v>
      </c>
      <c r="G7" s="56" t="s">
        <v>37</v>
      </c>
      <c r="H7" s="42"/>
      <c r="I7" s="42"/>
      <c r="J7" s="43"/>
    </row>
    <row r="8" spans="4:10" ht="18">
      <c r="D8" s="42">
        <v>2</v>
      </c>
      <c r="E8" s="43"/>
      <c r="F8" s="44"/>
      <c r="G8" s="42"/>
      <c r="H8" s="42"/>
      <c r="I8" s="42"/>
      <c r="J8" s="43"/>
    </row>
    <row r="9" spans="4:10" ht="18">
      <c r="D9" s="42">
        <v>3</v>
      </c>
      <c r="E9" s="43"/>
      <c r="F9" s="44"/>
      <c r="G9" s="42"/>
      <c r="H9" s="42"/>
      <c r="I9" s="42"/>
      <c r="J9" s="43"/>
    </row>
    <row r="10" spans="4:10" ht="18">
      <c r="D10" s="42">
        <v>4</v>
      </c>
      <c r="E10" s="43"/>
      <c r="F10" s="44"/>
      <c r="G10" s="42"/>
      <c r="H10" s="42"/>
      <c r="I10" s="42"/>
      <c r="J10" s="43"/>
    </row>
    <row r="11" spans="4:10" ht="18">
      <c r="D11" s="42">
        <v>5</v>
      </c>
      <c r="E11" s="43"/>
      <c r="F11" s="44"/>
      <c r="G11" s="42"/>
      <c r="H11" s="42"/>
      <c r="I11" s="42"/>
      <c r="J11" s="43"/>
    </row>
    <row r="12" spans="4:10" ht="18">
      <c r="D12" s="42">
        <v>6</v>
      </c>
      <c r="E12" s="43"/>
      <c r="F12" s="44"/>
      <c r="G12" s="42"/>
      <c r="H12" s="42"/>
      <c r="I12" s="42"/>
      <c r="J12" s="43"/>
    </row>
    <row r="13" spans="4:10" ht="18">
      <c r="D13" s="42">
        <v>7</v>
      </c>
      <c r="E13" s="43"/>
      <c r="F13" s="44"/>
      <c r="G13" s="42"/>
      <c r="H13" s="42"/>
      <c r="I13" s="42"/>
      <c r="J13" s="43"/>
    </row>
    <row r="14" spans="4:10" ht="18">
      <c r="D14" s="42">
        <v>8</v>
      </c>
      <c r="E14" s="43"/>
      <c r="F14" s="44"/>
      <c r="G14" s="42"/>
      <c r="H14" s="42"/>
      <c r="I14" s="42"/>
      <c r="J14" s="43"/>
    </row>
    <row r="15" spans="4:10" ht="18">
      <c r="D15" s="42">
        <v>9</v>
      </c>
      <c r="E15" s="43"/>
      <c r="F15" s="44"/>
      <c r="G15" s="42"/>
      <c r="H15" s="42"/>
      <c r="I15" s="42"/>
      <c r="J15" s="43"/>
    </row>
    <row r="16" spans="4:10" ht="18">
      <c r="D16" s="42">
        <v>10</v>
      </c>
      <c r="E16" s="43"/>
      <c r="F16" s="44"/>
      <c r="G16" s="42"/>
      <c r="H16" s="42"/>
      <c r="I16" s="42"/>
      <c r="J16" s="4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886718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66</v>
      </c>
      <c r="E1" t="s">
        <v>67</v>
      </c>
      <c r="F1" t="s">
        <v>68</v>
      </c>
      <c r="G1" s="1" t="s">
        <v>69</v>
      </c>
      <c r="H1" s="1" t="s">
        <v>70</v>
      </c>
      <c r="I1" s="1" t="s">
        <v>71</v>
      </c>
      <c r="J1" s="7" t="s">
        <v>73</v>
      </c>
      <c r="K1" s="7" t="s">
        <v>6</v>
      </c>
      <c r="L1" t="s">
        <v>81</v>
      </c>
      <c r="M1" t="s">
        <v>78</v>
      </c>
      <c r="N1" t="s">
        <v>79</v>
      </c>
      <c r="O1" t="s">
        <v>82</v>
      </c>
      <c r="P1" t="s">
        <v>87</v>
      </c>
      <c r="Q1" t="s">
        <v>90</v>
      </c>
      <c r="R1" t="s">
        <v>95</v>
      </c>
      <c r="S1" t="s">
        <v>96</v>
      </c>
      <c r="T1" t="s">
        <v>102</v>
      </c>
      <c r="U1" t="s">
        <v>103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104</v>
      </c>
    </row>
    <row r="4" spans="1:21">
      <c r="A4" t="s">
        <v>80</v>
      </c>
      <c r="B4" t="s">
        <v>21</v>
      </c>
      <c r="C4" t="s">
        <v>43</v>
      </c>
      <c r="D4" t="s">
        <v>75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105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106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107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108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109</v>
      </c>
    </row>
    <row r="9" spans="1:21">
      <c r="B9" t="s">
        <v>88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110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100</v>
      </c>
    </row>
    <row r="12" spans="1:21">
      <c r="B12" t="s">
        <v>89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101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764C2-6778-4D03-9018-7EF3707AFEB7}">
  <sheetPr codeName="Sheet23">
    <tabColor rgb="FF00B050"/>
  </sheetPr>
  <dimension ref="A1:K11"/>
  <sheetViews>
    <sheetView showGridLines="0" topLeftCell="B2" zoomScale="85" zoomScaleNormal="85" zoomScaleSheetLayoutView="85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4" customHeight="1" zeroHeight="1"/>
  <cols>
    <col min="1" max="1" width="3.77734375" style="3" hidden="1" customWidth="1"/>
    <col min="2" max="2" width="17" style="3" bestFit="1" customWidth="1"/>
    <col min="3" max="3" width="22.21875" style="3" customWidth="1"/>
    <col min="4" max="4" width="20" style="3" customWidth="1"/>
    <col min="5" max="5" width="24.21875" style="3" customWidth="1"/>
    <col min="6" max="6" width="17.33203125" style="3" customWidth="1"/>
    <col min="7" max="7" width="13.109375" style="3" customWidth="1"/>
    <col min="8" max="10" width="15" style="3" customWidth="1"/>
    <col min="11" max="11" width="57.44140625" style="3" customWidth="1"/>
    <col min="12" max="16384" width="8.88671875" style="3" hidden="1"/>
  </cols>
  <sheetData>
    <row r="1" spans="2:11" hidden="1">
      <c r="B1" s="31"/>
      <c r="C1" s="31"/>
      <c r="D1" s="31"/>
      <c r="E1" s="31"/>
      <c r="F1" s="31"/>
      <c r="G1" s="31"/>
      <c r="H1" s="31"/>
      <c r="I1" s="31"/>
      <c r="J1" s="31"/>
      <c r="K1" s="31"/>
    </row>
    <row r="2" spans="2:11">
      <c r="B2" s="46" t="str">
        <f>'Revision History'!$D$4</f>
        <v>REV. NO.1 (6/8/2022)</v>
      </c>
      <c r="C2" s="47"/>
      <c r="D2" s="47"/>
      <c r="E2" s="47"/>
      <c r="F2" s="47"/>
      <c r="G2" s="47"/>
      <c r="H2" s="47"/>
      <c r="I2" s="47"/>
      <c r="J2" s="47"/>
      <c r="K2" s="48" t="str">
        <f>'Revision History'!$J$4</f>
        <v>Scott Research Group (jkscottresearchgroup.com)</v>
      </c>
    </row>
    <row r="3" spans="2:11" ht="18">
      <c r="B3" s="69" t="s">
        <v>29</v>
      </c>
      <c r="C3" s="69"/>
      <c r="D3" s="69"/>
      <c r="E3" s="69"/>
      <c r="F3" s="69"/>
      <c r="G3" s="69"/>
      <c r="H3" s="69"/>
      <c r="I3" s="69"/>
      <c r="J3" s="69"/>
      <c r="K3" s="69"/>
    </row>
    <row r="4" spans="2:11" ht="14.4" customHeight="1">
      <c r="B4" s="13"/>
      <c r="C4" s="14"/>
      <c r="D4" s="15"/>
      <c r="E4" s="16"/>
      <c r="F4" s="16"/>
      <c r="G4" s="16"/>
      <c r="H4" s="16"/>
      <c r="I4" s="16"/>
      <c r="J4" s="16"/>
      <c r="K4" s="70" t="str">
        <f>IF(COUNTIF(Table110823[Test 3],1)=COUNTA(Table110823[Value]),"Ready","Not Ready")</f>
        <v>Ready</v>
      </c>
    </row>
    <row r="5" spans="2:11" ht="14.4" customHeight="1">
      <c r="B5" s="17"/>
      <c r="C5" s="18"/>
      <c r="D5" s="53"/>
      <c r="E5" s="53"/>
      <c r="F5" s="53"/>
      <c r="G5" s="53"/>
      <c r="H5" s="19"/>
      <c r="I5" s="53"/>
      <c r="J5" s="53"/>
      <c r="K5" s="71"/>
    </row>
    <row r="6" spans="2:11" ht="14.4" customHeight="1">
      <c r="B6" s="17"/>
      <c r="C6" s="18"/>
      <c r="D6" s="53"/>
      <c r="E6" s="53"/>
      <c r="F6" s="53"/>
      <c r="G6" s="53"/>
      <c r="H6" s="19"/>
      <c r="I6" s="53"/>
      <c r="J6" s="53"/>
      <c r="K6" s="71"/>
    </row>
    <row r="7" spans="2:11" ht="14.4" customHeight="1">
      <c r="B7" s="17"/>
      <c r="C7" s="18"/>
      <c r="D7" s="53"/>
      <c r="E7" s="53"/>
      <c r="F7" s="53"/>
      <c r="G7" s="53"/>
      <c r="H7" s="19"/>
      <c r="I7" s="53"/>
      <c r="J7" s="53"/>
      <c r="K7" s="71"/>
    </row>
    <row r="8" spans="2:11" ht="14.4" customHeight="1">
      <c r="B8" s="20"/>
      <c r="C8" s="21"/>
      <c r="D8" s="22"/>
      <c r="E8" s="22"/>
      <c r="F8" s="22"/>
      <c r="G8" s="22"/>
      <c r="H8" s="23"/>
      <c r="I8" s="22"/>
      <c r="J8" s="22"/>
      <c r="K8" s="72"/>
    </row>
    <row r="9" spans="2:11">
      <c r="B9" s="32" t="s">
        <v>0</v>
      </c>
      <c r="C9" s="33" t="s">
        <v>1</v>
      </c>
      <c r="D9" s="33" t="s">
        <v>2</v>
      </c>
      <c r="E9" s="33" t="s">
        <v>14</v>
      </c>
      <c r="F9" s="33" t="s">
        <v>62</v>
      </c>
      <c r="G9" s="34" t="s">
        <v>38</v>
      </c>
      <c r="H9" s="34" t="s">
        <v>63</v>
      </c>
      <c r="I9" s="33" t="s">
        <v>64</v>
      </c>
      <c r="J9" s="35" t="s">
        <v>72</v>
      </c>
      <c r="K9" s="35" t="s">
        <v>12</v>
      </c>
    </row>
    <row r="10" spans="2:11" ht="28.8">
      <c r="B10" s="4" t="s">
        <v>5</v>
      </c>
      <c r="C10" s="36">
        <v>2</v>
      </c>
      <c r="D10" s="2" t="s">
        <v>3</v>
      </c>
      <c r="E10" s="52" t="s">
        <v>17</v>
      </c>
      <c r="F10" s="52" t="s">
        <v>7</v>
      </c>
      <c r="G10" s="2" t="s">
        <v>39</v>
      </c>
      <c r="H10" s="52">
        <v>1</v>
      </c>
      <c r="I10" s="52">
        <v>1</v>
      </c>
      <c r="J10" s="6">
        <v>1</v>
      </c>
      <c r="K10" s="5" t="s">
        <v>65</v>
      </c>
    </row>
    <row r="11" spans="2:11">
      <c r="B11" s="8" t="s">
        <v>76</v>
      </c>
      <c r="C11" s="37"/>
      <c r="D11" s="9"/>
      <c r="E11" s="10"/>
      <c r="F11" s="10"/>
      <c r="G11" s="9"/>
      <c r="H11" s="10">
        <v>1</v>
      </c>
      <c r="I11" s="10">
        <v>1</v>
      </c>
      <c r="J11" s="11">
        <v>0</v>
      </c>
      <c r="K11" s="12" t="s">
        <v>77</v>
      </c>
    </row>
  </sheetData>
  <sheetProtection selectLockedCells="1"/>
  <mergeCells count="2">
    <mergeCell ref="B3:K3"/>
    <mergeCell ref="K4:K8"/>
  </mergeCells>
  <conditionalFormatting sqref="C10:C11">
    <cfRule type="expression" dxfId="9" priority="4">
      <formula>IF(AND($C10&lt;&gt;"",$J10=0),1,0)</formula>
    </cfRule>
    <cfRule type="expression" dxfId="8" priority="5">
      <formula>IF($C10&lt;&gt;"",1,0)</formula>
    </cfRule>
    <cfRule type="expression" dxfId="7" priority="6">
      <formula>$J10=0</formula>
    </cfRule>
  </conditionalFormatting>
  <conditionalFormatting sqref="K4">
    <cfRule type="expression" dxfId="6" priority="56">
      <formula>IF(COUNTA($C$10:$C$11)&lt;&gt;COUNTIF($J$10:$J$11,1),1,0)</formula>
    </cfRule>
    <cfRule type="expression" dxfId="5" priority="57">
      <formula>IF(COUNTA($C$10:$C$11)=COUNTIF($J$10:$J$11,1),1,0)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autoFill="0" autoPict="0" macro="[0]!initComs">
                <anchor moveWithCells="1" sizeWithCells="1">
                  <from>
                    <xdr:col>1</xdr:col>
                    <xdr:colOff>175260</xdr:colOff>
                    <xdr:row>4</xdr:row>
                    <xdr:rowOff>76200</xdr:rowOff>
                  </from>
                  <to>
                    <xdr:col>2</xdr:col>
                    <xdr:colOff>922020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5" name="Button 2">
              <controlPr defaultSize="0" autoFill="0" autoPict="0" macro="[0]!pushData">
                <anchor moveWithCells="1" sizeWithCells="1">
                  <from>
                    <xdr:col>2</xdr:col>
                    <xdr:colOff>1021080</xdr:colOff>
                    <xdr:row>4</xdr:row>
                    <xdr:rowOff>76200</xdr:rowOff>
                  </from>
                  <to>
                    <xdr:col>4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1" r:id="rId6" name="Button 3">
              <controlPr defaultSize="0" autoFill="0" autoPict="0" macro="[0]!clearData">
                <anchor moveWithCells="1" sizeWithCells="1">
                  <from>
                    <xdr:col>4</xdr:col>
                    <xdr:colOff>137160</xdr:colOff>
                    <xdr:row>4</xdr:row>
                    <xdr:rowOff>76200</xdr:rowOff>
                  </from>
                  <to>
                    <xdr:col>5</xdr:col>
                    <xdr:colOff>396240</xdr:colOff>
                    <xdr:row>6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3D4161E-6238-4786-AD6F-CE960CEBB832}">
          <x14:formula1>
            <xm:f>Reference!$C$2:$C$23</xm:f>
          </x14:formula1>
          <xm:sqref>G10:G11</xm:sqref>
        </x14:dataValidation>
        <x14:dataValidation type="list" allowBlank="1" showInputMessage="1" showErrorMessage="1" xr:uid="{7DEF5382-F47E-4A4F-B38A-FEA148B2391D}">
          <x14:formula1>
            <xm:f>Reference!$B$2:$B$18</xm:f>
          </x14:formula1>
          <xm:sqref>E10:E11</xm:sqref>
        </x14:dataValidation>
        <x14:dataValidation type="list" allowBlank="1" showInputMessage="1" showErrorMessage="1" xr:uid="{2BD4F069-2506-4DE3-B8C7-1705087014E3}">
          <x14:formula1>
            <xm:f>Reference!$A$2:$A$8</xm:f>
          </x14:formula1>
          <xm:sqref>F10:F11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C85F6-CEEB-479F-B238-F0DAD74FBBC6}">
  <sheetPr codeName="Sheet22">
    <tabColor rgb="FF00B050"/>
  </sheetPr>
  <dimension ref="A1:K12"/>
  <sheetViews>
    <sheetView showGridLines="0" tabSelected="1" topLeftCell="B2" zoomScale="85" zoomScaleNormal="85" zoomScaleSheetLayoutView="85" workbookViewId="0">
      <pane ySplit="8" topLeftCell="A10" activePane="bottomLeft" state="frozen"/>
      <selection activeCell="B2" sqref="B2"/>
      <selection pane="bottomLeft" activeCell="B13" sqref="A13:XFD19"/>
    </sheetView>
  </sheetViews>
  <sheetFormatPr defaultColWidth="0" defaultRowHeight="14.4" customHeight="1" zeroHeight="1"/>
  <cols>
    <col min="1" max="1" width="3.77734375" style="3" hidden="1" customWidth="1"/>
    <col min="2" max="2" width="17" style="3" bestFit="1" customWidth="1"/>
    <col min="3" max="3" width="22.21875" style="3" customWidth="1"/>
    <col min="4" max="4" width="20" style="3" customWidth="1"/>
    <col min="5" max="5" width="24.21875" style="3" customWidth="1"/>
    <col min="6" max="6" width="17.33203125" style="3" customWidth="1"/>
    <col min="7" max="7" width="13.109375" style="3" customWidth="1"/>
    <col min="8" max="10" width="15" style="3" customWidth="1"/>
    <col min="11" max="11" width="57.44140625" style="3" customWidth="1"/>
    <col min="12" max="16384" width="8.88671875" style="3" hidden="1"/>
  </cols>
  <sheetData>
    <row r="1" spans="2:11" hidden="1">
      <c r="B1" s="31"/>
      <c r="C1" s="31"/>
      <c r="D1" s="31"/>
      <c r="E1" s="31"/>
      <c r="F1" s="31"/>
      <c r="G1" s="31"/>
      <c r="H1" s="31"/>
      <c r="I1" s="31"/>
      <c r="J1" s="31"/>
      <c r="K1" s="31"/>
    </row>
    <row r="2" spans="2:11">
      <c r="B2" s="46" t="str">
        <f>'Revision History'!$D$4</f>
        <v>REV. NO.1 (6/8/2022)</v>
      </c>
      <c r="C2" s="47"/>
      <c r="D2" s="47"/>
      <c r="E2" s="47"/>
      <c r="F2" s="47"/>
      <c r="G2" s="47"/>
      <c r="H2" s="47"/>
      <c r="I2" s="47"/>
      <c r="J2" s="47"/>
      <c r="K2" s="48" t="str">
        <f>'Revision History'!$J$4</f>
        <v>Scott Research Group (jkscottresearchgroup.com)</v>
      </c>
    </row>
    <row r="3" spans="2:11" ht="18">
      <c r="B3" s="69" t="s">
        <v>29</v>
      </c>
      <c r="C3" s="69"/>
      <c r="D3" s="69"/>
      <c r="E3" s="69"/>
      <c r="F3" s="69"/>
      <c r="G3" s="69"/>
      <c r="H3" s="69"/>
      <c r="I3" s="69"/>
      <c r="J3" s="69"/>
      <c r="K3" s="69"/>
    </row>
    <row r="4" spans="2:11" ht="14.4" customHeight="1">
      <c r="B4" s="13"/>
      <c r="C4" s="14"/>
      <c r="D4" s="15"/>
      <c r="E4" s="16"/>
      <c r="F4" s="16"/>
      <c r="G4" s="16"/>
      <c r="H4" s="16"/>
      <c r="I4" s="16"/>
      <c r="J4" s="16"/>
      <c r="K4" s="70" t="str">
        <f>IF(COUNTIF(Table11082[Test 3],1)=COUNTA(Table11082[Value]),"Ready","Not Ready")</f>
        <v>Ready</v>
      </c>
    </row>
    <row r="5" spans="2:11" ht="14.4" customHeight="1">
      <c r="B5" s="17"/>
      <c r="C5" s="18"/>
      <c r="D5" s="53"/>
      <c r="E5" s="53"/>
      <c r="F5" s="53"/>
      <c r="G5" s="53"/>
      <c r="H5" s="19"/>
      <c r="I5" s="53"/>
      <c r="J5" s="53"/>
      <c r="K5" s="71"/>
    </row>
    <row r="6" spans="2:11" ht="14.4" customHeight="1">
      <c r="B6" s="17"/>
      <c r="C6" s="18"/>
      <c r="D6" s="53"/>
      <c r="E6" s="53"/>
      <c r="F6" s="53"/>
      <c r="G6" s="53"/>
      <c r="H6" s="19"/>
      <c r="I6" s="53"/>
      <c r="J6" s="53"/>
      <c r="K6" s="71"/>
    </row>
    <row r="7" spans="2:11" ht="14.4" customHeight="1">
      <c r="B7" s="17"/>
      <c r="C7" s="18"/>
      <c r="D7" s="53"/>
      <c r="E7" s="53"/>
      <c r="F7" s="53"/>
      <c r="G7" s="53"/>
      <c r="H7" s="19"/>
      <c r="I7" s="53"/>
      <c r="J7" s="53"/>
      <c r="K7" s="71"/>
    </row>
    <row r="8" spans="2:11" ht="14.4" customHeight="1">
      <c r="B8" s="20"/>
      <c r="C8" s="21"/>
      <c r="D8" s="22"/>
      <c r="E8" s="22"/>
      <c r="F8" s="22"/>
      <c r="G8" s="22"/>
      <c r="H8" s="23"/>
      <c r="I8" s="22"/>
      <c r="J8" s="22"/>
      <c r="K8" s="72"/>
    </row>
    <row r="9" spans="2:11">
      <c r="B9" s="32" t="s">
        <v>0</v>
      </c>
      <c r="C9" s="33" t="s">
        <v>1</v>
      </c>
      <c r="D9" s="33" t="s">
        <v>2</v>
      </c>
      <c r="E9" s="33" t="s">
        <v>14</v>
      </c>
      <c r="F9" s="33" t="s">
        <v>62</v>
      </c>
      <c r="G9" s="34" t="s">
        <v>38</v>
      </c>
      <c r="H9" s="34" t="s">
        <v>63</v>
      </c>
      <c r="I9" s="33" t="s">
        <v>64</v>
      </c>
      <c r="J9" s="35" t="s">
        <v>72</v>
      </c>
      <c r="K9" s="35" t="s">
        <v>12</v>
      </c>
    </row>
    <row r="10" spans="2:11" ht="43.2">
      <c r="B10" s="4" t="s">
        <v>98</v>
      </c>
      <c r="C10" s="36">
        <v>0.999</v>
      </c>
      <c r="D10" s="2" t="s">
        <v>3</v>
      </c>
      <c r="E10" s="52" t="s">
        <v>22</v>
      </c>
      <c r="F10" s="52" t="s">
        <v>7</v>
      </c>
      <c r="G10" s="2" t="s">
        <v>39</v>
      </c>
      <c r="H10" s="52">
        <v>1</v>
      </c>
      <c r="I10" s="52">
        <f>Initialization!$C$10</f>
        <v>2</v>
      </c>
      <c r="J10" s="6">
        <v>1</v>
      </c>
      <c r="K10" s="5" t="s">
        <v>97</v>
      </c>
    </row>
    <row r="11" spans="2:11" ht="43.2">
      <c r="B11" s="4" t="s">
        <v>99</v>
      </c>
      <c r="C11" s="36">
        <v>1E-3</v>
      </c>
      <c r="D11" s="2" t="s">
        <v>3</v>
      </c>
      <c r="E11" s="52" t="s">
        <v>22</v>
      </c>
      <c r="F11" s="52" t="s">
        <v>7</v>
      </c>
      <c r="G11" s="2" t="s">
        <v>39</v>
      </c>
      <c r="H11" s="52"/>
      <c r="I11" s="52">
        <f>Initialization!$C$10</f>
        <v>2</v>
      </c>
      <c r="J11" s="6">
        <v>1</v>
      </c>
      <c r="K11" s="5" t="s">
        <v>97</v>
      </c>
    </row>
    <row r="12" spans="2:11">
      <c r="B12" s="8" t="s">
        <v>76</v>
      </c>
      <c r="C12" s="37"/>
      <c r="D12" s="9"/>
      <c r="E12" s="10"/>
      <c r="F12" s="10"/>
      <c r="G12" s="9"/>
      <c r="H12" s="10">
        <v>1</v>
      </c>
      <c r="I12" s="10">
        <v>1</v>
      </c>
      <c r="J12" s="11">
        <v>0</v>
      </c>
      <c r="K12" s="12" t="s">
        <v>77</v>
      </c>
    </row>
  </sheetData>
  <sheetProtection algorithmName="SHA-512" hashValue="Du4b/R2NXQOacyhv1OkPS19fDKhtAomZ60sNGGy70EETzNxtAOdqn29P+QsbC3xUbog0gpBWuq6gnfuwWJp6pA==" saltValue="Z/53DQMT+h3X482CFEi/cg==" spinCount="100000" sheet="1" objects="1" scenarios="1" selectLockedCells="1"/>
  <mergeCells count="2">
    <mergeCell ref="B3:K3"/>
    <mergeCell ref="K4:K8"/>
  </mergeCells>
  <conditionalFormatting sqref="C10:C12">
    <cfRule type="expression" dxfId="4" priority="7">
      <formula>IF(AND($C10&lt;&gt;"",$J10=0),1,0)</formula>
    </cfRule>
    <cfRule type="expression" dxfId="3" priority="8">
      <formula>IF($C10&lt;&gt;"",1,0)</formula>
    </cfRule>
    <cfRule type="expression" dxfId="2" priority="9">
      <formula>$J10=0</formula>
    </cfRule>
  </conditionalFormatting>
  <conditionalFormatting sqref="K4">
    <cfRule type="expression" dxfId="1" priority="90">
      <formula>IF(COUNTA($C$10:$C$12)&lt;&gt;COUNTIF($J$10:$J$12,1),1,0)</formula>
    </cfRule>
    <cfRule type="expression" dxfId="0" priority="91">
      <formula>IF(COUNTA($C$10:$C$12)=COUNTIF($J$10:$J$12,1),1,0)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69" r:id="rId4" name="Button 1">
              <controlPr defaultSize="0" autoFill="0" autoPict="0" macro="[0]!initComs">
                <anchor moveWithCells="1" sizeWithCells="1">
                  <from>
                    <xdr:col>1</xdr:col>
                    <xdr:colOff>175260</xdr:colOff>
                    <xdr:row>4</xdr:row>
                    <xdr:rowOff>76200</xdr:rowOff>
                  </from>
                  <to>
                    <xdr:col>2</xdr:col>
                    <xdr:colOff>922020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0" r:id="rId5" name="Button 2">
              <controlPr defaultSize="0" autoFill="0" autoPict="0" macro="[0]!pushData">
                <anchor moveWithCells="1" sizeWithCells="1">
                  <from>
                    <xdr:col>2</xdr:col>
                    <xdr:colOff>1021080</xdr:colOff>
                    <xdr:row>4</xdr:row>
                    <xdr:rowOff>76200</xdr:rowOff>
                  </from>
                  <to>
                    <xdr:col>4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1" r:id="rId6" name="Button 3">
              <controlPr defaultSize="0" autoFill="0" autoPict="0" macro="[0]!clearData">
                <anchor moveWithCells="1" sizeWithCells="1">
                  <from>
                    <xdr:col>4</xdr:col>
                    <xdr:colOff>137160</xdr:colOff>
                    <xdr:row>4</xdr:row>
                    <xdr:rowOff>76200</xdr:rowOff>
                  </from>
                  <to>
                    <xdr:col>5</xdr:col>
                    <xdr:colOff>396240</xdr:colOff>
                    <xdr:row>6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C75D849-865F-4CED-A496-CABE2C4A3593}">
          <x14:formula1>
            <xm:f>Reference!$A$2:$A$8</xm:f>
          </x14:formula1>
          <xm:sqref>F10:F12</xm:sqref>
        </x14:dataValidation>
        <x14:dataValidation type="list" allowBlank="1" showInputMessage="1" showErrorMessage="1" xr:uid="{D8A9307D-61EF-4B3A-AB70-C2EB75FB5AE2}">
          <x14:formula1>
            <xm:f>Reference!$B$2:$B$18</xm:f>
          </x14:formula1>
          <xm:sqref>E10:E12</xm:sqref>
        </x14:dataValidation>
        <x14:dataValidation type="list" allowBlank="1" showInputMessage="1" showErrorMessage="1" xr:uid="{4EB9C528-12B0-429F-B5BB-702FB68141D6}">
          <x14:formula1>
            <xm:f>Reference!$C$2:$C$23</xm:f>
          </x14:formula1>
          <xm:sqref>G10:G12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78E0A-D9CD-46D4-8DEA-5F8B0BEA714C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C12" sqref="C12"/>
    </sheetView>
  </sheetViews>
  <sheetFormatPr defaultColWidth="0" defaultRowHeight="0" customHeight="1" zeroHeight="1"/>
  <cols>
    <col min="1" max="2" width="8.88671875" style="64" customWidth="1"/>
    <col min="3" max="3" width="13.109375" style="64" customWidth="1"/>
    <col min="4" max="4" width="13.44140625" style="64" customWidth="1"/>
    <col min="5" max="6" width="8.88671875" style="64" customWidth="1"/>
    <col min="7" max="7" width="14.77734375" style="64" customWidth="1"/>
    <col min="8" max="8" width="11.6640625" style="64" customWidth="1"/>
    <col min="9" max="9" width="10.33203125" style="64" customWidth="1"/>
    <col min="10" max="10" width="5.6640625" style="64" customWidth="1"/>
    <col min="11" max="11" width="10.5546875" style="64" customWidth="1"/>
    <col min="12" max="17" width="8.88671875" style="64" customWidth="1"/>
    <col min="18" max="16384" width="8.88671875" style="64" hidden="1"/>
  </cols>
  <sheetData>
    <row r="1" spans="1:17" ht="14.4">
      <c r="A1" s="61" t="str">
        <f>'[1]Revision History'!D4</f>
        <v>REV. NO.1 (6/8/2022)</v>
      </c>
      <c r="B1" s="62"/>
      <c r="C1" s="62"/>
      <c r="D1" s="62"/>
      <c r="E1" s="62"/>
      <c r="F1" s="62"/>
      <c r="G1" s="62"/>
      <c r="H1" s="62"/>
      <c r="I1" s="63"/>
      <c r="J1" s="63"/>
      <c r="K1" s="63"/>
      <c r="L1" s="63"/>
      <c r="M1" s="63"/>
      <c r="N1" s="63"/>
      <c r="O1" s="63"/>
      <c r="P1" s="63"/>
      <c r="Q1" s="63" t="str">
        <f>'[2]Revision History'!$J$4</f>
        <v>Scott Research Group (jkscottresearchgroup.com)</v>
      </c>
    </row>
    <row r="2" spans="1:17" ht="14.4">
      <c r="A2" s="73" t="s">
        <v>115</v>
      </c>
      <c r="B2" s="74"/>
      <c r="C2" s="74"/>
      <c r="D2" s="74"/>
      <c r="E2" s="74"/>
      <c r="F2" s="74"/>
      <c r="G2" s="74"/>
      <c r="H2" s="74"/>
      <c r="I2" s="74"/>
      <c r="J2" s="74"/>
      <c r="K2" s="74"/>
      <c r="L2" s="74"/>
      <c r="M2" s="74"/>
      <c r="N2" s="74"/>
      <c r="O2" s="74"/>
      <c r="P2" s="74"/>
      <c r="Q2" s="74"/>
    </row>
    <row r="3" spans="1:17" ht="14.4">
      <c r="A3" s="30"/>
      <c r="B3" s="65"/>
      <c r="C3" s="65"/>
      <c r="D3" s="65"/>
      <c r="E3" s="65"/>
      <c r="F3" s="65"/>
      <c r="G3" s="65"/>
      <c r="H3" s="65"/>
      <c r="I3" s="65"/>
      <c r="J3" s="65"/>
      <c r="K3" s="65"/>
      <c r="L3" s="65"/>
      <c r="M3" s="65"/>
      <c r="N3" s="65"/>
      <c r="O3" s="65"/>
      <c r="P3" s="65"/>
      <c r="Q3" s="65"/>
    </row>
    <row r="4" spans="1:17" ht="14.4">
      <c r="A4" s="30"/>
      <c r="B4" s="65" t="s">
        <v>116</v>
      </c>
      <c r="C4" s="65"/>
      <c r="D4" s="65"/>
      <c r="E4" s="65"/>
      <c r="F4" s="65"/>
      <c r="G4" s="65"/>
      <c r="H4" s="65"/>
      <c r="I4" s="65"/>
      <c r="J4" s="65"/>
      <c r="K4" s="65"/>
      <c r="L4" s="65"/>
      <c r="M4" s="65"/>
      <c r="N4" s="65"/>
      <c r="O4" s="65"/>
      <c r="P4" s="65"/>
      <c r="Q4" s="65"/>
    </row>
    <row r="5" spans="1:17" ht="14.4">
      <c r="A5" s="30"/>
      <c r="B5" s="65"/>
      <c r="C5" s="65" t="s">
        <v>91</v>
      </c>
      <c r="D5" s="65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</row>
    <row r="6" spans="1:17" ht="14.4">
      <c r="A6" s="30"/>
      <c r="B6" s="65"/>
      <c r="C6" s="65"/>
      <c r="D6" s="50" t="s">
        <v>92</v>
      </c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</row>
    <row r="7" spans="1:17" ht="14.4">
      <c r="A7" s="30"/>
      <c r="B7" s="65"/>
      <c r="C7" s="65" t="s">
        <v>93</v>
      </c>
      <c r="D7" s="65"/>
      <c r="E7" s="65"/>
      <c r="F7" s="65"/>
      <c r="G7" s="65"/>
      <c r="H7" s="65"/>
      <c r="I7" s="65"/>
      <c r="J7" s="65"/>
      <c r="K7" s="65"/>
      <c r="L7" s="65"/>
      <c r="M7" s="65"/>
      <c r="N7" s="65"/>
      <c r="O7" s="65"/>
      <c r="P7" s="65"/>
      <c r="Q7" s="65"/>
    </row>
    <row r="8" spans="1:17" ht="14.4">
      <c r="A8" s="30"/>
      <c r="B8" s="65"/>
      <c r="C8" s="65"/>
      <c r="D8" s="49" t="s">
        <v>94</v>
      </c>
      <c r="E8" s="65"/>
      <c r="F8" s="65"/>
      <c r="G8" s="65"/>
      <c r="H8" s="65"/>
      <c r="I8" s="65"/>
      <c r="J8" s="65"/>
      <c r="K8" s="65"/>
      <c r="L8" s="65"/>
      <c r="M8" s="65"/>
      <c r="N8" s="65"/>
      <c r="O8" s="65"/>
      <c r="P8" s="65"/>
      <c r="Q8" s="65"/>
    </row>
    <row r="9" spans="1:17" ht="14.4">
      <c r="A9" s="30"/>
      <c r="B9" s="65"/>
      <c r="C9" s="65"/>
      <c r="D9" s="65"/>
      <c r="E9" s="65"/>
      <c r="F9" s="65"/>
      <c r="G9" s="65"/>
      <c r="H9" s="65"/>
      <c r="I9" s="65"/>
      <c r="J9" s="65"/>
      <c r="K9" s="65"/>
      <c r="L9" s="65"/>
      <c r="M9" s="65"/>
      <c r="N9" s="65"/>
      <c r="O9" s="65"/>
      <c r="P9" s="65"/>
      <c r="Q9" s="65"/>
    </row>
    <row r="10" spans="1:17" ht="14.4">
      <c r="A10" s="30"/>
      <c r="B10" s="65" t="s">
        <v>117</v>
      </c>
      <c r="C10" s="65"/>
      <c r="D10" s="65"/>
      <c r="E10" s="65"/>
      <c r="F10" s="65"/>
      <c r="G10" s="65"/>
      <c r="H10" s="65"/>
      <c r="I10" s="65"/>
      <c r="J10" s="65"/>
      <c r="K10" s="65"/>
      <c r="L10" s="65"/>
      <c r="M10" s="65"/>
      <c r="N10" s="65"/>
      <c r="O10" s="65"/>
      <c r="P10" s="65"/>
      <c r="Q10" s="65"/>
    </row>
    <row r="11" spans="1:17" ht="14.4">
      <c r="A11" s="30"/>
      <c r="B11" s="65"/>
      <c r="C11" s="65" t="s">
        <v>118</v>
      </c>
      <c r="D11" s="65"/>
      <c r="E11" s="65"/>
      <c r="F11" s="65"/>
      <c r="G11" s="65"/>
      <c r="H11" s="65"/>
      <c r="I11" s="65"/>
      <c r="J11" s="65"/>
      <c r="K11" s="65"/>
      <c r="L11" s="65"/>
      <c r="M11" s="65"/>
      <c r="N11" s="65"/>
      <c r="O11" s="65"/>
      <c r="P11" s="65"/>
      <c r="Q11" s="65"/>
    </row>
    <row r="12" spans="1:17" ht="14.4">
      <c r="A12" s="30"/>
      <c r="B12" s="65"/>
      <c r="C12" s="65"/>
      <c r="D12" s="65"/>
      <c r="E12" s="65"/>
      <c r="F12" s="65"/>
      <c r="G12" s="65"/>
      <c r="H12" s="65"/>
      <c r="I12" s="65"/>
      <c r="J12" s="65"/>
      <c r="K12" s="65"/>
      <c r="L12" s="65"/>
      <c r="M12" s="65"/>
      <c r="N12" s="65"/>
      <c r="O12" s="65"/>
      <c r="P12" s="65"/>
      <c r="Q12" s="65"/>
    </row>
    <row r="13" spans="1:17" ht="14.4">
      <c r="A13" s="30"/>
      <c r="B13" s="65"/>
      <c r="C13" s="65"/>
      <c r="D13" s="65"/>
      <c r="E13" s="65"/>
      <c r="F13" s="65"/>
      <c r="G13" s="65"/>
      <c r="H13" s="65"/>
      <c r="I13" s="65"/>
      <c r="J13" s="65"/>
      <c r="K13" s="65"/>
      <c r="L13" s="65"/>
      <c r="M13" s="65"/>
      <c r="N13" s="65"/>
      <c r="O13" s="65"/>
      <c r="P13" s="65"/>
      <c r="Q13" s="65"/>
    </row>
    <row r="14" spans="1:17" ht="14.4">
      <c r="A14" s="30"/>
      <c r="B14" s="65"/>
      <c r="C14" s="65"/>
      <c r="D14" s="65"/>
      <c r="E14" s="65"/>
      <c r="F14" s="65"/>
      <c r="G14" s="65"/>
      <c r="H14" s="65"/>
      <c r="I14" s="65"/>
      <c r="J14" s="65"/>
      <c r="K14" s="65"/>
      <c r="L14" s="65"/>
      <c r="M14" s="65"/>
      <c r="N14" s="65"/>
      <c r="O14" s="65"/>
      <c r="P14" s="65"/>
      <c r="Q14" s="65"/>
    </row>
    <row r="15" spans="1:17" ht="14.4">
      <c r="A15" s="30"/>
      <c r="B15" s="65"/>
      <c r="C15" s="65"/>
      <c r="D15" s="65"/>
      <c r="E15" s="65"/>
      <c r="F15" s="65"/>
      <c r="G15" s="65"/>
      <c r="H15" s="65"/>
      <c r="I15" s="65"/>
      <c r="J15" s="65"/>
      <c r="K15" s="65"/>
      <c r="L15" s="65"/>
      <c r="M15" s="65"/>
      <c r="N15" s="65"/>
      <c r="O15" s="65"/>
      <c r="P15" s="65"/>
      <c r="Q15" s="65"/>
    </row>
    <row r="16" spans="1:17" ht="14.4">
      <c r="A16" s="30"/>
      <c r="B16" s="65"/>
      <c r="C16" s="65"/>
      <c r="D16" s="65"/>
      <c r="E16" s="65"/>
      <c r="F16" s="65"/>
      <c r="G16" s="65"/>
      <c r="H16" s="65"/>
      <c r="I16" s="65"/>
      <c r="J16" s="65"/>
      <c r="K16" s="65"/>
      <c r="L16" s="65"/>
      <c r="M16" s="65"/>
      <c r="N16" s="65"/>
      <c r="O16" s="65"/>
      <c r="P16" s="65"/>
      <c r="Q16" s="65"/>
    </row>
    <row r="17" spans="1:17" ht="14.4">
      <c r="A17" s="30"/>
      <c r="B17" s="65"/>
      <c r="C17" s="65"/>
      <c r="D17" s="65"/>
      <c r="E17" s="65"/>
      <c r="F17" s="65"/>
      <c r="G17" s="65"/>
      <c r="H17" s="65"/>
      <c r="I17" s="65"/>
      <c r="J17" s="65"/>
      <c r="K17" s="65"/>
      <c r="L17" s="65"/>
      <c r="M17" s="65"/>
      <c r="N17" s="65"/>
      <c r="O17" s="65"/>
      <c r="P17" s="65"/>
      <c r="Q17" s="65"/>
    </row>
    <row r="18" spans="1:17" ht="14.4">
      <c r="A18" s="30"/>
      <c r="B18" s="65"/>
      <c r="C18" s="65"/>
      <c r="D18" s="65"/>
      <c r="E18" s="65"/>
      <c r="F18" s="65"/>
      <c r="G18" s="65"/>
      <c r="H18" s="65"/>
      <c r="I18" s="65"/>
      <c r="J18" s="65"/>
      <c r="K18" s="65"/>
      <c r="L18" s="65"/>
      <c r="M18" s="65"/>
      <c r="N18" s="65"/>
      <c r="O18" s="65"/>
      <c r="P18" s="65"/>
      <c r="Q18" s="65"/>
    </row>
    <row r="19" spans="1:17" ht="14.4">
      <c r="A19" s="30"/>
      <c r="B19" s="65"/>
      <c r="C19" s="65"/>
      <c r="D19" s="65"/>
      <c r="E19" s="65"/>
      <c r="F19" s="65"/>
      <c r="G19" s="65"/>
      <c r="H19" s="65"/>
      <c r="I19" s="65"/>
      <c r="J19" s="65"/>
      <c r="K19" s="65"/>
      <c r="L19" s="65"/>
      <c r="M19" s="65"/>
      <c r="N19" s="65"/>
      <c r="O19" s="65"/>
      <c r="P19" s="65"/>
      <c r="Q19" s="65"/>
    </row>
    <row r="20" spans="1:17" ht="14.4">
      <c r="A20" s="30"/>
      <c r="B20" s="65"/>
      <c r="C20" s="65"/>
      <c r="D20" s="65"/>
      <c r="E20" s="65"/>
      <c r="F20" s="65"/>
      <c r="G20" s="65"/>
      <c r="H20" s="65"/>
      <c r="I20" s="65"/>
      <c r="J20" s="65"/>
      <c r="K20" s="65"/>
      <c r="L20" s="65"/>
      <c r="M20" s="65"/>
      <c r="N20" s="65"/>
      <c r="O20" s="65"/>
      <c r="P20" s="65"/>
      <c r="Q20" s="65"/>
    </row>
    <row r="21" spans="1:17" ht="14.4">
      <c r="A21" s="30"/>
      <c r="B21" s="65"/>
      <c r="C21" s="65"/>
      <c r="D21" s="65"/>
      <c r="E21" s="65"/>
      <c r="F21" s="65"/>
      <c r="G21" s="65"/>
      <c r="H21" s="65"/>
      <c r="I21" s="65"/>
      <c r="J21" s="65"/>
      <c r="K21" s="65"/>
      <c r="L21" s="65"/>
      <c r="M21" s="65"/>
      <c r="N21" s="65"/>
      <c r="O21" s="65"/>
      <c r="P21" s="65"/>
      <c r="Q21" s="65"/>
    </row>
    <row r="22" spans="1:17" ht="14.4">
      <c r="A22" s="30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P22" s="65"/>
      <c r="Q22" s="65"/>
    </row>
    <row r="23" spans="1:17" ht="14.4">
      <c r="A23" s="30"/>
      <c r="B23" s="65"/>
      <c r="C23" s="65"/>
      <c r="D23" s="65"/>
      <c r="E23" s="65"/>
      <c r="F23" s="65"/>
      <c r="G23" s="65"/>
      <c r="H23" s="65"/>
      <c r="I23" s="65"/>
      <c r="J23" s="65"/>
      <c r="K23" s="65"/>
      <c r="L23" s="65"/>
      <c r="M23" s="65"/>
      <c r="N23" s="65"/>
      <c r="O23" s="65"/>
      <c r="P23" s="65"/>
      <c r="Q23" s="65"/>
    </row>
    <row r="24" spans="1:17" ht="14.4">
      <c r="A24" s="30"/>
      <c r="B24" s="65"/>
      <c r="C24" s="65"/>
      <c r="D24" s="65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</row>
    <row r="25" spans="1:17" ht="14.4">
      <c r="A25" s="30"/>
      <c r="B25" s="65"/>
      <c r="C25" s="65"/>
      <c r="D25" s="65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</row>
    <row r="26" spans="1:17" ht="14.4">
      <c r="A26" s="30"/>
      <c r="B26" s="65"/>
      <c r="C26" s="65"/>
      <c r="D26" s="65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</row>
    <row r="27" spans="1:17" ht="14.4">
      <c r="A27" s="30"/>
      <c r="B27" s="65"/>
      <c r="C27" s="65"/>
      <c r="D27" s="65"/>
      <c r="E27" s="65"/>
      <c r="F27" s="65"/>
      <c r="G27" s="65"/>
      <c r="H27" s="65"/>
      <c r="I27" s="65"/>
      <c r="J27" s="65"/>
      <c r="K27" s="65"/>
      <c r="L27" s="65"/>
      <c r="M27" s="65"/>
      <c r="N27" s="65"/>
      <c r="O27" s="65"/>
      <c r="P27" s="65"/>
      <c r="Q27" s="65"/>
    </row>
    <row r="28" spans="1:17" ht="14.4">
      <c r="A28" s="30"/>
      <c r="B28" s="65"/>
      <c r="C28" s="65"/>
      <c r="D28" s="65"/>
      <c r="E28" s="65"/>
      <c r="F28" s="65"/>
      <c r="G28" s="65"/>
      <c r="H28" s="65"/>
      <c r="I28" s="65"/>
      <c r="J28" s="65"/>
      <c r="K28" s="65"/>
      <c r="L28" s="65"/>
      <c r="M28" s="65"/>
      <c r="N28" s="65"/>
      <c r="O28" s="65"/>
      <c r="P28" s="65"/>
      <c r="Q28" s="65"/>
    </row>
    <row r="29" spans="1:17" ht="14.4">
      <c r="A29" s="30"/>
      <c r="B29" s="65"/>
      <c r="C29" s="65"/>
      <c r="D29" s="65"/>
      <c r="E29" s="65"/>
      <c r="F29" s="65"/>
      <c r="G29" s="65"/>
      <c r="H29" s="65"/>
      <c r="I29" s="65"/>
      <c r="J29" s="65"/>
      <c r="K29" s="65"/>
      <c r="L29" s="65"/>
      <c r="M29" s="65"/>
      <c r="N29" s="65"/>
      <c r="O29" s="65"/>
      <c r="P29" s="65"/>
      <c r="Q29" s="65"/>
    </row>
    <row r="30" spans="1:17" ht="14.4">
      <c r="A30" s="30"/>
      <c r="B30" s="65"/>
      <c r="C30" s="65"/>
      <c r="D30" s="65"/>
      <c r="E30" s="65"/>
      <c r="F30" s="65"/>
      <c r="G30" s="65"/>
      <c r="H30" s="65"/>
      <c r="I30" s="65"/>
      <c r="J30" s="65"/>
      <c r="K30" s="65"/>
      <c r="L30" s="65"/>
      <c r="M30" s="65"/>
      <c r="N30" s="65"/>
      <c r="O30" s="65"/>
      <c r="P30" s="65"/>
      <c r="Q30" s="65"/>
    </row>
    <row r="31" spans="1:17" ht="14.4">
      <c r="A31" s="30"/>
      <c r="B31" s="65"/>
      <c r="C31" s="65"/>
      <c r="D31" s="65"/>
      <c r="E31" s="65"/>
      <c r="F31" s="65"/>
      <c r="G31" s="65"/>
      <c r="H31" s="65"/>
      <c r="I31" s="65"/>
      <c r="J31" s="65"/>
      <c r="K31" s="65"/>
      <c r="L31" s="65"/>
      <c r="M31" s="65"/>
      <c r="N31" s="65"/>
      <c r="O31" s="65"/>
      <c r="P31" s="65"/>
      <c r="Q31" s="65"/>
    </row>
    <row r="32" spans="1:17" ht="14.4">
      <c r="A32" s="30"/>
      <c r="B32" s="66"/>
      <c r="C32" s="65"/>
      <c r="D32" s="65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</row>
    <row r="33" spans="1:17" ht="14.4">
      <c r="A33" s="30"/>
      <c r="B33" s="65"/>
      <c r="C33" s="65"/>
      <c r="D33" s="65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</row>
    <row r="34" spans="1:17" ht="14.4">
      <c r="A34" s="30"/>
      <c r="B34" s="65"/>
      <c r="C34" s="65"/>
      <c r="D34" s="65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</row>
  </sheetData>
  <sheetProtection selectLockedCells="1" selectUnlockedCells="1"/>
  <mergeCells count="1">
    <mergeCell ref="A2:Q2"/>
  </mergeCells>
  <hyperlinks>
    <hyperlink ref="D6" r:id="rId1" display="https://dippr.aiche.org/" xr:uid="{D8F49348-B7BC-4F27-BA5D-67903C2F14FA}"/>
    <hyperlink ref="D8" r:id="rId2" location="home" display="https://adsorption.nist.gov/index.php - home" xr:uid="{E3E6414F-9138-43A7-BA4E-1F6E271472CF}"/>
  </hyperlinks>
  <pageMargins left="0.7" right="0.7" top="0.75" bottom="0.75" header="0.3" footer="0.3"/>
  <pageSetup scale="20" orientation="portrait"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1BCDE-CEB0-4BB0-9117-E571D994F35E}">
  <sheetPr codeName="Sheet2">
    <tabColor rgb="FF00B050"/>
  </sheetPr>
  <dimension ref="A1:AV52"/>
  <sheetViews>
    <sheetView showGridLines="0" zoomScale="85" zoomScaleNormal="85" zoomScaleSheetLayoutView="55" workbookViewId="0">
      <selection activeCell="A3" sqref="A3"/>
    </sheetView>
  </sheetViews>
  <sheetFormatPr defaultColWidth="0" defaultRowHeight="14.4" customHeight="1" zeroHeight="1"/>
  <cols>
    <col min="1" max="18" width="8.88671875" style="24" customWidth="1"/>
    <col min="19" max="48" width="0" style="24" hidden="1" customWidth="1"/>
    <col min="49" max="16384" width="8.88671875" style="24" hidden="1"/>
  </cols>
  <sheetData>
    <row r="1" spans="1:18">
      <c r="A1" s="61" t="str">
        <f>'[1]Revision History'!D4</f>
        <v>REV. NO.1 (6/8/2022)</v>
      </c>
      <c r="B1" s="62"/>
      <c r="C1" s="62"/>
      <c r="D1" s="62"/>
      <c r="E1" s="62"/>
      <c r="F1" s="62"/>
      <c r="G1" s="62"/>
      <c r="H1" s="62"/>
      <c r="I1" s="62"/>
      <c r="J1" s="63"/>
      <c r="K1" s="63"/>
      <c r="L1" s="63"/>
      <c r="M1" s="63"/>
      <c r="N1" s="63"/>
      <c r="O1" s="63"/>
      <c r="P1" s="63"/>
      <c r="Q1" s="63"/>
      <c r="R1" s="63" t="str">
        <f>'[2]Revision History'!$J$4</f>
        <v>Scott Research Group (jkscottresearchgroup.com)</v>
      </c>
    </row>
    <row r="2" spans="1:18">
      <c r="A2" s="28" t="s">
        <v>114</v>
      </c>
      <c r="B2" s="29"/>
      <c r="C2" s="29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6"/>
    </row>
    <row r="3" spans="1:18">
      <c r="A3" s="30"/>
      <c r="B3" s="65"/>
      <c r="C3" s="67"/>
      <c r="D3" s="67"/>
      <c r="E3" s="67"/>
      <c r="F3" s="67"/>
      <c r="G3" s="67"/>
      <c r="H3" s="67"/>
      <c r="I3" s="67"/>
      <c r="J3" s="67"/>
      <c r="K3" s="67"/>
      <c r="L3" s="67"/>
      <c r="M3" s="67"/>
      <c r="N3" s="67"/>
      <c r="O3" s="67"/>
      <c r="P3" s="67"/>
      <c r="Q3" s="67"/>
      <c r="R3" s="27"/>
    </row>
    <row r="4" spans="1:18">
      <c r="A4" s="30"/>
      <c r="B4" s="65"/>
      <c r="C4" s="67"/>
      <c r="D4" s="67"/>
      <c r="E4" s="67"/>
      <c r="F4" s="67"/>
      <c r="G4" s="67"/>
      <c r="H4" s="67"/>
      <c r="I4" s="67"/>
      <c r="J4" s="67"/>
      <c r="K4" s="67"/>
      <c r="L4" s="67"/>
      <c r="M4" s="67"/>
      <c r="N4" s="67"/>
      <c r="O4" s="67"/>
      <c r="P4" s="67"/>
      <c r="Q4" s="67"/>
      <c r="R4" s="27"/>
    </row>
    <row r="5" spans="1:18">
      <c r="A5" s="30"/>
      <c r="B5" s="65"/>
      <c r="C5" s="67"/>
      <c r="D5" s="67"/>
      <c r="E5" s="67"/>
      <c r="F5" s="67"/>
      <c r="G5" s="67"/>
      <c r="H5" s="67"/>
      <c r="I5" s="67"/>
      <c r="J5" s="67"/>
      <c r="K5" s="67"/>
      <c r="L5" s="67"/>
      <c r="M5" s="67"/>
      <c r="N5" s="67"/>
      <c r="O5" s="67"/>
      <c r="P5" s="67"/>
      <c r="Q5" s="67"/>
      <c r="R5" s="27"/>
    </row>
    <row r="6" spans="1:18">
      <c r="A6" s="30"/>
      <c r="B6" s="65"/>
      <c r="C6" s="67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27"/>
    </row>
    <row r="7" spans="1:18">
      <c r="A7" s="30"/>
      <c r="B7" s="65"/>
      <c r="C7" s="67"/>
      <c r="D7" s="67"/>
      <c r="E7" s="67"/>
      <c r="F7" s="67"/>
      <c r="G7" s="67"/>
      <c r="H7" s="67"/>
      <c r="I7" s="67"/>
      <c r="J7" s="67"/>
      <c r="K7" s="67"/>
      <c r="L7" s="67"/>
      <c r="M7" s="67"/>
      <c r="N7" s="67"/>
      <c r="O7" s="67"/>
      <c r="P7" s="67"/>
      <c r="Q7" s="67"/>
      <c r="R7" s="27"/>
    </row>
    <row r="8" spans="1:18">
      <c r="A8" s="30"/>
      <c r="B8" s="65"/>
      <c r="C8" s="67"/>
      <c r="D8" s="67"/>
      <c r="E8" s="67"/>
      <c r="F8" s="67"/>
      <c r="G8" s="67"/>
      <c r="H8" s="67"/>
      <c r="I8" s="67"/>
      <c r="J8" s="67"/>
      <c r="K8" s="67"/>
      <c r="L8" s="67"/>
      <c r="M8" s="67"/>
      <c r="N8" s="67"/>
      <c r="O8" s="67"/>
      <c r="P8" s="67"/>
      <c r="Q8" s="67"/>
      <c r="R8" s="27"/>
    </row>
    <row r="9" spans="1:18">
      <c r="A9" s="30"/>
      <c r="B9" s="65"/>
      <c r="C9" s="67"/>
      <c r="D9" s="67"/>
      <c r="E9" s="67"/>
      <c r="F9" s="67"/>
      <c r="G9" s="67"/>
      <c r="H9" s="67"/>
      <c r="I9" s="67"/>
      <c r="J9" s="67"/>
      <c r="K9" s="67"/>
      <c r="L9" s="67"/>
      <c r="M9" s="67"/>
      <c r="N9" s="67"/>
      <c r="O9" s="67"/>
      <c r="P9" s="67"/>
      <c r="Q9" s="67"/>
      <c r="R9" s="27"/>
    </row>
    <row r="10" spans="1:18">
      <c r="A10" s="30"/>
      <c r="B10" s="65"/>
      <c r="C10" s="67"/>
      <c r="D10" s="67"/>
      <c r="E10" s="67"/>
      <c r="F10" s="67"/>
      <c r="G10" s="67"/>
      <c r="H10" s="67"/>
      <c r="I10" s="67"/>
      <c r="J10" s="67"/>
      <c r="K10" s="67"/>
      <c r="L10" s="67"/>
      <c r="M10" s="67"/>
      <c r="N10" s="67"/>
      <c r="O10" s="67"/>
      <c r="P10" s="67"/>
      <c r="Q10" s="67"/>
      <c r="R10" s="27"/>
    </row>
    <row r="11" spans="1:18">
      <c r="A11" s="30"/>
      <c r="B11" s="65"/>
      <c r="C11" s="67"/>
      <c r="D11" s="67"/>
      <c r="E11" s="67"/>
      <c r="F11" s="67"/>
      <c r="G11" s="67"/>
      <c r="H11" s="67"/>
      <c r="I11" s="67"/>
      <c r="J11" s="67"/>
      <c r="K11" s="67"/>
      <c r="L11" s="67"/>
      <c r="M11" s="67"/>
      <c r="N11" s="67"/>
      <c r="O11" s="67"/>
      <c r="P11" s="67"/>
      <c r="Q11" s="67"/>
      <c r="R11" s="27"/>
    </row>
    <row r="12" spans="1:18">
      <c r="A12" s="30"/>
      <c r="B12" s="65"/>
      <c r="C12" s="67"/>
      <c r="D12" s="67"/>
      <c r="E12" s="67"/>
      <c r="F12" s="67"/>
      <c r="G12" s="67"/>
      <c r="H12" s="67"/>
      <c r="I12" s="67"/>
      <c r="J12" s="67"/>
      <c r="K12" s="67"/>
      <c r="L12" s="67"/>
      <c r="M12" s="67"/>
      <c r="N12" s="67"/>
      <c r="O12" s="67"/>
      <c r="P12" s="67"/>
      <c r="Q12" s="67"/>
      <c r="R12" s="27"/>
    </row>
    <row r="13" spans="1:18">
      <c r="A13" s="30"/>
      <c r="B13" s="65"/>
      <c r="C13" s="67"/>
      <c r="D13" s="67"/>
      <c r="E13" s="67"/>
      <c r="F13" s="67"/>
      <c r="G13" s="67"/>
      <c r="H13" s="67"/>
      <c r="I13" s="67"/>
      <c r="J13" s="67"/>
      <c r="K13" s="67"/>
      <c r="L13" s="67"/>
      <c r="M13" s="67"/>
      <c r="N13" s="67"/>
      <c r="O13" s="67"/>
      <c r="P13" s="67"/>
      <c r="Q13" s="67"/>
      <c r="R13" s="27"/>
    </row>
    <row r="14" spans="1:18">
      <c r="A14" s="30"/>
      <c r="B14" s="65"/>
      <c r="C14" s="67"/>
      <c r="D14" s="67"/>
      <c r="E14" s="67"/>
      <c r="F14" s="67"/>
      <c r="G14" s="67"/>
      <c r="H14" s="67"/>
      <c r="I14" s="67"/>
      <c r="J14" s="67"/>
      <c r="K14" s="67"/>
      <c r="L14" s="67"/>
      <c r="M14" s="67"/>
      <c r="N14" s="67"/>
      <c r="O14" s="67"/>
      <c r="P14" s="67"/>
      <c r="Q14" s="67"/>
      <c r="R14" s="27"/>
    </row>
    <row r="15" spans="1:18">
      <c r="A15" s="30"/>
      <c r="B15" s="65"/>
      <c r="C15" s="67"/>
      <c r="D15" s="67"/>
      <c r="E15" s="67"/>
      <c r="F15" s="67"/>
      <c r="G15" s="67"/>
      <c r="H15" s="67"/>
      <c r="I15" s="67"/>
      <c r="J15" s="67"/>
      <c r="K15" s="67"/>
      <c r="L15" s="67"/>
      <c r="M15" s="67"/>
      <c r="N15" s="67"/>
      <c r="O15" s="67"/>
      <c r="P15" s="67"/>
      <c r="Q15" s="67"/>
      <c r="R15" s="27"/>
    </row>
    <row r="16" spans="1:18">
      <c r="A16" s="30"/>
      <c r="B16" s="65"/>
      <c r="C16" s="67"/>
      <c r="D16" s="67"/>
      <c r="E16" s="67"/>
      <c r="F16" s="67"/>
      <c r="G16" s="67"/>
      <c r="H16" s="67"/>
      <c r="I16" s="67"/>
      <c r="J16" s="67"/>
      <c r="K16" s="67"/>
      <c r="L16" s="67"/>
      <c r="M16" s="67"/>
      <c r="N16" s="67"/>
      <c r="O16" s="67"/>
      <c r="P16" s="67"/>
      <c r="Q16" s="67"/>
      <c r="R16" s="27"/>
    </row>
    <row r="17" spans="1:18">
      <c r="A17" s="30"/>
      <c r="B17" s="65"/>
      <c r="C17" s="67"/>
      <c r="D17" s="67"/>
      <c r="E17" s="67"/>
      <c r="F17" s="67"/>
      <c r="G17" s="67"/>
      <c r="H17" s="67"/>
      <c r="I17" s="67"/>
      <c r="J17" s="67"/>
      <c r="K17" s="67"/>
      <c r="L17" s="67"/>
      <c r="M17" s="67"/>
      <c r="N17" s="67"/>
      <c r="O17" s="67"/>
      <c r="P17" s="67"/>
      <c r="Q17" s="67"/>
      <c r="R17" s="27"/>
    </row>
    <row r="18" spans="1:18">
      <c r="A18" s="30"/>
      <c r="B18" s="65"/>
      <c r="C18" s="67"/>
      <c r="D18" s="67"/>
      <c r="E18" s="67"/>
      <c r="F18" s="67"/>
      <c r="G18" s="67"/>
      <c r="H18" s="67"/>
      <c r="I18" s="67"/>
      <c r="J18" s="67"/>
      <c r="K18" s="67"/>
      <c r="L18" s="67"/>
      <c r="M18" s="67"/>
      <c r="N18" s="67"/>
      <c r="O18" s="67"/>
      <c r="P18" s="67"/>
      <c r="Q18" s="67"/>
      <c r="R18" s="27"/>
    </row>
    <row r="19" spans="1:18">
      <c r="A19" s="30"/>
      <c r="B19" s="65"/>
      <c r="C19" s="67"/>
      <c r="D19" s="67"/>
      <c r="E19" s="67"/>
      <c r="F19" s="67"/>
      <c r="G19" s="67"/>
      <c r="H19" s="67"/>
      <c r="I19" s="67"/>
      <c r="J19" s="67"/>
      <c r="K19" s="67"/>
      <c r="L19" s="67"/>
      <c r="M19" s="67"/>
      <c r="N19" s="67"/>
      <c r="O19" s="67"/>
      <c r="P19" s="67"/>
      <c r="Q19" s="67"/>
      <c r="R19" s="27"/>
    </row>
    <row r="20" spans="1:18">
      <c r="A20" s="30"/>
      <c r="B20" s="65"/>
      <c r="C20" s="67"/>
      <c r="D20" s="67"/>
      <c r="E20" s="67"/>
      <c r="F20" s="67"/>
      <c r="G20" s="67"/>
      <c r="H20" s="67"/>
      <c r="I20" s="67"/>
      <c r="J20" s="67"/>
      <c r="K20" s="67"/>
      <c r="L20" s="67"/>
      <c r="M20" s="67"/>
      <c r="N20" s="67"/>
      <c r="O20" s="67"/>
      <c r="P20" s="67"/>
      <c r="Q20" s="67"/>
      <c r="R20" s="27"/>
    </row>
    <row r="21" spans="1:18">
      <c r="A21" s="30"/>
      <c r="B21" s="65"/>
      <c r="C21" s="67"/>
      <c r="D21" s="67"/>
      <c r="E21" s="67"/>
      <c r="F21" s="67"/>
      <c r="G21" s="67"/>
      <c r="H21" s="67"/>
      <c r="I21" s="67"/>
      <c r="J21" s="67"/>
      <c r="K21" s="67"/>
      <c r="L21" s="67"/>
      <c r="M21" s="67"/>
      <c r="N21" s="67"/>
      <c r="O21" s="67"/>
      <c r="P21" s="67"/>
      <c r="Q21" s="67"/>
      <c r="R21" s="27"/>
    </row>
    <row r="22" spans="1:18">
      <c r="A22" s="30"/>
      <c r="B22" s="65"/>
      <c r="C22" s="67"/>
      <c r="D22" s="67"/>
      <c r="E22" s="67"/>
      <c r="F22" s="67"/>
      <c r="G22" s="67"/>
      <c r="H22" s="67"/>
      <c r="I22" s="67"/>
      <c r="J22" s="67"/>
      <c r="K22" s="67"/>
      <c r="L22" s="67"/>
      <c r="M22" s="67"/>
      <c r="N22" s="67"/>
      <c r="O22" s="67"/>
      <c r="P22" s="67"/>
      <c r="Q22" s="67"/>
      <c r="R22" s="27"/>
    </row>
    <row r="23" spans="1:18">
      <c r="A23" s="30"/>
      <c r="B23" s="65"/>
      <c r="C23" s="67"/>
      <c r="D23" s="67"/>
      <c r="E23" s="67"/>
      <c r="F23" s="67"/>
      <c r="G23" s="67"/>
      <c r="H23" s="67"/>
      <c r="I23" s="67"/>
      <c r="J23" s="67"/>
      <c r="K23" s="67"/>
      <c r="L23" s="67"/>
      <c r="M23" s="67"/>
      <c r="N23" s="67"/>
      <c r="O23" s="67"/>
      <c r="P23" s="67"/>
      <c r="Q23" s="67"/>
      <c r="R23" s="27"/>
    </row>
    <row r="24" spans="1:18">
      <c r="A24" s="30"/>
      <c r="B24" s="65"/>
      <c r="C24" s="67"/>
      <c r="D24" s="67"/>
      <c r="E24" s="67"/>
      <c r="F24" s="67"/>
      <c r="G24" s="67"/>
      <c r="H24" s="67"/>
      <c r="I24" s="67"/>
      <c r="J24" s="67"/>
      <c r="K24" s="67"/>
      <c r="L24" s="67"/>
      <c r="M24" s="67"/>
      <c r="N24" s="67"/>
      <c r="O24" s="67"/>
      <c r="P24" s="67"/>
      <c r="Q24" s="67"/>
      <c r="R24" s="27"/>
    </row>
    <row r="25" spans="1:18">
      <c r="A25" s="30"/>
      <c r="B25" s="65"/>
      <c r="C25" s="67"/>
      <c r="D25" s="67"/>
      <c r="E25" s="67"/>
      <c r="F25" s="67"/>
      <c r="G25" s="67"/>
      <c r="H25" s="67"/>
      <c r="I25" s="67"/>
      <c r="J25" s="67"/>
      <c r="K25" s="67"/>
      <c r="L25" s="67"/>
      <c r="M25" s="67"/>
      <c r="N25" s="67"/>
      <c r="O25" s="67"/>
      <c r="P25" s="67"/>
      <c r="Q25" s="67"/>
      <c r="R25" s="27"/>
    </row>
    <row r="26" spans="1:18">
      <c r="A26" s="30"/>
      <c r="B26" s="65"/>
      <c r="C26" s="67"/>
      <c r="D26" s="67"/>
      <c r="E26" s="67"/>
      <c r="F26" s="67"/>
      <c r="G26" s="67"/>
      <c r="H26" s="67"/>
      <c r="I26" s="67"/>
      <c r="J26" s="67"/>
      <c r="K26" s="67"/>
      <c r="L26" s="67"/>
      <c r="M26" s="67"/>
      <c r="N26" s="67"/>
      <c r="O26" s="67"/>
      <c r="P26" s="67"/>
      <c r="Q26" s="67"/>
      <c r="R26" s="27"/>
    </row>
    <row r="27" spans="1:18">
      <c r="A27" s="30"/>
      <c r="B27" s="65"/>
      <c r="C27" s="67"/>
      <c r="D27" s="67"/>
      <c r="E27" s="67"/>
      <c r="F27" s="67"/>
      <c r="G27" s="67"/>
      <c r="H27" s="67"/>
      <c r="I27" s="67"/>
      <c r="J27" s="67"/>
      <c r="K27" s="67"/>
      <c r="L27" s="67"/>
      <c r="M27" s="67"/>
      <c r="N27" s="67"/>
      <c r="O27" s="67"/>
      <c r="P27" s="67"/>
      <c r="Q27" s="67"/>
      <c r="R27" s="27"/>
    </row>
    <row r="28" spans="1:18">
      <c r="A28" s="30"/>
      <c r="B28" s="65"/>
      <c r="C28" s="67"/>
      <c r="D28" s="67"/>
      <c r="E28" s="67"/>
      <c r="F28" s="67"/>
      <c r="G28" s="67"/>
      <c r="H28" s="67"/>
      <c r="I28" s="67"/>
      <c r="J28" s="67"/>
      <c r="K28" s="67"/>
      <c r="L28" s="67"/>
      <c r="M28" s="67"/>
      <c r="N28" s="67"/>
      <c r="O28" s="67"/>
      <c r="P28" s="67"/>
      <c r="Q28" s="67"/>
      <c r="R28" s="27"/>
    </row>
    <row r="29" spans="1:18">
      <c r="A29" s="30"/>
      <c r="B29" s="65"/>
      <c r="C29" s="67"/>
      <c r="D29" s="67"/>
      <c r="E29" s="67"/>
      <c r="F29" s="67"/>
      <c r="G29" s="67"/>
      <c r="H29" s="67"/>
      <c r="I29" s="67"/>
      <c r="J29" s="67"/>
      <c r="K29" s="67"/>
      <c r="L29" s="67"/>
      <c r="M29" s="67"/>
      <c r="N29" s="67"/>
      <c r="O29" s="67"/>
      <c r="P29" s="67"/>
      <c r="Q29" s="67"/>
      <c r="R29" s="27"/>
    </row>
    <row r="30" spans="1:18">
      <c r="A30" s="30"/>
      <c r="B30" s="65"/>
      <c r="C30" s="67"/>
      <c r="D30" s="67"/>
      <c r="E30" s="67"/>
      <c r="F30" s="67"/>
      <c r="G30" s="67"/>
      <c r="H30" s="67"/>
      <c r="I30" s="67"/>
      <c r="J30" s="67"/>
      <c r="K30" s="67"/>
      <c r="L30" s="67"/>
      <c r="M30" s="67"/>
      <c r="N30" s="67"/>
      <c r="O30" s="67"/>
      <c r="P30" s="67"/>
      <c r="Q30" s="67"/>
      <c r="R30" s="27"/>
    </row>
    <row r="31" spans="1:18">
      <c r="A31" s="30"/>
      <c r="B31" s="65"/>
      <c r="C31" s="67"/>
      <c r="D31" s="67"/>
      <c r="E31" s="67"/>
      <c r="F31" s="67"/>
      <c r="G31" s="67"/>
      <c r="H31" s="67"/>
      <c r="I31" s="67"/>
      <c r="J31" s="67"/>
      <c r="K31" s="67"/>
      <c r="L31" s="67"/>
      <c r="M31" s="67"/>
      <c r="N31" s="67"/>
      <c r="O31" s="67"/>
      <c r="P31" s="67"/>
      <c r="Q31" s="67"/>
      <c r="R31" s="27"/>
    </row>
    <row r="32" spans="1:18">
      <c r="A32" s="30"/>
      <c r="B32" s="65"/>
      <c r="C32" s="67"/>
      <c r="D32" s="67"/>
      <c r="E32" s="67"/>
      <c r="F32" s="67"/>
      <c r="G32" s="67"/>
      <c r="H32" s="67"/>
      <c r="I32" s="67"/>
      <c r="J32" s="67"/>
      <c r="K32" s="67"/>
      <c r="L32" s="67"/>
      <c r="M32" s="67"/>
      <c r="N32" s="67"/>
      <c r="O32" s="67"/>
      <c r="P32" s="67"/>
      <c r="Q32" s="67"/>
      <c r="R32" s="27"/>
    </row>
    <row r="33" spans="1:18">
      <c r="A33" s="30"/>
      <c r="B33" s="65"/>
      <c r="C33" s="67"/>
      <c r="D33" s="67"/>
      <c r="E33" s="67"/>
      <c r="F33" s="67"/>
      <c r="G33" s="67"/>
      <c r="H33" s="67"/>
      <c r="I33" s="67"/>
      <c r="J33" s="67"/>
      <c r="K33" s="67"/>
      <c r="L33" s="67"/>
      <c r="M33" s="67"/>
      <c r="N33" s="67"/>
      <c r="O33" s="67"/>
      <c r="P33" s="67"/>
      <c r="Q33" s="67"/>
      <c r="R33" s="27"/>
    </row>
    <row r="34" spans="1:18">
      <c r="A34" s="30"/>
      <c r="B34" s="65"/>
      <c r="C34" s="67"/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/>
      <c r="Q34" s="67"/>
      <c r="R34" s="27"/>
    </row>
    <row r="35" spans="1:18">
      <c r="A35" s="30"/>
      <c r="B35" s="65"/>
      <c r="C35" s="67"/>
      <c r="D35" s="67"/>
      <c r="E35" s="67"/>
      <c r="F35" s="67"/>
      <c r="G35" s="67"/>
      <c r="H35" s="67"/>
      <c r="I35" s="67"/>
      <c r="J35" s="67"/>
      <c r="K35" s="67"/>
      <c r="L35" s="67"/>
      <c r="M35" s="67"/>
      <c r="N35" s="67"/>
      <c r="O35" s="67"/>
      <c r="P35" s="67"/>
      <c r="Q35" s="67"/>
      <c r="R35" s="27"/>
    </row>
    <row r="36" spans="1:18">
      <c r="A36" s="30"/>
      <c r="B36" s="65"/>
      <c r="C36" s="67"/>
      <c r="D36" s="67"/>
      <c r="E36" s="67"/>
      <c r="F36" s="67"/>
      <c r="G36" s="67"/>
      <c r="H36" s="67"/>
      <c r="I36" s="67"/>
      <c r="J36" s="67"/>
      <c r="K36" s="67"/>
      <c r="L36" s="67"/>
      <c r="M36" s="67"/>
      <c r="N36" s="67"/>
      <c r="O36" s="67"/>
      <c r="P36" s="67"/>
      <c r="Q36" s="67"/>
      <c r="R36" s="27"/>
    </row>
    <row r="37" spans="1:18">
      <c r="A37" s="30"/>
      <c r="B37" s="65"/>
      <c r="C37" s="67"/>
      <c r="D37" s="67"/>
      <c r="E37" s="67"/>
      <c r="F37" s="67"/>
      <c r="G37" s="67"/>
      <c r="H37" s="67"/>
      <c r="I37" s="67"/>
      <c r="J37" s="67"/>
      <c r="K37" s="67"/>
      <c r="L37" s="67"/>
      <c r="M37" s="67"/>
      <c r="N37" s="67"/>
      <c r="O37" s="67"/>
      <c r="P37" s="67"/>
      <c r="Q37" s="67"/>
      <c r="R37" s="27"/>
    </row>
    <row r="38" spans="1:18">
      <c r="A38" s="30"/>
      <c r="B38" s="65"/>
      <c r="C38" s="67"/>
      <c r="D38" s="67"/>
      <c r="E38" s="67"/>
      <c r="F38" s="67"/>
      <c r="G38" s="67"/>
      <c r="H38" s="67"/>
      <c r="I38" s="67"/>
      <c r="J38" s="67"/>
      <c r="K38" s="67"/>
      <c r="L38" s="67"/>
      <c r="M38" s="67"/>
      <c r="N38" s="67"/>
      <c r="O38" s="67"/>
      <c r="P38" s="67"/>
      <c r="Q38" s="67"/>
      <c r="R38" s="27"/>
    </row>
    <row r="39" spans="1:18">
      <c r="A39" s="30"/>
      <c r="B39" s="65"/>
      <c r="C39" s="67"/>
      <c r="D39" s="67"/>
      <c r="E39" s="67"/>
      <c r="F39" s="67"/>
      <c r="G39" s="67"/>
      <c r="H39" s="67"/>
      <c r="I39" s="67"/>
      <c r="J39" s="67"/>
      <c r="K39" s="67"/>
      <c r="L39" s="67"/>
      <c r="M39" s="67"/>
      <c r="N39" s="67"/>
      <c r="O39" s="67"/>
      <c r="P39" s="67"/>
      <c r="Q39" s="67"/>
      <c r="R39" s="27"/>
    </row>
    <row r="40" spans="1:18">
      <c r="A40" s="30"/>
      <c r="B40" s="65"/>
      <c r="C40" s="67"/>
      <c r="D40" s="67"/>
      <c r="E40" s="67"/>
      <c r="F40" s="67"/>
      <c r="G40" s="67"/>
      <c r="H40" s="67"/>
      <c r="I40" s="67"/>
      <c r="J40" s="67"/>
      <c r="K40" s="67"/>
      <c r="L40" s="67"/>
      <c r="M40" s="67"/>
      <c r="N40" s="67"/>
      <c r="O40" s="67"/>
      <c r="P40" s="67"/>
      <c r="Q40" s="67"/>
      <c r="R40" s="27"/>
    </row>
    <row r="41" spans="1:18">
      <c r="A41" s="30"/>
      <c r="B41" s="65"/>
      <c r="C41" s="67"/>
      <c r="D41" s="67"/>
      <c r="E41" s="67"/>
      <c r="F41" s="67"/>
      <c r="G41" s="67"/>
      <c r="H41" s="67"/>
      <c r="I41" s="67"/>
      <c r="J41" s="67"/>
      <c r="K41" s="67"/>
      <c r="L41" s="67"/>
      <c r="M41" s="67"/>
      <c r="N41" s="67"/>
      <c r="O41" s="67"/>
      <c r="P41" s="67"/>
      <c r="Q41" s="67"/>
      <c r="R41" s="27"/>
    </row>
    <row r="42" spans="1:18">
      <c r="A42" s="30"/>
      <c r="B42" s="65"/>
      <c r="C42" s="67"/>
      <c r="D42" s="67"/>
      <c r="E42" s="67"/>
      <c r="F42" s="67"/>
      <c r="G42" s="67"/>
      <c r="H42" s="67"/>
      <c r="I42" s="67"/>
      <c r="J42" s="67"/>
      <c r="K42" s="67"/>
      <c r="L42" s="67"/>
      <c r="M42" s="67"/>
      <c r="N42" s="67"/>
      <c r="O42" s="67"/>
      <c r="P42" s="67"/>
      <c r="Q42" s="67"/>
      <c r="R42" s="27"/>
    </row>
    <row r="43" spans="1:18">
      <c r="A43" s="30"/>
      <c r="B43" s="65"/>
      <c r="C43" s="67"/>
      <c r="D43" s="67"/>
      <c r="E43" s="67"/>
      <c r="F43" s="67"/>
      <c r="G43" s="67"/>
      <c r="H43" s="67"/>
      <c r="I43" s="67"/>
      <c r="J43" s="67"/>
      <c r="K43" s="67"/>
      <c r="L43" s="67"/>
      <c r="M43" s="67"/>
      <c r="N43" s="67"/>
      <c r="O43" s="67"/>
      <c r="P43" s="67"/>
      <c r="Q43" s="67"/>
      <c r="R43" s="27"/>
    </row>
    <row r="44" spans="1:18">
      <c r="A44" s="30"/>
      <c r="B44" s="65"/>
      <c r="C44" s="67"/>
      <c r="D44" s="67"/>
      <c r="E44" s="67"/>
      <c r="F44" s="67"/>
      <c r="G44" s="67"/>
      <c r="H44" s="67"/>
      <c r="I44" s="67"/>
      <c r="J44" s="67"/>
      <c r="K44" s="67"/>
      <c r="L44" s="67"/>
      <c r="M44" s="67"/>
      <c r="N44" s="67"/>
      <c r="O44" s="67"/>
      <c r="P44" s="67"/>
      <c r="Q44" s="67"/>
      <c r="R44" s="27"/>
    </row>
    <row r="45" spans="1:18">
      <c r="A45" s="30"/>
      <c r="B45" s="65"/>
      <c r="C45" s="67"/>
      <c r="D45" s="67"/>
      <c r="E45" s="67"/>
      <c r="F45" s="67"/>
      <c r="G45" s="67"/>
      <c r="H45" s="67"/>
      <c r="I45" s="67"/>
      <c r="J45" s="67"/>
      <c r="K45" s="67"/>
      <c r="L45" s="67"/>
      <c r="M45" s="67"/>
      <c r="N45" s="67"/>
      <c r="O45" s="67"/>
      <c r="P45" s="67"/>
      <c r="Q45" s="67"/>
      <c r="R45" s="27"/>
    </row>
    <row r="46" spans="1:18">
      <c r="A46" s="30"/>
      <c r="B46" s="65"/>
      <c r="C46" s="67"/>
      <c r="D46" s="67"/>
      <c r="E46" s="67"/>
      <c r="F46" s="67"/>
      <c r="G46" s="67"/>
      <c r="H46" s="67"/>
      <c r="I46" s="67"/>
      <c r="J46" s="67"/>
      <c r="K46" s="67"/>
      <c r="L46" s="67"/>
      <c r="M46" s="67"/>
      <c r="N46" s="67"/>
      <c r="O46" s="67"/>
      <c r="P46" s="67"/>
      <c r="Q46" s="67"/>
      <c r="R46" s="27"/>
    </row>
    <row r="47" spans="1:18">
      <c r="A47" s="30"/>
      <c r="B47" s="65"/>
      <c r="C47" s="67"/>
      <c r="D47" s="67"/>
      <c r="E47" s="67"/>
      <c r="F47" s="67"/>
      <c r="G47" s="67"/>
      <c r="H47" s="67"/>
      <c r="I47" s="67"/>
      <c r="J47" s="67"/>
      <c r="K47" s="67"/>
      <c r="L47" s="67"/>
      <c r="M47" s="67"/>
      <c r="N47" s="67"/>
      <c r="O47" s="67"/>
      <c r="P47" s="67"/>
      <c r="Q47" s="67"/>
      <c r="R47" s="27"/>
    </row>
    <row r="48" spans="1:18">
      <c r="A48" s="30"/>
      <c r="B48" s="65"/>
      <c r="C48" s="67"/>
      <c r="D48" s="67"/>
      <c r="E48" s="67"/>
      <c r="F48" s="67"/>
      <c r="G48" s="67"/>
      <c r="H48" s="67"/>
      <c r="I48" s="67"/>
      <c r="J48" s="67"/>
      <c r="K48" s="67"/>
      <c r="L48" s="67"/>
      <c r="M48" s="67"/>
      <c r="N48" s="67"/>
      <c r="O48" s="67"/>
      <c r="P48" s="67"/>
      <c r="Q48" s="67"/>
      <c r="R48" s="27"/>
    </row>
    <row r="49" spans="1:18">
      <c r="A49" s="30"/>
      <c r="B49" s="65"/>
      <c r="C49" s="67"/>
      <c r="D49" s="67"/>
      <c r="E49" s="67"/>
      <c r="F49" s="67"/>
      <c r="G49" s="67"/>
      <c r="H49" s="67"/>
      <c r="I49" s="67"/>
      <c r="J49" s="67"/>
      <c r="K49" s="67"/>
      <c r="L49" s="67"/>
      <c r="M49" s="67"/>
      <c r="N49" s="67"/>
      <c r="O49" s="67"/>
      <c r="P49" s="67"/>
      <c r="Q49" s="67"/>
      <c r="R49" s="27"/>
    </row>
    <row r="50" spans="1:18">
      <c r="A50" s="30"/>
      <c r="B50" s="65"/>
      <c r="C50" s="67"/>
      <c r="D50" s="67"/>
      <c r="E50" s="67"/>
      <c r="F50" s="67"/>
      <c r="G50" s="67"/>
      <c r="H50" s="67"/>
      <c r="I50" s="67"/>
      <c r="J50" s="67"/>
      <c r="K50" s="67"/>
      <c r="L50" s="67"/>
      <c r="M50" s="67"/>
      <c r="N50" s="67"/>
      <c r="O50" s="67"/>
      <c r="P50" s="67"/>
      <c r="Q50" s="67"/>
      <c r="R50" s="27"/>
    </row>
    <row r="51" spans="1:18">
      <c r="A51" s="30"/>
      <c r="B51" s="65"/>
      <c r="C51" s="67"/>
      <c r="D51" s="67"/>
      <c r="E51" s="67"/>
      <c r="F51" s="67"/>
      <c r="G51" s="67"/>
      <c r="H51" s="67"/>
      <c r="I51" s="67"/>
      <c r="J51" s="67"/>
      <c r="K51" s="67"/>
      <c r="L51" s="67"/>
      <c r="M51" s="67"/>
      <c r="N51" s="67"/>
      <c r="O51" s="67"/>
      <c r="P51" s="67"/>
      <c r="Q51" s="67"/>
      <c r="R51" s="27"/>
    </row>
    <row r="52" spans="1:18">
      <c r="A52" s="30"/>
      <c r="B52" s="65"/>
      <c r="C52" s="67"/>
      <c r="D52" s="67"/>
      <c r="E52" s="67"/>
      <c r="F52" s="67"/>
      <c r="G52" s="67"/>
      <c r="H52" s="67"/>
      <c r="I52" s="67"/>
      <c r="J52" s="67"/>
      <c r="K52" s="67"/>
      <c r="L52" s="67"/>
      <c r="M52" s="67"/>
      <c r="N52" s="67"/>
      <c r="O52" s="67"/>
      <c r="P52" s="67"/>
      <c r="Q52" s="67"/>
      <c r="R52" s="27"/>
    </row>
  </sheetData>
  <sheetProtection selectLockedCells="1" selectUnlockedCells="1"/>
  <pageMargins left="0.7" right="0.7" top="0.75" bottom="0.75" header="0.3" footer="0.3"/>
  <pageSetup scale="20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RowHeight="14.4"/>
  <sheetData>
    <row r="1" spans="1:1">
      <c r="A1" t="s">
        <v>86</v>
      </c>
    </row>
    <row r="2" spans="1:1">
      <c r="A2" t="s">
        <v>84</v>
      </c>
    </row>
    <row r="3" spans="1:1">
      <c r="A3" t="s">
        <v>85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E2"/>
  <sheetViews>
    <sheetView topLeftCell="CF1" workbookViewId="0">
      <selection activeCell="CM2" sqref="CM2"/>
    </sheetView>
  </sheetViews>
  <sheetFormatPr defaultRowHeight="14.4"/>
  <sheetData>
    <row r="1" spans="1:5">
      <c r="A1" t="s">
        <v>5</v>
      </c>
      <c r="B1" t="s">
        <v>76</v>
      </c>
      <c r="C1" t="s">
        <v>98</v>
      </c>
      <c r="D1" t="s">
        <v>99</v>
      </c>
      <c r="E1" t="s">
        <v>76</v>
      </c>
    </row>
    <row r="2" spans="1:5">
      <c r="A2">
        <v>2</v>
      </c>
      <c r="C2">
        <v>0.999</v>
      </c>
      <c r="D2">
        <v>1E-3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E2"/>
  <sheetViews>
    <sheetView topLeftCell="CC1" workbookViewId="0">
      <selection activeCell="CR2" sqref="CR2"/>
    </sheetView>
  </sheetViews>
  <sheetFormatPr defaultRowHeight="14.4"/>
  <sheetData>
    <row r="1" spans="1:5">
      <c r="A1" t="s">
        <v>5</v>
      </c>
      <c r="B1" t="s">
        <v>76</v>
      </c>
      <c r="C1" t="s">
        <v>98</v>
      </c>
      <c r="D1" t="s">
        <v>99</v>
      </c>
      <c r="E1" t="s">
        <v>76</v>
      </c>
    </row>
    <row r="2" spans="1:5">
      <c r="A2">
        <v>1</v>
      </c>
      <c r="B2">
        <v>0</v>
      </c>
      <c r="C2">
        <v>1</v>
      </c>
      <c r="D2">
        <v>1</v>
      </c>
      <c r="E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</vt:i4>
      </vt:variant>
    </vt:vector>
  </HeadingPairs>
  <TitlesOfParts>
    <vt:vector size="12" baseType="lpstr">
      <vt:lpstr>Revision History</vt:lpstr>
      <vt:lpstr>Reference</vt:lpstr>
      <vt:lpstr>Initialization</vt:lpstr>
      <vt:lpstr>Stream Properties</vt:lpstr>
      <vt:lpstr>Help</vt:lpstr>
      <vt:lpstr>PFD</vt:lpstr>
      <vt:lpstr>maintenance check list</vt:lpstr>
      <vt:lpstr>Data(Transposed)</vt:lpstr>
      <vt:lpstr>Data(Test)</vt:lpstr>
      <vt:lpstr>Initialization!Print_Area</vt:lpstr>
      <vt:lpstr>'Revision History'!Print_Area</vt:lpstr>
      <vt:lpstr>'Stream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2022-06-09T22:31:40Z</dcterms:modified>
</cp:coreProperties>
</file>