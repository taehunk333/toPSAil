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Isothermal\0_settings\"/>
    </mc:Choice>
  </mc:AlternateContent>
  <xr:revisionPtr revIDLastSave="0" documentId="13_ncr:1_{A732F6AB-56A3-4C92-BB70-F644E9DC5BB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PFD" sheetId="41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1" l="1"/>
  <c r="A1" i="41"/>
  <c r="Q1" i="40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<sst xmlns="http://schemas.openxmlformats.org/spreadsheetml/2006/main" count="346" uniqueCount="140">
  <si>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</si>
  <si>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</si>
  <si>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</si>
  <si>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</si>
  <si>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</si>
  <si>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</si>
  <si>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</si>
  <si>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</si>
  <si>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</si>
  <si>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</si>
  <si>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</si>
  <si>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</si>
  <si>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</si>
  <si>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</si>
  <si>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</si>
  <si>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</si>
  <si>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</si>
  <si>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</si>
  <si>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</si>
  <si>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</si>
  <si>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</si>
  <si>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</si>
  <si>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</si>
  <si>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</si>
  <si>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</si>
  <si>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</si>
  <si>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</si>
  <si>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</si>
  <si>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</si>
  <si>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</si>
  <si>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</si>
  <si>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</si>
  <si>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</si>
  <si>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</si>
  <si>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</si>
  <si>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</si>
  <si>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</si>
  <si>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</si>
  <si>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</si>
  <si>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</si>
  <si>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</si>
  <si>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</si>
  <si>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</si>
  <si>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</si>
  <si>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</si>
  <si>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</si>
  <si>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</si>
  <si>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</si>
  <si>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</si>
  <si>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</si>
  <si>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</si>
  <si>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</si>
  <si>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</si>
  <si>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</si>
  <si>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</si>
  <si>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</si>
  <si>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</si>
  <si>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</si>
  <si>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</si>
  <si>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</si>
  <si>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</si>
  <si>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</si>
  <si>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</si>
  <si>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</si>
  <si>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</si>
  <si>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</si>
  <si>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</si>
  <si>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</si>
  <si>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</si>
  <si>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</si>
  <si>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</si>
  <si>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</si>
  <si>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</si>
  <si>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</si>
  <si>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</si>
  <si>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</si>
  <si>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</si>
  <si>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</si>
  <si>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</si>
  <si>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</si>
  <si>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</si>
  <si>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</si>
  <si>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</si>
  <si>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</si>
  <si>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</si>
  <si>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</si>
  <si>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</si>
  <si>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</si>
  <si>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</si>
  <si>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</si>
  <si>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</si>
  <si>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</si>
  <si>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</si>
  <si>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</si>
  <si>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</si>
  <si>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</si>
  <si>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</si>
  <si>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</si>
  <si>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</si>
  <si>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</si>
  <si>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</si>
  <si>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</si>
  <si>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</si>
  <si>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</si>
  <si>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</si>
  <si>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</si>
  <si>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</si>
  <si>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</si>
  <si>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</si>
  <si>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</si>
  <si>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</si>
  <si>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</si>
  <si>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pressure driven operation,
1 = controlled operation.</t>
  </si>
  <si>
    <t>0 = no axial pressure drop,
1 = axial pressure drop.</t>
  </si>
  <si>
    <t>0 = feed already available at a high pressure,
1 = feed compression required.</t>
  </si>
  <si>
    <t>0 = depressurization to the ambient pressure,
1 = vacuum pump is used for de-pressurization.</t>
  </si>
  <si>
    <t>Specify an equation of states:
0 = custom EOS,
1 = ideal gas law,
2 = TBD,
3 = TBD,
4 = TBD,
5 = TBD, 
6 = TBD, 
7 = TBD, 
8 = TBD, 
9 = TBD.</t>
  </si>
  <si>
    <t>Specify an adsorption rate model:
0 = custom rate model,
1 = LDF adsorption kinetics model,
2 = TBD,
3 = TBD,
4 = TBD,
5 = TBD, 
6 = TBD, 
7 = TBD, 
8 = TBD, 
9 = TBD.</t>
  </si>
  <si>
    <t>Specify an adsorption isotherm model:
0 = custom isotherm,
1 = linear isotherm,
2 = extended Langmuir isotherm,
3 = TBD,
4 = TBD,
5 = TBD, 
6 = TBD, 
7 = TBD, 
8 = TBD, 
9 = TBD.</t>
  </si>
  <si>
    <t>Specify a valve model:
0 = custom valve,
1 = a linear valve, 
2 = TBD,
3 = TBD,
4 = TBD,
5 = TBD,
6 = TBD,
7 = TBD,
8 = TBD,
9 = TBD.</t>
  </si>
  <si>
    <t xml:space="preserve">Specify a heat capacity model: 
0 = a constant heat capacity model,
1 = a temperature dependent polynomial model,
2 = TBD,
3 = TBD,
4 = TBD,
5 = TBD,
6 = TBD,
7 = TBD, 
8 = TBD, 
9 = TBD.
</t>
  </si>
  <si>
    <t>TBD:
0 = TBD,
1 = TBD,
2 = TBD,
3 = TBD, 
4 = TBD, 
5 = TBD, 
6 = TBD, 
7 = TBD,
8 = TBD,
9 = TBD.</t>
  </si>
  <si>
    <t>0 = TBD,
1 = TBD.</t>
  </si>
  <si>
    <t>Specify a momentum balance model:
0 = no axial pressure drop, 
1 = Karman-Kozeny equation,
2 = Ergun equation,
3 = TBD,
4 = TBD, 
5 = TBD,
6 = TBD, 
7 = TBD,
8 = TBD,
9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</si>
  <si>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</si>
  <si>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</si>
  <si>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</si>
  <si>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</si>
  <si>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</si>
  <si>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</si>
  <si>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</si>
  <si>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</si>
  <si>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Specify a cyclic steady state (CSS) convergence model: 
0 = overall states,
1 = 1st column ststes,
2 = all column states,
3 = the raffinate product tank states,
4 = TBD,
5 = TBD,
6 = TBD,
7 = TBD,
8 = TBD,
9 = TBD.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</si>
  <si>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</si>
  <si>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</si>
  <si>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</si>
  <si>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</si>
  <si>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TBD</t>
  </si>
  <si>
    <t>Initialization of the Simulation Environment</t>
  </si>
  <si>
    <t>Information on Model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</si>
</sst>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3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886718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886718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45" t="s">
        <v>135</v>
      </c>
      <c r="E4" s="46"/>
      <c r="F4" s="47"/>
      <c r="G4" s="48"/>
      <c r="H4" s="48"/>
      <c r="I4" s="48"/>
      <c r="J4" s="32" t="s">
        <v>89</v>
      </c>
    </row>
    <row r="5" spans="4:10" ht="36">
      <c r="D5" s="63" t="s">
        <v>37</v>
      </c>
      <c r="E5" s="63"/>
      <c r="F5" s="63"/>
      <c r="G5" s="63"/>
      <c r="H5" s="63"/>
      <c r="I5" s="63"/>
      <c r="J5" s="63"/>
    </row>
    <row r="6" spans="4:10" ht="18">
      <c r="D6" s="41" t="s">
        <v>31</v>
      </c>
      <c r="E6" s="41" t="s">
        <v>133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36">
      <c r="D7" s="33">
        <v>1</v>
      </c>
      <c r="E7" s="42" t="s">
        <v>134</v>
      </c>
      <c r="F7" s="43">
        <v>44720</v>
      </c>
      <c r="G7" s="44" t="s">
        <v>38</v>
      </c>
      <c r="H7" s="33"/>
      <c r="I7" s="33"/>
      <c r="J7" s="34"/>
    </row>
    <row r="8" spans="4:10" ht="18">
      <c r="D8" s="33">
        <v>2</v>
      </c>
      <c r="E8" s="34"/>
      <c r="F8" s="35"/>
      <c r="G8" s="33"/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20" sqref="C2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4" customHeight="1">
      <c r="B4" s="13"/>
      <c r="C4" s="14"/>
      <c r="D4" s="40"/>
      <c r="E4" s="15"/>
      <c r="F4" s="15"/>
      <c r="G4" s="15"/>
      <c r="H4" s="15"/>
      <c r="I4" s="15"/>
      <c r="J4" s="14"/>
      <c r="K4" s="65" t="str">
        <f>IF(COUNTIF(Table132[Test 3],1)=COUNTA(Table132[Value]),"Ready","Not Ready")</f>
        <v>Ready</v>
      </c>
    </row>
    <row r="5" spans="2:11" ht="14.4" customHeight="1">
      <c r="B5" s="13"/>
      <c r="C5" s="14"/>
      <c r="D5" s="40"/>
      <c r="E5" s="15"/>
      <c r="F5" s="15"/>
      <c r="G5" s="15"/>
      <c r="H5" s="15"/>
      <c r="I5" s="15"/>
      <c r="J5" s="15"/>
      <c r="K5" s="66"/>
    </row>
    <row r="6" spans="2:11" ht="14.4" customHeight="1">
      <c r="B6" s="13"/>
      <c r="C6" s="14"/>
      <c r="D6" s="40"/>
      <c r="E6" s="15"/>
      <c r="F6" s="15"/>
      <c r="G6" s="15"/>
      <c r="H6" s="15"/>
      <c r="I6" s="15"/>
      <c r="J6" s="15"/>
      <c r="K6" s="66"/>
    </row>
    <row r="7" spans="2:11" ht="14.4" customHeight="1">
      <c r="B7" s="13"/>
      <c r="C7" s="14"/>
      <c r="D7" s="40"/>
      <c r="E7" s="15"/>
      <c r="F7" s="15"/>
      <c r="G7" s="15"/>
      <c r="H7" s="15"/>
      <c r="I7" s="15"/>
      <c r="J7" s="15"/>
      <c r="K7" s="66"/>
    </row>
    <row r="8" spans="2:11" ht="14.4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28.8">
      <c r="B10" s="4" t="s">
        <v>45</v>
      </c>
      <c r="C10" s="27">
        <v>0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28.8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28.8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112</v>
      </c>
    </row>
    <row r="13" spans="2:11" ht="28.8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28.8">
      <c r="B14" s="4" t="s">
        <v>48</v>
      </c>
      <c r="C14" s="27">
        <v>0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28.8">
      <c r="B15" s="4" t="s">
        <v>49</v>
      </c>
      <c r="C15" s="27">
        <v>0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113</v>
      </c>
    </row>
    <row r="16" spans="2:11" ht="28.8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28.8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28.8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28.8">
      <c r="B19" s="4" t="s">
        <v>53</v>
      </c>
      <c r="C19" s="27">
        <v>0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28.8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114</v>
      </c>
    </row>
    <row r="21" spans="2:11" ht="28.8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115</v>
      </c>
    </row>
    <row r="22" spans="2:11" ht="28.8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28.8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28.8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122</v>
      </c>
    </row>
    <row r="25" spans="2:11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zk2ALqTANCthLgu66+mFctAa7C0/RFMynhRLuihhMUyB39LzheXkez8o7BUTXRpgEgNVhj79to/FnF/6DRK+fw==" saltValue="VjtAORqF7kukZOymkEU6pw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abSelected="1" topLeftCell="B2" zoomScale="85" zoomScaleNormal="85" zoomScaleSheetLayoutView="70" workbookViewId="0">
      <pane ySplit="8" topLeftCell="A16" activePane="bottomLeft" state="frozen"/>
      <selection activeCell="B2" sqref="B2"/>
      <selection pane="bottomLeft" activeCell="C15" sqref="C15"/>
    </sheetView>
  </sheetViews>
  <sheetFormatPr defaultColWidth="0" defaultRowHeight="14.4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4" customHeight="1">
      <c r="B4" s="13"/>
      <c r="C4" s="14"/>
      <c r="D4" s="37"/>
      <c r="E4" s="15"/>
      <c r="F4" s="15"/>
      <c r="G4" s="15"/>
      <c r="H4" s="15"/>
      <c r="I4" s="15"/>
      <c r="J4" s="14"/>
      <c r="K4" s="65" t="str">
        <f>IF(COUNTIF(Table13[Test 3],1)=COUNTA(Table13[Value]),"Ready","Not Ready")</f>
        <v>Ready</v>
      </c>
    </row>
    <row r="5" spans="2:11" ht="14.4" customHeight="1">
      <c r="B5" s="13"/>
      <c r="C5" s="14"/>
      <c r="D5" s="37"/>
      <c r="E5" s="15"/>
      <c r="F5" s="15"/>
      <c r="G5" s="15"/>
      <c r="H5" s="15"/>
      <c r="I5" s="15"/>
      <c r="J5" s="15"/>
      <c r="K5" s="66"/>
    </row>
    <row r="6" spans="2:11" ht="14.4" customHeight="1">
      <c r="B6" s="13"/>
      <c r="C6" s="14"/>
      <c r="D6" s="37"/>
      <c r="E6" s="15"/>
      <c r="F6" s="15"/>
      <c r="G6" s="15"/>
      <c r="H6" s="15"/>
      <c r="I6" s="15"/>
      <c r="J6" s="15"/>
      <c r="K6" s="66"/>
    </row>
    <row r="7" spans="2:11" ht="14.4" customHeight="1">
      <c r="B7" s="13"/>
      <c r="C7" s="14"/>
      <c r="D7" s="37"/>
      <c r="E7" s="15"/>
      <c r="F7" s="15"/>
      <c r="G7" s="15"/>
      <c r="H7" s="15"/>
      <c r="I7" s="15"/>
      <c r="J7" s="15"/>
      <c r="K7" s="66"/>
    </row>
    <row r="8" spans="2:11" ht="14.4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158.4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118</v>
      </c>
    </row>
    <row r="11" spans="2:11" ht="158.4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117</v>
      </c>
    </row>
    <row r="12" spans="2:11" ht="158.4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116</v>
      </c>
    </row>
    <row r="13" spans="2:11" ht="158.4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119</v>
      </c>
    </row>
    <row r="14" spans="2:11" ht="172.8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120</v>
      </c>
    </row>
    <row r="15" spans="2:11" ht="158.4">
      <c r="B15" s="4" t="s">
        <v>90</v>
      </c>
      <c r="C15" s="27">
        <v>0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123</v>
      </c>
    </row>
    <row r="16" spans="2:11" ht="172.8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132</v>
      </c>
    </row>
    <row r="17" spans="2:11" ht="158.4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121</v>
      </c>
    </row>
    <row r="18" spans="2:11" ht="158.4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121</v>
      </c>
    </row>
    <row r="19" spans="2:11" ht="158.4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121</v>
      </c>
    </row>
    <row r="20" spans="2:11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algorithmName="SHA-512" hashValue="uIeHqCN+NBvVTQ4MHmiTp6FaH9nmkYjRENj8zCx+X8GxyC0DwE0SILo/4jCl3dxxPhjN5ffb8FTfzfQlT295tA==" saltValue="VlAQs0mA5OAMIjMN/6FZRA==" spinCount="100000" sheet="1" objects="1" scenarios="1"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88671875" style="52" customWidth="1"/>
    <col min="3" max="3" width="13.109375" style="52" customWidth="1"/>
    <col min="4" max="4" width="13.44140625" style="52" customWidth="1"/>
    <col min="5" max="6" width="8.88671875" style="52" customWidth="1"/>
    <col min="7" max="7" width="14.7773437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5546875" style="52" customWidth="1"/>
    <col min="12" max="17" width="8.88671875" style="52" customWidth="1"/>
    <col min="18" max="16384" width="8.88671875" style="52" hidden="1"/>
  </cols>
  <sheetData>
    <row r="1" spans="1:17" ht="14.4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4.4">
      <c r="A2" s="68" t="s">
        <v>138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4.4">
      <c r="A4" s="53"/>
      <c r="B4" s="54" t="s">
        <v>137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4.4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4.4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4.4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4.4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4.4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4.4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4.4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4.4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4.4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4.4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4.4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4.4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4.4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4.4">
      <c r="A18" s="68" t="s">
        <v>139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</row>
    <row r="19" spans="1:17" ht="14.4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4.4">
      <c r="A20" s="53"/>
      <c r="B20" s="54" t="s">
        <v>137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4.4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4.4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4.4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4.4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4.4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4.4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4.4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4.4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4.4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4.4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4.4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4.4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4.4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4.4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03C-2F03-42EB-A4DF-DAB1EBCA33E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56" customWidth="1"/>
    <col min="19" max="48" width="0" style="56" hidden="1" customWidth="1"/>
    <col min="49" max="16384" width="8.88671875" style="56" hidden="1"/>
  </cols>
  <sheetData>
    <row r="1" spans="1:18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0"/>
      <c r="J1" s="51"/>
      <c r="K1" s="51"/>
      <c r="L1" s="51"/>
      <c r="M1" s="51"/>
      <c r="N1" s="51"/>
      <c r="O1" s="51"/>
      <c r="P1" s="51"/>
      <c r="Q1" s="51"/>
      <c r="R1" s="51" t="str">
        <f>'[2]Revision History'!$J$4</f>
        <v>Scott Research Group (jkscottresearchgroup.com)</v>
      </c>
    </row>
    <row r="2" spans="1:18">
      <c r="A2" s="57" t="s">
        <v>136</v>
      </c>
      <c r="B2" s="58"/>
      <c r="C2" s="58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>
      <c r="A3" s="53"/>
      <c r="B3" s="54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</row>
    <row r="4" spans="1:18">
      <c r="A4" s="53"/>
      <c r="B4" s="5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5" spans="1:18">
      <c r="A5" s="53"/>
      <c r="B5" s="54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2"/>
    </row>
    <row r="6" spans="1:18">
      <c r="A6" s="53"/>
      <c r="B6" s="54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2"/>
    </row>
    <row r="7" spans="1:18">
      <c r="A7" s="53"/>
      <c r="B7" s="54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18">
      <c r="A8" s="53"/>
      <c r="B8" s="54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</row>
    <row r="9" spans="1:18">
      <c r="A9" s="53"/>
      <c r="B9" s="54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8">
      <c r="A10" s="53"/>
      <c r="B10" s="54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2"/>
    </row>
    <row r="11" spans="1:18">
      <c r="A11" s="53"/>
      <c r="B11" s="5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2"/>
    </row>
    <row r="12" spans="1:18">
      <c r="A12" s="53"/>
      <c r="B12" s="54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</row>
    <row r="13" spans="1:18">
      <c r="A13" s="53"/>
      <c r="B13" s="54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2"/>
    </row>
    <row r="14" spans="1:18">
      <c r="A14" s="53"/>
      <c r="B14" s="54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</row>
    <row r="15" spans="1:18">
      <c r="A15" s="53"/>
      <c r="B15" s="54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2"/>
    </row>
    <row r="16" spans="1:18">
      <c r="A16" s="53"/>
      <c r="B16" s="54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2"/>
    </row>
    <row r="17" spans="1:18">
      <c r="A17" s="53"/>
      <c r="B17" s="54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</row>
    <row r="18" spans="1:18">
      <c r="A18" s="53"/>
      <c r="B18" s="54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2"/>
    </row>
    <row r="19" spans="1:18">
      <c r="A19" s="53"/>
      <c r="B19" s="54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2"/>
    </row>
    <row r="20" spans="1:18">
      <c r="A20" s="53"/>
      <c r="B20" s="54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2"/>
    </row>
    <row r="21" spans="1:18">
      <c r="A21" s="53"/>
      <c r="B21" s="54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</row>
    <row r="22" spans="1:18">
      <c r="A22" s="53"/>
      <c r="B22" s="54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>
      <c r="A23" s="53"/>
      <c r="B23" s="54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2"/>
    </row>
    <row r="24" spans="1:18">
      <c r="A24" s="53"/>
      <c r="B24" s="54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2"/>
    </row>
    <row r="25" spans="1:18">
      <c r="A25" s="53"/>
      <c r="B25" s="54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2"/>
    </row>
    <row r="26" spans="1:18">
      <c r="A26" s="53"/>
      <c r="B26" s="54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1:18">
      <c r="A27" s="53"/>
      <c r="B27" s="54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2"/>
    </row>
    <row r="28" spans="1:18">
      <c r="A28" s="53"/>
      <c r="B28" s="54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2"/>
    </row>
    <row r="29" spans="1:18">
      <c r="A29" s="53"/>
      <c r="B29" s="54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2"/>
    </row>
    <row r="30" spans="1:18">
      <c r="A30" s="53"/>
      <c r="B30" s="54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2"/>
    </row>
    <row r="31" spans="1:18">
      <c r="A31" s="53"/>
      <c r="B31" s="54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2"/>
    </row>
    <row r="32" spans="1:18">
      <c r="A32" s="53"/>
      <c r="B32" s="54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2"/>
    </row>
    <row r="33" spans="1:18">
      <c r="A33" s="53"/>
      <c r="B33" s="54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2"/>
    </row>
    <row r="34" spans="1:18">
      <c r="A34" s="53"/>
      <c r="B34" s="54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2"/>
    </row>
    <row r="35" spans="1:18">
      <c r="A35" s="53"/>
      <c r="B35" s="54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2"/>
    </row>
    <row r="36" spans="1:18">
      <c r="A36" s="53"/>
      <c r="B36" s="54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2"/>
    </row>
    <row r="37" spans="1:18">
      <c r="A37" s="53"/>
      <c r="B37" s="54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2"/>
    </row>
    <row r="38" spans="1:18">
      <c r="A38" s="53"/>
      <c r="B38" s="54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2"/>
    </row>
    <row r="39" spans="1:18">
      <c r="A39" s="53"/>
      <c r="B39" s="54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</row>
    <row r="40" spans="1:18">
      <c r="A40" s="53"/>
      <c r="B40" s="54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2"/>
    </row>
    <row r="41" spans="1:18">
      <c r="A41" s="53"/>
      <c r="B41" s="54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2"/>
    </row>
    <row r="42" spans="1:18">
      <c r="A42" s="53"/>
      <c r="B42" s="54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1:18">
      <c r="A43" s="53"/>
      <c r="B43" s="54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2"/>
    </row>
    <row r="44" spans="1:18">
      <c r="A44" s="53"/>
      <c r="B44" s="54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2"/>
    </row>
    <row r="45" spans="1:18">
      <c r="A45" s="53"/>
      <c r="B45" s="54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2"/>
    </row>
    <row r="46" spans="1:18">
      <c r="A46" s="53"/>
      <c r="B46" s="54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2"/>
    </row>
    <row r="47" spans="1:18">
      <c r="A47" s="53"/>
      <c r="B47" s="54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2"/>
    </row>
    <row r="48" spans="1:18">
      <c r="A48" s="53"/>
      <c r="B48" s="54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2"/>
    </row>
    <row r="49" spans="1:18">
      <c r="A49" s="53"/>
      <c r="B49" s="54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</row>
    <row r="50" spans="1:18">
      <c r="A50" s="53"/>
      <c r="B50" s="54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2"/>
    </row>
    <row r="51" spans="1:18">
      <c r="A51" s="53"/>
      <c r="B51" s="54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</row>
    <row r="52" spans="1:18">
      <c r="A52" s="53"/>
      <c r="B52" s="54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124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125</v>
      </c>
    </row>
    <row r="4" spans="1:21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126</v>
      </c>
    </row>
    <row r="5" spans="1:21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127</v>
      </c>
    </row>
    <row r="6" spans="1:21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128</v>
      </c>
    </row>
    <row r="7" spans="1:21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129</v>
      </c>
    </row>
    <row r="8" spans="1:21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130</v>
      </c>
    </row>
    <row r="9" spans="1:21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131</v>
      </c>
    </row>
    <row r="10" spans="1:21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53</v>
      </c>
      <c r="J13">
        <v>1</v>
      </c>
    </row>
    <row r="14" spans="1:21">
      <c r="B14" t="s">
        <v>21</v>
      </c>
      <c r="C14" t="s">
        <v>54</v>
      </c>
      <c r="J14">
        <v>2</v>
      </c>
    </row>
    <row r="15" spans="1:21">
      <c r="B15" t="s">
        <v>15</v>
      </c>
      <c r="C15" t="s">
        <v>55</v>
      </c>
    </row>
    <row r="16" spans="1:21">
      <c r="B16" t="s">
        <v>59</v>
      </c>
      <c r="C16" t="s">
        <v>56</v>
      </c>
      <c r="J16" t="s">
        <v>105</v>
      </c>
    </row>
    <row r="17" spans="2:10">
      <c r="B17" t="s">
        <v>18</v>
      </c>
      <c r="C17" t="s">
        <v>57</v>
      </c>
      <c r="J17" t="s">
        <v>8</v>
      </c>
    </row>
    <row r="18" spans="2:10">
      <c r="B18" t="s">
        <v>19</v>
      </c>
      <c r="C18" t="s">
        <v>58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43</v>
      </c>
      <c r="J21">
        <v>4</v>
      </c>
    </row>
    <row r="22" spans="2:10">
      <c r="C22" t="s">
        <v>42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A2"/>
  <sheetViews>
    <sheetView topLeftCell="CF1" workbookViewId="0">
      <selection activeCell="CM2" sqref="CM2"/>
    </sheetView>
  </sheetViews>
  <sheetFormatPr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1</v>
      </c>
      <c r="M2">
        <v>0</v>
      </c>
      <c r="N2">
        <v>0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A2"/>
  <sheetViews>
    <sheetView topLeftCell="CC1" workbookViewId="0">
      <selection activeCell="CR2" sqref="CR2"/>
    </sheetView>
  </sheetViews>
  <sheetFormatPr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Initialization</vt:lpstr>
      <vt:lpstr>Model Selection</vt:lpstr>
      <vt:lpstr>Help</vt:lpstr>
      <vt:lpstr>PFD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2022-06-16T11:25:50Z</dcterms:modified>
</cp:coreProperties>
</file>