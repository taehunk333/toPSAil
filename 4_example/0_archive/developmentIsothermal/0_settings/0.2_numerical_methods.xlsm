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developmentIsothermal\0_settings\"/>
    </mc:Choice>
  </mc:AlternateContent>
  <xr:revisionPtr revIDLastSave="0" documentId="13_ncr:1_{2D2EDFD0-B2F4-4EC2-A17B-AE01FE8DEF26}"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Discretization" sheetId="39" r:id="rId2"/>
    <sheet name="Numerical Integration" sheetId="42" r:id="rId3"/>
    <sheet name="Numerical Thresholds" sheetId="10" r:id="rId4"/>
    <sheet name="Help" sheetId="40" r:id="rId5"/>
    <sheet name="PFD" sheetId="41" r:id="rId6"/>
    <sheet name="Reference" sheetId="2" state="hidden" r:id="rId7"/>
    <sheet name="maintenance check list" sheetId="28" state="hidden" r:id="rId8"/>
    <sheet name="Data(Transposed)" sheetId="3" state="hidden" r:id="rId9"/>
    <sheet name="Data(Test)" sheetId="9" state="hidden" r:id="rId10"/>
  </sheets>
  <functionGroups builtInGroupCount="19"/>
  <externalReferences>
    <externalReference r:id="rId11"/>
    <externalReference r:id="rId12"/>
  </externalReferences>
  <definedNames>
    <definedName name="_xlnm._FilterDatabase" localSheetId="1" hidden="1">Discretization!$B$9:$K$12</definedName>
    <definedName name="_xlnm._FilterDatabase" localSheetId="2" hidden="1">'Numerical Integration'!$B$9:$K$11</definedName>
    <definedName name="_xlnm._FilterDatabase" localSheetId="3" hidden="1">'Numerical Thresholds'!$B$9:$K$11</definedName>
    <definedName name="_xlnm.Print_Area" localSheetId="1">Discretization!$B$2:$K$12</definedName>
    <definedName name="_xlnm.Print_Area" localSheetId="2">'Numerical Integration'!$B$2:$K$11</definedName>
    <definedName name="_xlnm.Print_Area" localSheetId="3">'Numerical Thresholds'!$B$2:$K$11</definedName>
    <definedName name="_xlnm.Print_Area" localSheetId="0">'Revision History'!$C$3:$K$51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 i="42" l="1"/>
  <c r="K2" i="42"/>
  <c r="B2" i="42"/>
  <c r="R1" i="41" l="1"/>
  <c r="A1" i="41"/>
  <c r="Q1" i="40"/>
  <c r="A1" i="40"/>
  <c r="K4" i="39"/>
  <c r="K2" i="39"/>
  <c r="B2" i="39"/>
  <c r="K2" i="10" l="1"/>
  <c r="K4" i="10" l="1"/>
  <c r="B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tc={2098560F-C92A-4527-B73B-CDE0FA861BCD}</author>
    <author>tc={02C02106-AE8E-4FEF-8B35-8F0B8F7C1FE9}</author>
    <author>tc={72C780EE-EEC0-48BF-833D-92549ACE4142}</author>
  </authors>
  <commentList>
    <comment ref="H9" authorId="0" shapeId="0" xr:uid="{2098560F-C92A-4527-B73B-CDE0FA861BCD}">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2C02106-AE8E-4FEF-8B35-8F0B8F7C1FE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72C780EE-EEC0-48BF-833D-92549ACE4142}">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tc={C5D634BE-660D-4A5C-AADC-13CFF35AFE46}</author>
    <author>tc={94EE4805-2227-461F-B7FB-15BAA4A0028B}</author>
    <author>tc={DF90C488-2806-4D10-ABFE-9DED4DF707CC}</author>
  </authors>
  <commentList>
    <comment ref="H9" authorId="0" shapeId="0" xr:uid="{C5D634BE-660D-4A5C-AADC-13CFF35AFE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94EE4805-2227-461F-B7FB-15BAA4A0028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DF90C488-2806-4D10-ABFE-9DED4DF707CC}">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sharedStrings.xml><?xml version="1.0" encoding="utf-8"?>
<sst xmlns="http://schemas.openxmlformats.org/spreadsheetml/2006/main" count="197" uniqueCount="115">
  <si>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</si>
  <si>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</si>
  <si>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</si>
  <si>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</si>
  <si>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</si>
  <si>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</si>
  <si>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</si>
  <si>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</si>
  <si>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</si>
  <si>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</si>
  <si>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</si>
  <si>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</si>
  <si>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</si>
  <si>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</si>
  <si>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</si>
  <si>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</si>
  <si>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</si>
  <si>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</si>
  <si>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</si>
  <si>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</si>
  <si>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</si>
  <si>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</si>
  <si>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</si>
  <si>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</si>
  <si>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</si>
  <si>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</si>
  <si>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</si>
  <si>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</si>
  <si>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</si>
  <si>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</si>
  <si>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</si>
  <si>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</si>
  <si>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</si>
  <si>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</si>
  <si>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</si>
  <si>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</si>
  <si>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</si>
  <si>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</si>
  <si>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</si>
  <si>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</si>
  <si>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</si>
  <si>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</si>
  <si>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</si>
  <si>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</si>
  <si>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</si>
  <si>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</si>
  <si>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</si>
  <si>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</si>
  <si>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</si>
  <si>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</si>
  <si>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</si>
  <si>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</si>
  <si>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</si>
  <si>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</si>
  <si>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</si>
  <si>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</si>
  <si>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</si>
  <si>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</si>
  <si>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HP</t>
  </si>
  <si>
    <t>DP</t>
  </si>
  <si>
    <t>LP</t>
  </si>
  <si>
    <t>RP</t>
  </si>
  <si>
    <t>Variable Type</t>
  </si>
  <si>
    <t>Test 1</t>
  </si>
  <si>
    <t>Test 2</t>
  </si>
  <si>
    <t>Step</t>
  </si>
  <si>
    <t>Isotherm</t>
  </si>
  <si>
    <t>Kinetics</t>
  </si>
  <si>
    <t>modSp3</t>
  </si>
  <si>
    <t>modSp4</t>
  </si>
  <si>
    <t>modSp5</t>
  </si>
  <si>
    <t>Test 3</t>
  </si>
  <si>
    <t>initCond</t>
  </si>
  <si>
    <t>EQ</t>
  </si>
  <si>
    <t>RT</t>
  </si>
  <si>
    <t>testVal</t>
  </si>
  <si>
    <t>Test Place holder</t>
  </si>
  <si>
    <t>boundCond</t>
  </si>
  <si>
    <t>event</t>
  </si>
  <si>
    <t>integer</t>
  </si>
  <si>
    <t>Cycle Types</t>
  </si>
  <si>
    <t>valve constant</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</si>
  <si>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</si>
  <si>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</si>
  <si>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</si>
  <si>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</si>
  <si>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flowDir</t>
  </si>
  <si>
    <t>product stream</t>
  </si>
  <si>
    <t>tank design</t>
  </si>
  <si>
    <t>MassTransferResistance</t>
  </si>
  <si>
    <t>Boolean</t>
  </si>
  <si>
    <t>numTanks</t>
  </si>
  <si>
    <t>initCondFeTa</t>
  </si>
  <si>
    <t>initCondRaTa</t>
  </si>
  <si>
    <t>numCols</t>
  </si>
  <si>
    <t>numIntSolv</t>
  </si>
  <si>
    <t>ode45</t>
  </si>
  <si>
    <t>ode23</t>
  </si>
  <si>
    <t>ode113</t>
  </si>
  <si>
    <t>ode15s</t>
  </si>
  <si>
    <t>ode23s</t>
  </si>
  <si>
    <t>ode23t</t>
  </si>
  <si>
    <t>ode23tb</t>
  </si>
  <si>
    <t>Purpose/Summary</t>
  </si>
  <si>
    <t>Initial development of the "cycle_organization.xlsm" sheet.</t>
  </si>
  <si>
    <t>REV. NO.1 (6/8/2022)</t>
  </si>
  <si>
    <t>Pressure Swing Adsorption Process Flow Diagram (PFD)</t>
  </si>
  <si>
    <t>TBD</t>
  </si>
  <si>
    <t>Information on Numerical Methods</t>
  </si>
  <si>
    <t>The number of CSTRs to be used to represent an adsorption column. Recommended value is 200 CSTRs. (reducing the number of CSTRs introduces an artificial numerical diffusion and increasing the number of CSTRs increases the computation time)</t>
  </si>
  <si>
    <t>nTiPts</t>
  </si>
  <si>
    <t>The number of time points to be returned after the numerical integration (without event driven mode)</t>
  </si>
  <si>
    <t>The ode solver used for the numerical integration of the right hand side function.</t>
  </si>
  <si>
    <t>numZero</t>
  </si>
  <si>
    <t>Definition of a zero for the purpose of the simulation.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</si>
</sst>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s>
  <fills count="6">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7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7" fillId="2" borderId="10"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4" borderId="0" xfId="0" applyFont="1" applyFill="1" applyBorder="1" applyAlignment="1" applyProtection="1">
      <alignment horizontal="left" vertical="center"/>
    </xf>
    <xf numFmtId="0" fontId="6" fillId="3" borderId="1" xfId="1" applyFont="1" applyFill="1" applyBorder="1" applyAlignment="1" applyProtection="1">
      <alignment horizontal="center" vertical="center" wrapText="1"/>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3" xfId="0" applyFont="1" applyFill="1" applyBorder="1" applyAlignment="1">
      <alignment vertical="center"/>
    </xf>
    <xf numFmtId="0" fontId="4" fillId="3" borderId="0" xfId="0" applyFont="1" applyFill="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0" xfId="0" applyFont="1" applyFill="1"/>
    <xf numFmtId="0" fontId="4" fillId="3" borderId="13" xfId="0" applyFont="1" applyFill="1" applyBorder="1"/>
    <xf numFmtId="11" fontId="7" fillId="2" borderId="10" xfId="0" applyNumberFormat="1" applyFont="1" applyFill="1" applyBorder="1" applyAlignment="1" applyProtection="1">
      <alignment horizontal="center" vertical="center"/>
      <protection locked="0"/>
    </xf>
    <xf numFmtId="0" fontId="5" fillId="0" borderId="2" xfId="1" applyFont="1" applyBorder="1" applyAlignment="1" applyProtection="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3"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60">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1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100-0000015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100-0000025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100-0000035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200-00000164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200-00000264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200-00000364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403412</xdr:colOff>
      <xdr:row>2</xdr:row>
      <xdr:rowOff>107576</xdr:rowOff>
    </xdr:from>
    <xdr:to>
      <xdr:col>17</xdr:col>
      <xdr:colOff>188258</xdr:colOff>
      <xdr:row>51</xdr:row>
      <xdr:rowOff>17930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03412" y="473336"/>
          <a:ext cx="10148046" cy="88714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ocuments/GitHub/toPSAil/4_example/development/4_cycle_organization/4.1_cycle_organiz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1_adsorber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Step Durations"/>
      <sheetName val="Step Events"/>
      <sheetName val="Adsorber Valves"/>
      <sheetName val="Flowsheet Valves"/>
      <sheetName val="Help"/>
      <sheetName val="PFD"/>
      <sheetName val="Cv"/>
      <sheetName val="maintenance check list"/>
      <sheetName val="Data(Transposed)"/>
      <sheetName val="Data(Test)"/>
    </sheetNames>
    <sheetDataSet>
      <sheetData sheetId="0">
        <row r="4">
          <cell r="D4" t="str">
            <v>REV. NO.1 (6/8/2022)</v>
          </cell>
        </row>
      </sheetData>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B3E855-406C-4674-A51D-86A64789BB44}" name="Table132" displayName="Table132" ref="B9:K12" totalsRowShown="0" headerRowDxfId="54" dataDxfId="52" headerRowBorderDxfId="53" tableBorderDxfId="51" totalsRowBorderDxfId="50">
  <autoFilter ref="B9:K12" xr:uid="{B089C5C3-2CCE-4800-96CA-2131BB6E3E4F}"/>
  <tableColumns count="10">
    <tableColumn id="1" xr3:uid="{68F80D25-29F2-4666-84E3-9B384B347FD6}" name="Variable" dataDxfId="49"/>
    <tableColumn id="4" xr3:uid="{970AC59F-A924-43F5-8348-8D9DC81CE55B}" name="Value" dataDxfId="48"/>
    <tableColumn id="5" xr3:uid="{4FD08566-BE5D-47FE-B0A9-0CA38A822BD7}" name="Unit" dataDxfId="47"/>
    <tableColumn id="6" xr3:uid="{0F3D7A19-FE09-47B5-B728-B70B368EF4CC}" name="Comparisons" dataDxfId="46"/>
    <tableColumn id="7" xr3:uid="{5AF158AA-FE83-40DC-9724-0492D92AFA6F}" name="Variable Type" dataDxfId="45"/>
    <tableColumn id="8" xr3:uid="{78535DA3-AFED-41F4-9B3B-57036563810F}" name="Dependency" dataDxfId="44"/>
    <tableColumn id="12" xr3:uid="{38B40BA1-DBE1-4774-8D5F-BDC4A25DDD46}" name="Test 1" dataDxfId="43"/>
    <tableColumn id="10" xr3:uid="{89B3A532-8A94-4DC0-B282-E767ECBF7A34}" name="Test 2" dataDxfId="42"/>
    <tableColumn id="2" xr3:uid="{8BB3F0AB-F341-44C2-860A-A879E77C3D5D}" name="Test 3" dataDxfId="41"/>
    <tableColumn id="9" xr3:uid="{9BB1CE86-B342-454F-B7CA-E8FDD6004FB1}" name="Description" dataDxfId="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7682B18-F4FE-4FC2-9A5F-70A7078D962A}" name="Table134" displayName="Table134" ref="B9:K11" totalsRowShown="0" headerRowDxfId="34" dataDxfId="32" headerRowBorderDxfId="33" tableBorderDxfId="31" totalsRowBorderDxfId="30">
  <autoFilter ref="B9:K11" xr:uid="{B089C5C3-2CCE-4800-96CA-2131BB6E3E4F}"/>
  <tableColumns count="10">
    <tableColumn id="1" xr3:uid="{44527B90-242C-40DC-9805-73C1AD53D8DE}" name="Variable" dataDxfId="29"/>
    <tableColumn id="4" xr3:uid="{9A77B637-C12D-4325-BF96-973CBAE4866E}" name="Value" dataDxfId="28"/>
    <tableColumn id="5" xr3:uid="{AEA85F49-867F-4B85-BACE-AD9CB589649E}" name="Unit" dataDxfId="27"/>
    <tableColumn id="6" xr3:uid="{1B0349BE-38DA-410D-8F15-C7346859BF32}" name="Comparisons" dataDxfId="26"/>
    <tableColumn id="7" xr3:uid="{409CED4C-D080-477D-9B90-A84142BC5A32}" name="Variable Type" dataDxfId="25"/>
    <tableColumn id="8" xr3:uid="{314933D0-2B2C-47ED-8193-EDCBA554FFE7}" name="Dependency" dataDxfId="24"/>
    <tableColumn id="12" xr3:uid="{BB26D5FC-5CD9-487F-8F53-FB91FA67B5D1}" name="Test 1" dataDxfId="23"/>
    <tableColumn id="10" xr3:uid="{643D44CC-B3DD-406E-A883-B5287F7EFB44}" name="Test 2" dataDxfId="22"/>
    <tableColumn id="2" xr3:uid="{C03D5DA2-FFE8-4776-AB78-1E2E44CB5C02}" name="Test 3" dataDxfId="21"/>
    <tableColumn id="9" xr3:uid="{098246D3-D1A4-4027-9724-2C743B0AB2CA}" name="Description" dataDxfId="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11" totalsRowShown="0" headerRowDxfId="14" dataDxfId="12" headerRowBorderDxfId="13" tableBorderDxfId="11" totalsRowBorderDxfId="10">
  <autoFilter ref="B9:K11" xr:uid="{B089C5C3-2CCE-4800-96CA-2131BB6E3E4F}"/>
  <tableColumns count="10">
    <tableColumn id="1" xr3:uid="{E0503319-4244-40BF-80AC-47EAB20F9D82}" name="Variable" dataDxfId="9"/>
    <tableColumn id="4" xr3:uid="{C9B93118-2D75-48EB-867F-A112A1413B3A}" name="Value" dataDxfId="8"/>
    <tableColumn id="5" xr3:uid="{6DB24D56-641D-41E7-A0AF-33D3EA326C9E}" name="Unit" dataDxfId="7"/>
    <tableColumn id="6" xr3:uid="{EC0DB7D6-1463-4C4D-9A2A-4BC3C7916932}" name="Comparisons" dataDxfId="6"/>
    <tableColumn id="7" xr3:uid="{6FE91FB5-8BB7-4A02-B5AC-265E1EBFD7A4}" name="Variable Type" dataDxfId="5"/>
    <tableColumn id="8" xr3:uid="{A6460C6C-273A-466F-8C24-29520D28AB0E}" name="Dependency" dataDxfId="4"/>
    <tableColumn id="12" xr3:uid="{0D55DF56-EF41-44E6-9DE8-92E85F8BC954}" name="Test 1" dataDxfId="3"/>
    <tableColumn id="10" xr3:uid="{FE581202-0C06-4BC7-8D50-2FDDC17F8184}" name="Test 2" dataDxfId="2"/>
    <tableColumn id="2" xr3:uid="{0C40960E-3CC9-432B-A5CB-D76546536ADF}" name="Test 3" dataDxfId="1"/>
    <tableColumn id="9" xr3:uid="{05A43EF2-B89E-41B1-ABA5-98E847A1B9DC}"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2098560F-C92A-4527-B73B-CDE0FA861BCD}">
    <text>place 1 if we want to keep the row when re-initializing. Otherwise, leave it as a blank.</text>
  </threadedComment>
  <threadedComment ref="I9" dT="2020-11-26T18:35:03.27" personId="{7F98AE94-13FB-49E1-9262-339C11E0EDB4}" id="{02C02106-AE8E-4FEF-8B35-8F0B8F7C1FE9}">
    <text>supply a value greater than 1 if you want to duplicate the row</text>
  </threadedComment>
  <threadedComment ref="J9" dT="2020-11-28T01:53:47.29" personId="{7F98AE94-13FB-49E1-9262-339C11E0EDB4}" id="{72C780EE-EEC0-48BF-833D-92549ACE4142}">
    <text>1 means we need to have the variable specified; 0 means we need not have the variable specified</text>
  </threadedComment>
  <threadedComment ref="J9" dT="2020-11-28T01:56:42.32" personId="{7F98AE94-13FB-49E1-9262-339C11E0EDB4}" id="{EB57C615-2C60-4259-A14C-6668D247E387}" parentId="{72C780EE-EEC0-48BF-833D-92549ACE4142}">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C5D634BE-660D-4A5C-AADC-13CFF35AFE46}">
    <text>place 1 if we want to keep the row when re-initializing. Otherwise, leave it as a blank.</text>
  </threadedComment>
  <threadedComment ref="I9" dT="2020-11-26T18:35:03.27" personId="{7F98AE94-13FB-49E1-9262-339C11E0EDB4}" id="{94EE4805-2227-461F-B7FB-15BAA4A0028B}">
    <text>supply a value greater than 1 if you want to duplicate the row</text>
  </threadedComment>
  <threadedComment ref="J9" dT="2020-11-28T01:53:47.29" personId="{7F98AE94-13FB-49E1-9262-339C11E0EDB4}" id="{DF90C488-2806-4D10-ABFE-9DED4DF707CC}">
    <text>1 means we need to have the variable specified; 0 means we need not have the variable specified</text>
  </threadedComment>
  <threadedComment ref="J9" dT="2020-11-28T01:56:42.32" personId="{7F98AE94-13FB-49E1-9262-339C11E0EDB4}" id="{95F54BA1-ACF8-4C2E-B5A8-AF8101218BED}" parentId="{DF90C488-2806-4D10-ABFE-9DED4DF707CC}">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E9" sqref="E9"/>
    </sheetView>
  </sheetViews>
  <sheetFormatPr defaultColWidth="0" defaultRowHeight="14.4" zeroHeight="1"/>
  <cols>
    <col min="1" max="2" width="3.33203125" style="28" hidden="1" customWidth="1"/>
    <col min="3" max="3" width="2.44140625" style="28" customWidth="1"/>
    <col min="4" max="4" width="13.88671875" style="28" customWidth="1"/>
    <col min="5" max="5" width="51.33203125" style="29" bestFit="1" customWidth="1"/>
    <col min="6" max="6" width="15.77734375" style="30" bestFit="1" customWidth="1"/>
    <col min="7" max="9" width="13.33203125" style="28" customWidth="1"/>
    <col min="10" max="10" width="48.88671875" style="28" customWidth="1"/>
    <col min="11" max="11" width="2.44140625" style="28" customWidth="1"/>
    <col min="12" max="12" width="0" style="28" hidden="1" customWidth="1"/>
    <col min="13" max="16384" width="9" style="28" hidden="1"/>
  </cols>
  <sheetData>
    <row r="3" spans="4:10"/>
    <row r="4" spans="4:10" ht="18">
      <c r="D4" s="44" t="s">
        <v>105</v>
      </c>
      <c r="E4" s="45"/>
      <c r="F4" s="46"/>
      <c r="G4" s="47"/>
      <c r="H4" s="47"/>
      <c r="I4" s="47"/>
      <c r="J4" s="31" t="s">
        <v>82</v>
      </c>
    </row>
    <row r="5" spans="4:10" ht="36">
      <c r="D5" s="63" t="s">
        <v>36</v>
      </c>
      <c r="E5" s="63"/>
      <c r="F5" s="63"/>
      <c r="G5" s="63"/>
      <c r="H5" s="63"/>
      <c r="I5" s="63"/>
      <c r="J5" s="63"/>
    </row>
    <row r="6" spans="4:10" ht="18">
      <c r="D6" s="40" t="s">
        <v>30</v>
      </c>
      <c r="E6" s="40" t="s">
        <v>103</v>
      </c>
      <c r="F6" s="40" t="s">
        <v>31</v>
      </c>
      <c r="G6" s="40" t="s">
        <v>32</v>
      </c>
      <c r="H6" s="40" t="s">
        <v>33</v>
      </c>
      <c r="I6" s="40" t="s">
        <v>34</v>
      </c>
      <c r="J6" s="40" t="s">
        <v>35</v>
      </c>
    </row>
    <row r="7" spans="4:10" ht="36">
      <c r="D7" s="32">
        <v>1</v>
      </c>
      <c r="E7" s="41" t="s">
        <v>104</v>
      </c>
      <c r="F7" s="42">
        <v>44720</v>
      </c>
      <c r="G7" s="43" t="s">
        <v>37</v>
      </c>
      <c r="H7" s="32"/>
      <c r="I7" s="32"/>
      <c r="J7" s="33"/>
    </row>
    <row r="8" spans="4:10" ht="18">
      <c r="D8" s="32">
        <v>2</v>
      </c>
      <c r="E8" s="33"/>
      <c r="F8" s="34"/>
      <c r="G8" s="32"/>
      <c r="H8" s="32"/>
      <c r="I8" s="32"/>
      <c r="J8" s="33"/>
    </row>
    <row r="9" spans="4:10" ht="18">
      <c r="D9" s="32">
        <v>3</v>
      </c>
      <c r="E9" s="33"/>
      <c r="F9" s="34"/>
      <c r="G9" s="32"/>
      <c r="H9" s="32"/>
      <c r="I9" s="32"/>
      <c r="J9" s="33"/>
    </row>
    <row r="10" spans="4:10" ht="18">
      <c r="D10" s="32">
        <v>4</v>
      </c>
      <c r="E10" s="33"/>
      <c r="F10" s="34"/>
      <c r="G10" s="32"/>
      <c r="H10" s="32"/>
      <c r="I10" s="32"/>
      <c r="J10" s="33"/>
    </row>
    <row r="11" spans="4:10" ht="18">
      <c r="D11" s="32">
        <v>5</v>
      </c>
      <c r="E11" s="33"/>
      <c r="F11" s="34"/>
      <c r="G11" s="32"/>
      <c r="H11" s="32"/>
      <c r="I11" s="32"/>
      <c r="J11" s="33"/>
    </row>
    <row r="12" spans="4:10" ht="18">
      <c r="D12" s="32">
        <v>6</v>
      </c>
      <c r="E12" s="33"/>
      <c r="F12" s="34"/>
      <c r="G12" s="32"/>
      <c r="H12" s="32"/>
      <c r="I12" s="32"/>
      <c r="J12" s="33"/>
    </row>
    <row r="13" spans="4:10" ht="18">
      <c r="D13" s="32">
        <v>7</v>
      </c>
      <c r="E13" s="33"/>
      <c r="F13" s="34"/>
      <c r="G13" s="32"/>
      <c r="H13" s="32"/>
      <c r="I13" s="32"/>
      <c r="J13" s="33"/>
    </row>
    <row r="14" spans="4:10" ht="18">
      <c r="D14" s="32">
        <v>8</v>
      </c>
      <c r="E14" s="33"/>
      <c r="F14" s="34"/>
      <c r="G14" s="32"/>
      <c r="H14" s="32"/>
      <c r="I14" s="32"/>
      <c r="J14" s="33"/>
    </row>
    <row r="15" spans="4:10" ht="18">
      <c r="D15" s="32">
        <v>9</v>
      </c>
      <c r="E15" s="33"/>
      <c r="F15" s="34"/>
      <c r="G15" s="32"/>
      <c r="H15" s="32"/>
      <c r="I15" s="32"/>
      <c r="J15" s="33"/>
    </row>
    <row r="16" spans="4:10" ht="18">
      <c r="D16" s="32">
        <v>10</v>
      </c>
      <c r="E16" s="33"/>
      <c r="F16" s="34"/>
      <c r="G16" s="32"/>
      <c r="H16" s="32"/>
      <c r="I16" s="32"/>
      <c r="J16" s="35"/>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FC84A837-F237-42CE-921B-6CC371E1A6D5}"/>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ECA29-6AD6-496C-9683-B393D5E22A05}">
  <sheetPr codeName="Sheet6">
    <tabColor rgb="FF00B050"/>
  </sheetPr>
  <dimension ref="A2:K12"/>
  <sheetViews>
    <sheetView showGridLines="0"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customHeight="1"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9"/>
      <c r="E4" s="15"/>
      <c r="F4" s="15"/>
      <c r="G4" s="15"/>
      <c r="H4" s="15"/>
      <c r="I4" s="15"/>
      <c r="J4" s="14"/>
      <c r="K4" s="65" t="str">
        <f>IF(COUNTIF(Table132[Test 3],1)=COUNTA(Table132[Value]),"Ready","Not Ready")</f>
        <v>Ready</v>
      </c>
    </row>
    <row r="5" spans="2:11" ht="14.4" customHeight="1">
      <c r="B5" s="13"/>
      <c r="C5" s="14"/>
      <c r="D5" s="39"/>
      <c r="E5" s="15"/>
      <c r="F5" s="15"/>
      <c r="G5" s="15"/>
      <c r="H5" s="15"/>
      <c r="I5" s="15"/>
      <c r="J5" s="15"/>
      <c r="K5" s="66"/>
    </row>
    <row r="6" spans="2:11" ht="14.4" customHeight="1">
      <c r="B6" s="13"/>
      <c r="C6" s="14"/>
      <c r="D6" s="39"/>
      <c r="E6" s="15"/>
      <c r="F6" s="15"/>
      <c r="G6" s="15"/>
      <c r="H6" s="15"/>
      <c r="I6" s="15"/>
      <c r="J6" s="15"/>
      <c r="K6" s="66"/>
    </row>
    <row r="7" spans="2:11" ht="14.4" customHeight="1">
      <c r="B7" s="13"/>
      <c r="C7" s="14"/>
      <c r="D7" s="39"/>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86.4">
      <c r="B10" s="4" t="s">
        <v>4</v>
      </c>
      <c r="C10" s="27">
        <v>200</v>
      </c>
      <c r="D10" s="2" t="s">
        <v>3</v>
      </c>
      <c r="E10" s="38" t="s">
        <v>24</v>
      </c>
      <c r="F10" s="38" t="s">
        <v>7</v>
      </c>
      <c r="G10" s="2" t="s">
        <v>39</v>
      </c>
      <c r="H10" s="38">
        <v>1</v>
      </c>
      <c r="I10" s="38">
        <v>1</v>
      </c>
      <c r="J10" s="6">
        <v>1</v>
      </c>
      <c r="K10" s="5" t="s">
        <v>109</v>
      </c>
    </row>
    <row r="11" spans="2:11" ht="43.2">
      <c r="B11" s="4" t="s">
        <v>110</v>
      </c>
      <c r="C11" s="27">
        <v>25</v>
      </c>
      <c r="D11" s="2" t="s">
        <v>3</v>
      </c>
      <c r="E11" s="38" t="s">
        <v>24</v>
      </c>
      <c r="F11" s="38" t="s">
        <v>7</v>
      </c>
      <c r="G11" s="2" t="s">
        <v>45</v>
      </c>
      <c r="H11" s="38">
        <v>1</v>
      </c>
      <c r="I11" s="38">
        <v>1</v>
      </c>
      <c r="J11" s="6">
        <v>1</v>
      </c>
      <c r="K11" s="5" t="s">
        <v>111</v>
      </c>
    </row>
    <row r="12" spans="2:11">
      <c r="B12" s="8" t="s">
        <v>75</v>
      </c>
      <c r="C12" s="27"/>
      <c r="D12" s="9"/>
      <c r="E12" s="10"/>
      <c r="F12" s="10"/>
      <c r="G12" s="9"/>
      <c r="H12" s="10">
        <v>1</v>
      </c>
      <c r="I12" s="10">
        <v>1</v>
      </c>
      <c r="J12" s="11">
        <v>0</v>
      </c>
      <c r="K12" s="12" t="s">
        <v>76</v>
      </c>
    </row>
  </sheetData>
  <sheetProtection algorithmName="SHA-512" hashValue="gyxTWWDLnhaC8boEpOWqEp4fLEEygJm3eiJjFw0QkqKr67VGh0+HQogBYdsmPZOrzo2eM70d1E4pbJYp0yUH5A==" saltValue="9lBnbdwTL3LbSOLQwaAytA==" spinCount="100000" sheet="1" objects="1" scenarios="1" selectLockedCells="1"/>
  <mergeCells count="2">
    <mergeCell ref="B3:K3"/>
    <mergeCell ref="K4:K8"/>
  </mergeCells>
  <conditionalFormatting sqref="C10:C12">
    <cfRule type="expression" dxfId="59" priority="1">
      <formula>IF(AND($C10&lt;&gt;"",$J10=0),1,0)</formula>
    </cfRule>
    <cfRule type="expression" dxfId="58" priority="2">
      <formula>IF($C10&lt;&gt;"",1,0)</formula>
    </cfRule>
    <cfRule type="expression" dxfId="57" priority="3">
      <formula>$J10 = 0</formula>
    </cfRule>
  </conditionalFormatting>
  <conditionalFormatting sqref="K4">
    <cfRule type="expression" dxfId="56" priority="1918">
      <formula>IF(COUNTA($C$10:$C$12)&lt;&gt;COUNTIF($J$10:$J$12,1),1,0)</formula>
    </cfRule>
    <cfRule type="expression" dxfId="55" priority="1919">
      <formula>IF(COUNTA($C$10:$C$12)=COUNTIF($J$10:$J$12,1),1,0)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806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806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FAB8191F-D5A5-4883-8B36-5132CBEEBF34}">
          <x14:formula1>
            <xm:f>Reference!$C$2:$C$23</xm:f>
          </x14:formula1>
          <xm:sqref>G10:G12</xm:sqref>
        </x14:dataValidation>
        <x14:dataValidation type="list" allowBlank="1" showInputMessage="1" showErrorMessage="1" xr:uid="{FB5ECD24-63AB-49B4-AC30-9E289237726A}">
          <x14:formula1>
            <xm:f>Reference!$B$2:$B$18</xm:f>
          </x14:formula1>
          <xm:sqref>E10:E12</xm:sqref>
        </x14:dataValidation>
        <x14:dataValidation type="list" allowBlank="1" showInputMessage="1" showErrorMessage="1" xr:uid="{0B8D5AFE-9007-42BF-9922-5CE5F4505C3A}">
          <x14:formula1>
            <xm:f>Reference!$A$2:$A$8</xm:f>
          </x14:formula1>
          <xm:sqref>F10:F12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4401F-93D1-4CE5-BCAE-AEC00902C7AE}">
  <sheetPr codeName="Sheet7">
    <tabColor rgb="FF00B050"/>
  </sheetPr>
  <dimension ref="A2:K11"/>
  <sheetViews>
    <sheetView showGridLines="0" tabSelected="1" topLeftCell="B2" zoomScale="85" zoomScaleNormal="85" zoomScaleSheetLayoutView="70" workbookViewId="0">
      <pane ySplit="8" topLeftCell="A10" activePane="bottomLeft" state="frozen"/>
      <selection activeCell="B2" sqref="B2"/>
      <selection pane="bottomLeft" activeCell="C10" sqref="C10"/>
    </sheetView>
  </sheetViews>
  <sheetFormatPr defaultColWidth="0" defaultRowHeight="14.4" customHeight="1"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9"/>
      <c r="E4" s="15"/>
      <c r="F4" s="15"/>
      <c r="G4" s="15"/>
      <c r="H4" s="15"/>
      <c r="I4" s="15"/>
      <c r="J4" s="14"/>
      <c r="K4" s="65" t="str">
        <f>IF(COUNTIF(Table134[Test 3],1)=COUNTA(Table134[Value]),"Ready","Not Ready")</f>
        <v>Ready</v>
      </c>
    </row>
    <row r="5" spans="2:11" ht="14.4" customHeight="1">
      <c r="B5" s="13"/>
      <c r="C5" s="14"/>
      <c r="D5" s="39"/>
      <c r="E5" s="15"/>
      <c r="F5" s="15"/>
      <c r="G5" s="15"/>
      <c r="H5" s="15"/>
      <c r="I5" s="15"/>
      <c r="J5" s="15"/>
      <c r="K5" s="66"/>
    </row>
    <row r="6" spans="2:11" ht="14.4" customHeight="1">
      <c r="B6" s="13"/>
      <c r="C6" s="14"/>
      <c r="D6" s="39"/>
      <c r="E6" s="15"/>
      <c r="F6" s="15"/>
      <c r="G6" s="15"/>
      <c r="H6" s="15"/>
      <c r="I6" s="15"/>
      <c r="J6" s="15"/>
      <c r="K6" s="66"/>
    </row>
    <row r="7" spans="2:11" ht="14.4" customHeight="1">
      <c r="B7" s="13"/>
      <c r="C7" s="14"/>
      <c r="D7" s="39"/>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28.8">
      <c r="B10" s="4" t="s">
        <v>95</v>
      </c>
      <c r="C10" s="27" t="s">
        <v>99</v>
      </c>
      <c r="D10" s="2" t="s">
        <v>3</v>
      </c>
      <c r="E10" s="38" t="s">
        <v>24</v>
      </c>
      <c r="F10" s="38" t="s">
        <v>9</v>
      </c>
      <c r="G10" s="2" t="s">
        <v>39</v>
      </c>
      <c r="H10" s="38">
        <v>1</v>
      </c>
      <c r="I10" s="38">
        <v>1</v>
      </c>
      <c r="J10" s="6">
        <v>1</v>
      </c>
      <c r="K10" s="5" t="s">
        <v>112</v>
      </c>
    </row>
    <row r="11" spans="2:11">
      <c r="B11" s="8" t="s">
        <v>75</v>
      </c>
      <c r="C11" s="27"/>
      <c r="D11" s="9"/>
      <c r="E11" s="10"/>
      <c r="F11" s="10"/>
      <c r="G11" s="9"/>
      <c r="H11" s="10">
        <v>1</v>
      </c>
      <c r="I11" s="10">
        <v>1</v>
      </c>
      <c r="J11" s="11">
        <v>0</v>
      </c>
      <c r="K11" s="12" t="s">
        <v>76</v>
      </c>
    </row>
  </sheetData>
  <sheetProtection algorithmName="SHA-512" hashValue="+MisIQXHpUFp1HszG/xciXiB6OR5HZWuJ8tetfUivh3NbU9LIH0cgnW2KwMQen5SUVS94dT3/BlRAKy4Jc+h3g==" saltValue="F2gqe4J+Rw71n2Jh2NFL+A==" spinCount="100000" sheet="1" objects="1" scenarios="1" selectLockedCells="1"/>
  <mergeCells count="2">
    <mergeCell ref="B3:K3"/>
    <mergeCell ref="K4:K8"/>
  </mergeCells>
  <conditionalFormatting sqref="C10:C11">
    <cfRule type="expression" dxfId="39" priority="1">
      <formula>IF(AND($C10&lt;&gt;"",$J10=0),1,0)</formula>
    </cfRule>
    <cfRule type="expression" dxfId="38" priority="2">
      <formula>IF($C10&lt;&gt;"",1,0)</formula>
    </cfRule>
    <cfRule type="expression" dxfId="37" priority="3">
      <formula>$J10 = 0</formula>
    </cfRule>
  </conditionalFormatting>
  <conditionalFormatting sqref="K4">
    <cfRule type="expression" dxfId="36" priority="1934">
      <formula>IF(COUNTA($C$10:$C$11)&lt;&gt;COUNTIF($J$10:$J$11,1),1,0)</formula>
    </cfRule>
    <cfRule type="expression" dxfId="35" priority="1935">
      <formula>IF(COUNTA($C$10:$C$11)=COUNTIF($J$10:$J$11,1),1,0)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113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113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1DA2FAB9-88CC-4CAE-A5E9-8E19A9FA1FE9}">
          <x14:formula1>
            <xm:f>Reference!$C$2:$C$23</xm:f>
          </x14:formula1>
          <xm:sqref>G10:G11</xm:sqref>
        </x14:dataValidation>
        <x14:dataValidation type="list" allowBlank="1" showInputMessage="1" showErrorMessage="1" xr:uid="{1072503C-EAD1-4766-96E7-090AB656E30D}">
          <x14:formula1>
            <xm:f>Reference!$B$2:$B$18</xm:f>
          </x14:formula1>
          <xm:sqref>E10:E11</xm:sqref>
        </x14:dataValidation>
        <x14:dataValidation type="list" allowBlank="1" showInputMessage="1" showErrorMessage="1" xr:uid="{08C43EF1-400F-4581-B60E-5E8A441790F8}">
          <x14:formula1>
            <xm:f>Reference!$A$2:$A$8</xm:f>
          </x14:formula1>
          <xm:sqref>F10:F11</xm:sqref>
        </x14:dataValidation>
        <x14:dataValidation type="list" allowBlank="1" showInputMessage="1" showErrorMessage="1" xr:uid="{9267AE52-793A-48F7-A3B8-0D172D49F9AB}">
          <x14:formula1>
            <xm:f>Reference!$U$2:$U$9</xm:f>
          </x14:formula1>
          <xm:sqref>C10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11"/>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0" t="str">
        <f>'Revision History'!$D$4</f>
        <v>REV. NO.1 (6/8/2022)</v>
      </c>
      <c r="C2" s="21"/>
      <c r="D2" s="21"/>
      <c r="E2" s="21"/>
      <c r="F2" s="21"/>
      <c r="G2" s="21"/>
      <c r="H2" s="21"/>
      <c r="I2" s="21"/>
      <c r="J2" s="21"/>
      <c r="K2" s="22" t="str">
        <f>'Revision History'!$J$4</f>
        <v>Scott Research Group (jkscottresearchgroup.com)</v>
      </c>
    </row>
    <row r="3" spans="2:11" ht="18">
      <c r="B3" s="64" t="s">
        <v>29</v>
      </c>
      <c r="C3" s="64"/>
      <c r="D3" s="64"/>
      <c r="E3" s="64"/>
      <c r="F3" s="64"/>
      <c r="G3" s="64"/>
      <c r="H3" s="64"/>
      <c r="I3" s="64"/>
      <c r="J3" s="64"/>
      <c r="K3" s="64"/>
    </row>
    <row r="4" spans="2:11" ht="14.4" customHeight="1">
      <c r="B4" s="13"/>
      <c r="C4" s="14"/>
      <c r="D4" s="36"/>
      <c r="E4" s="15"/>
      <c r="F4" s="15"/>
      <c r="G4" s="15"/>
      <c r="H4" s="15"/>
      <c r="I4" s="15"/>
      <c r="J4" s="14"/>
      <c r="K4" s="65" t="str">
        <f>IF(COUNTIF(Table13[Test 3],1)=COUNTA(Table13[Value]),"Ready","Not Ready")</f>
        <v>Ready</v>
      </c>
    </row>
    <row r="5" spans="2:11" ht="14.4" customHeight="1">
      <c r="B5" s="13"/>
      <c r="C5" s="14"/>
      <c r="D5" s="36"/>
      <c r="E5" s="15"/>
      <c r="F5" s="15"/>
      <c r="G5" s="15"/>
      <c r="H5" s="15"/>
      <c r="I5" s="15"/>
      <c r="J5" s="15"/>
      <c r="K5" s="66"/>
    </row>
    <row r="6" spans="2:11" ht="14.4" customHeight="1">
      <c r="B6" s="13"/>
      <c r="C6" s="14"/>
      <c r="D6" s="36"/>
      <c r="E6" s="15"/>
      <c r="F6" s="15"/>
      <c r="G6" s="15"/>
      <c r="H6" s="15"/>
      <c r="I6" s="15"/>
      <c r="J6" s="15"/>
      <c r="K6" s="66"/>
    </row>
    <row r="7" spans="2:11" ht="14.4" customHeight="1">
      <c r="B7" s="13"/>
      <c r="C7" s="14"/>
      <c r="D7" s="36"/>
      <c r="E7" s="15"/>
      <c r="F7" s="15"/>
      <c r="G7" s="15"/>
      <c r="H7" s="15"/>
      <c r="I7" s="15"/>
      <c r="J7" s="15"/>
      <c r="K7" s="66"/>
    </row>
    <row r="8" spans="2:11" ht="14.4" customHeight="1">
      <c r="B8" s="16"/>
      <c r="C8" s="17"/>
      <c r="D8" s="18"/>
      <c r="E8" s="19"/>
      <c r="F8" s="19"/>
      <c r="G8" s="19"/>
      <c r="H8" s="19"/>
      <c r="I8" s="19"/>
      <c r="J8" s="19"/>
      <c r="K8" s="67"/>
    </row>
    <row r="9" spans="2:11">
      <c r="B9" s="23" t="s">
        <v>0</v>
      </c>
      <c r="C9" s="24" t="s">
        <v>1</v>
      </c>
      <c r="D9" s="24" t="s">
        <v>2</v>
      </c>
      <c r="E9" s="24" t="s">
        <v>14</v>
      </c>
      <c r="F9" s="24" t="s">
        <v>62</v>
      </c>
      <c r="G9" s="25" t="s">
        <v>38</v>
      </c>
      <c r="H9" s="25" t="s">
        <v>63</v>
      </c>
      <c r="I9" s="24" t="s">
        <v>64</v>
      </c>
      <c r="J9" s="26" t="s">
        <v>71</v>
      </c>
      <c r="K9" s="26" t="s">
        <v>12</v>
      </c>
    </row>
    <row r="10" spans="2:11" ht="28.8">
      <c r="B10" s="4" t="s">
        <v>113</v>
      </c>
      <c r="C10" s="62">
        <v>1.0000000000000001E-9</v>
      </c>
      <c r="D10" s="2" t="s">
        <v>3</v>
      </c>
      <c r="E10" s="37" t="s">
        <v>24</v>
      </c>
      <c r="F10" s="37" t="s">
        <v>7</v>
      </c>
      <c r="G10" s="2" t="s">
        <v>39</v>
      </c>
      <c r="H10" s="37">
        <v>1</v>
      </c>
      <c r="I10" s="37">
        <v>1</v>
      </c>
      <c r="J10" s="6">
        <v>1</v>
      </c>
      <c r="K10" s="5" t="s">
        <v>114</v>
      </c>
    </row>
    <row r="11" spans="2:11">
      <c r="B11" s="8" t="s">
        <v>75</v>
      </c>
      <c r="C11" s="27"/>
      <c r="D11" s="9"/>
      <c r="E11" s="10"/>
      <c r="F11" s="10"/>
      <c r="G11" s="9"/>
      <c r="H11" s="10">
        <v>1</v>
      </c>
      <c r="I11" s="10">
        <v>1</v>
      </c>
      <c r="J11" s="11">
        <v>0</v>
      </c>
      <c r="K11" s="12" t="s">
        <v>76</v>
      </c>
    </row>
  </sheetData>
  <sheetProtection algorithmName="SHA-512" hashValue="e6uRITXnBg1CvGHCtSQHZTUbMVm3EOAc+mOCqjk/UXSbI0iE+yAuJ4uNstZSMTvR633z1DfLnI1K9PeheftGMA==" saltValue="OSUQ6llSGIl9A6fQHR/KnA==" spinCount="100000" sheet="1" objects="1" scenarios="1" selectLockedCells="1"/>
  <mergeCells count="2">
    <mergeCell ref="B3:K3"/>
    <mergeCell ref="K4:K8"/>
  </mergeCells>
  <phoneticPr fontId="1" type="noConversion"/>
  <conditionalFormatting sqref="C10:C11">
    <cfRule type="expression" dxfId="19" priority="1">
      <formula>IF(AND($C10&lt;&gt;"",$J10=0),1,0)</formula>
    </cfRule>
    <cfRule type="expression" dxfId="18" priority="2">
      <formula>IF($C10&lt;&gt;"",1,0)</formula>
    </cfRule>
    <cfRule type="expression" dxfId="17" priority="8">
      <formula>$J10 = 0</formula>
    </cfRule>
  </conditionalFormatting>
  <conditionalFormatting sqref="K4">
    <cfRule type="expression" dxfId="16" priority="1942">
      <formula>IF(COUNTA($C$10:$C$11)&lt;&gt;COUNTIF($J$10:$J$11,1),1,0)</formula>
    </cfRule>
    <cfRule type="expression" dxfId="15" priority="1943">
      <formula>IF(COUNTA($C$10:$C$11)=COUNTIF($J$10:$J$11,1),1,0)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893FB6AB-5634-443B-93CC-4E33E6DFB43B}">
          <x14:formula1>
            <xm:f>Reference!$A$2:$A$8</xm:f>
          </x14:formula1>
          <xm:sqref>F10:F11</xm:sqref>
        </x14:dataValidation>
        <x14:dataValidation type="list" allowBlank="1" showInputMessage="1" showErrorMessage="1" xr:uid="{E0AEFF75-ED65-4D37-990C-48A6D28F6B43}">
          <x14:formula1>
            <xm:f>Reference!$B$2:$B$18</xm:f>
          </x14:formula1>
          <xm:sqref>E10:E11</xm:sqref>
        </x14:dataValidation>
        <x14:dataValidation type="list" allowBlank="1" showInputMessage="1" showErrorMessage="1" xr:uid="{65D0AF1F-2B05-4A3D-82D0-E9AE5BDEBBB8}">
          <x14:formula1>
            <xm:f>Reference!$C$2:$C$23</xm:f>
          </x14:formula1>
          <xm:sqref>G10:G11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CFE28-5DFB-4DBC-BA7F-9CAE6152A4E3}">
  <sheetPr codeName="Sheet18">
    <tabColor rgb="FF00B050"/>
  </sheetPr>
  <dimension ref="A1:Q33"/>
  <sheetViews>
    <sheetView showGridLines="0" zoomScale="85" zoomScaleNormal="85" zoomScaleSheetLayoutView="55" workbookViewId="0">
      <pane ySplit="1" topLeftCell="A2" activePane="bottomLeft" state="frozen"/>
      <selection activeCell="D4" sqref="D4:J4"/>
      <selection pane="bottomLeft" activeCell="C11" sqref="C11"/>
    </sheetView>
  </sheetViews>
  <sheetFormatPr defaultColWidth="0" defaultRowHeight="0" customHeight="1" zeroHeight="1"/>
  <cols>
    <col min="1" max="2" width="8.88671875" style="51" customWidth="1"/>
    <col min="3" max="3" width="13.109375" style="51" customWidth="1"/>
    <col min="4" max="4" width="13.44140625" style="51" customWidth="1"/>
    <col min="5" max="6" width="8.88671875" style="51" customWidth="1"/>
    <col min="7" max="7" width="14.77734375" style="51" customWidth="1"/>
    <col min="8" max="8" width="11.6640625" style="51" customWidth="1"/>
    <col min="9" max="9" width="10.33203125" style="51" customWidth="1"/>
    <col min="10" max="10" width="5.6640625" style="51" customWidth="1"/>
    <col min="11" max="11" width="10.5546875" style="51" customWidth="1"/>
    <col min="12" max="17" width="8.88671875" style="51" customWidth="1"/>
    <col min="18" max="16384" width="8.88671875" style="51" hidden="1"/>
  </cols>
  <sheetData>
    <row r="1" spans="1:17" ht="14.4">
      <c r="A1" s="48" t="str">
        <f>'[1]Revision History'!D4</f>
        <v>REV. NO.1 (6/8/2022)</v>
      </c>
      <c r="B1" s="49"/>
      <c r="C1" s="49"/>
      <c r="D1" s="49"/>
      <c r="E1" s="49"/>
      <c r="F1" s="49"/>
      <c r="G1" s="49"/>
      <c r="H1" s="49"/>
      <c r="I1" s="50"/>
      <c r="J1" s="50"/>
      <c r="K1" s="50"/>
      <c r="L1" s="50"/>
      <c r="M1" s="50"/>
      <c r="N1" s="50"/>
      <c r="O1" s="50"/>
      <c r="P1" s="50"/>
      <c r="Q1" s="50" t="str">
        <f>'[2]Revision History'!$J$4</f>
        <v>Scott Research Group (jkscottresearchgroup.com)</v>
      </c>
    </row>
    <row r="2" spans="1:17" ht="14.4">
      <c r="A2" s="68" t="s">
        <v>108</v>
      </c>
      <c r="B2" s="69"/>
      <c r="C2" s="69"/>
      <c r="D2" s="69"/>
      <c r="E2" s="69"/>
      <c r="F2" s="69"/>
      <c r="G2" s="69"/>
      <c r="H2" s="69"/>
      <c r="I2" s="69"/>
      <c r="J2" s="69"/>
      <c r="K2" s="69"/>
      <c r="L2" s="69"/>
      <c r="M2" s="69"/>
      <c r="N2" s="69"/>
      <c r="O2" s="69"/>
      <c r="P2" s="69"/>
      <c r="Q2" s="69"/>
    </row>
    <row r="3" spans="1:17" ht="14.4">
      <c r="A3" s="52"/>
      <c r="B3" s="53"/>
      <c r="C3" s="53"/>
      <c r="D3" s="53"/>
      <c r="E3" s="53"/>
      <c r="F3" s="53"/>
      <c r="G3" s="53"/>
      <c r="H3" s="53"/>
      <c r="I3" s="53"/>
      <c r="J3" s="53"/>
      <c r="K3" s="53"/>
      <c r="L3" s="53"/>
      <c r="M3" s="53"/>
      <c r="N3" s="53"/>
      <c r="O3" s="53"/>
      <c r="P3" s="53"/>
      <c r="Q3" s="53"/>
    </row>
    <row r="4" spans="1:17" ht="14.4">
      <c r="A4" s="52"/>
      <c r="B4" s="53" t="s">
        <v>107</v>
      </c>
      <c r="C4" s="53"/>
      <c r="D4" s="53"/>
      <c r="E4" s="53"/>
      <c r="F4" s="53"/>
      <c r="G4" s="53"/>
      <c r="H4" s="53"/>
      <c r="I4" s="53"/>
      <c r="J4" s="53"/>
      <c r="K4" s="53"/>
      <c r="L4" s="53"/>
      <c r="M4" s="53"/>
      <c r="N4" s="53"/>
      <c r="O4" s="53"/>
      <c r="P4" s="53"/>
      <c r="Q4" s="53"/>
    </row>
    <row r="5" spans="1:17" ht="14.4">
      <c r="A5" s="52"/>
      <c r="B5" s="54"/>
      <c r="C5" s="53"/>
      <c r="D5" s="53"/>
      <c r="E5" s="53"/>
      <c r="F5" s="53"/>
      <c r="G5" s="53"/>
      <c r="H5" s="53"/>
      <c r="I5" s="53"/>
      <c r="J5" s="53"/>
      <c r="K5" s="53"/>
      <c r="L5" s="53"/>
      <c r="M5" s="53"/>
      <c r="N5" s="53"/>
      <c r="O5" s="53"/>
      <c r="P5" s="53"/>
      <c r="Q5" s="53"/>
    </row>
    <row r="6" spans="1:17" ht="14.4">
      <c r="A6" s="52"/>
      <c r="B6" s="53"/>
      <c r="C6" s="53"/>
      <c r="D6" s="53"/>
      <c r="E6" s="53"/>
      <c r="F6" s="53"/>
      <c r="G6" s="53"/>
      <c r="H6" s="53"/>
      <c r="I6" s="53"/>
      <c r="J6" s="53"/>
      <c r="K6" s="53"/>
      <c r="L6" s="53"/>
      <c r="M6" s="53"/>
      <c r="N6" s="53"/>
      <c r="O6" s="53"/>
      <c r="P6" s="53"/>
      <c r="Q6" s="53"/>
    </row>
    <row r="7" spans="1:17" ht="14.4">
      <c r="A7" s="52"/>
      <c r="B7" s="53"/>
      <c r="C7" s="53"/>
      <c r="D7" s="53"/>
      <c r="E7" s="53"/>
      <c r="F7" s="53"/>
      <c r="G7" s="53"/>
      <c r="H7" s="53"/>
      <c r="I7" s="53"/>
      <c r="J7" s="53"/>
      <c r="K7" s="53"/>
      <c r="L7" s="53"/>
      <c r="M7" s="53"/>
      <c r="N7" s="53"/>
      <c r="O7" s="53"/>
      <c r="P7" s="53"/>
      <c r="Q7" s="53"/>
    </row>
    <row r="8" spans="1:17" ht="14.4">
      <c r="A8" s="52"/>
      <c r="B8" s="53"/>
      <c r="C8" s="53"/>
      <c r="D8" s="53"/>
      <c r="E8" s="53"/>
      <c r="F8" s="53"/>
      <c r="G8" s="53"/>
      <c r="H8" s="53"/>
      <c r="I8" s="53"/>
      <c r="J8" s="53"/>
      <c r="K8" s="53"/>
      <c r="L8" s="53"/>
      <c r="M8" s="53"/>
      <c r="N8" s="53"/>
      <c r="O8" s="53"/>
      <c r="P8" s="53"/>
      <c r="Q8" s="53"/>
    </row>
    <row r="9" spans="1:17" ht="14.4">
      <c r="A9" s="52"/>
      <c r="B9" s="53"/>
      <c r="C9" s="53"/>
      <c r="D9" s="53"/>
      <c r="E9" s="53"/>
      <c r="F9" s="53"/>
      <c r="G9" s="53"/>
      <c r="H9" s="53"/>
      <c r="I9" s="53"/>
      <c r="J9" s="53"/>
      <c r="K9" s="53"/>
      <c r="L9" s="53"/>
      <c r="M9" s="53"/>
      <c r="N9" s="53"/>
      <c r="O9" s="53"/>
      <c r="P9" s="53"/>
      <c r="Q9" s="53"/>
    </row>
    <row r="10" spans="1:17" ht="14.4">
      <c r="A10" s="52"/>
      <c r="B10" s="53"/>
      <c r="C10" s="53"/>
      <c r="D10" s="53"/>
      <c r="E10" s="53"/>
      <c r="F10" s="53"/>
      <c r="G10" s="53"/>
      <c r="H10" s="53"/>
      <c r="I10" s="53"/>
      <c r="J10" s="53"/>
      <c r="K10" s="53"/>
      <c r="L10" s="53"/>
      <c r="M10" s="53"/>
      <c r="N10" s="53"/>
      <c r="O10" s="53"/>
      <c r="P10" s="53"/>
      <c r="Q10" s="53"/>
    </row>
    <row r="11" spans="1:17" ht="14.4">
      <c r="A11" s="52"/>
      <c r="B11" s="53"/>
      <c r="C11" s="53"/>
      <c r="D11" s="53"/>
      <c r="E11" s="53"/>
      <c r="F11" s="53"/>
      <c r="G11" s="53"/>
      <c r="H11" s="53"/>
      <c r="I11" s="53"/>
      <c r="J11" s="53"/>
      <c r="K11" s="53"/>
      <c r="L11" s="53"/>
      <c r="M11" s="53"/>
      <c r="N11" s="53"/>
      <c r="O11" s="53"/>
      <c r="P11" s="53"/>
      <c r="Q11" s="53"/>
    </row>
    <row r="12" spans="1:17" ht="14.4">
      <c r="A12" s="52"/>
      <c r="B12" s="53"/>
      <c r="C12" s="53"/>
      <c r="D12" s="53"/>
      <c r="E12" s="53"/>
      <c r="F12" s="53"/>
      <c r="G12" s="53"/>
      <c r="H12" s="53"/>
      <c r="I12" s="53"/>
      <c r="J12" s="53"/>
      <c r="K12" s="53"/>
      <c r="L12" s="53"/>
      <c r="M12" s="53"/>
      <c r="N12" s="53"/>
      <c r="O12" s="53"/>
      <c r="P12" s="53"/>
      <c r="Q12" s="53"/>
    </row>
    <row r="13" spans="1:17" ht="14.4">
      <c r="A13" s="52"/>
      <c r="B13" s="53"/>
      <c r="C13" s="53"/>
      <c r="D13" s="53"/>
      <c r="E13" s="53"/>
      <c r="F13" s="53"/>
      <c r="G13" s="53"/>
      <c r="H13" s="53"/>
      <c r="I13" s="53"/>
      <c r="J13" s="53"/>
      <c r="K13" s="53"/>
      <c r="L13" s="53"/>
      <c r="M13" s="53"/>
      <c r="N13" s="53"/>
      <c r="O13" s="53"/>
      <c r="P13" s="53"/>
      <c r="Q13" s="53"/>
    </row>
    <row r="14" spans="1:17" ht="14.4">
      <c r="A14" s="52"/>
      <c r="B14" s="53"/>
      <c r="C14" s="53"/>
      <c r="D14" s="53"/>
      <c r="E14" s="53"/>
      <c r="F14" s="53"/>
      <c r="G14" s="53"/>
      <c r="H14" s="53"/>
      <c r="I14" s="53"/>
      <c r="J14" s="53"/>
      <c r="K14" s="53"/>
      <c r="L14" s="53"/>
      <c r="M14" s="53"/>
      <c r="N14" s="53"/>
      <c r="O14" s="53"/>
      <c r="P14" s="53"/>
      <c r="Q14" s="53"/>
    </row>
    <row r="15" spans="1:17" ht="14.4">
      <c r="A15" s="52"/>
      <c r="B15" s="53"/>
      <c r="C15" s="53"/>
      <c r="D15" s="53"/>
      <c r="E15" s="53"/>
      <c r="F15" s="53"/>
      <c r="G15" s="53"/>
      <c r="H15" s="53"/>
      <c r="I15" s="53"/>
      <c r="J15" s="53"/>
      <c r="K15" s="53"/>
      <c r="L15" s="53"/>
      <c r="M15" s="53"/>
      <c r="N15" s="53"/>
      <c r="O15" s="53"/>
      <c r="P15" s="53"/>
      <c r="Q15" s="53"/>
    </row>
    <row r="16" spans="1:17" ht="14.4">
      <c r="A16" s="52"/>
      <c r="B16" s="53"/>
      <c r="C16" s="53"/>
      <c r="D16" s="53"/>
      <c r="E16" s="53"/>
      <c r="F16" s="53"/>
      <c r="G16" s="53"/>
      <c r="H16" s="53"/>
      <c r="I16" s="53"/>
      <c r="J16" s="53"/>
      <c r="K16" s="53"/>
      <c r="L16" s="53"/>
      <c r="M16" s="53"/>
      <c r="N16" s="53"/>
      <c r="O16" s="53"/>
      <c r="P16" s="53"/>
      <c r="Q16" s="53"/>
    </row>
    <row r="17" spans="1:17" ht="14.4">
      <c r="A17" s="52"/>
      <c r="B17" s="53"/>
      <c r="C17" s="53"/>
      <c r="D17" s="53"/>
      <c r="E17" s="53"/>
      <c r="F17" s="53"/>
      <c r="G17" s="53"/>
      <c r="H17" s="53"/>
      <c r="I17" s="53"/>
      <c r="J17" s="53"/>
      <c r="K17" s="53"/>
      <c r="L17" s="53"/>
      <c r="M17" s="53"/>
      <c r="N17" s="53"/>
      <c r="O17" s="53"/>
      <c r="P17" s="53"/>
      <c r="Q17" s="53"/>
    </row>
    <row r="18" spans="1:17" ht="14.4">
      <c r="A18" s="52"/>
      <c r="B18" s="53"/>
      <c r="C18" s="53"/>
      <c r="D18" s="53"/>
      <c r="E18" s="53"/>
      <c r="F18" s="53"/>
      <c r="G18" s="53"/>
      <c r="H18" s="53"/>
      <c r="I18" s="53"/>
      <c r="J18" s="53"/>
      <c r="K18" s="53"/>
      <c r="L18" s="53"/>
      <c r="M18" s="53"/>
      <c r="N18" s="53"/>
      <c r="O18" s="53"/>
      <c r="P18" s="53"/>
      <c r="Q18" s="53"/>
    </row>
    <row r="19" spans="1:17" ht="14.4">
      <c r="A19" s="52"/>
      <c r="B19" s="53"/>
      <c r="C19" s="53"/>
      <c r="D19" s="53"/>
      <c r="E19" s="53"/>
      <c r="F19" s="53"/>
      <c r="G19" s="53"/>
      <c r="H19" s="53"/>
      <c r="I19" s="53"/>
      <c r="J19" s="53"/>
      <c r="K19" s="53"/>
      <c r="L19" s="53"/>
      <c r="M19" s="53"/>
      <c r="N19" s="53"/>
      <c r="O19" s="53"/>
      <c r="P19" s="53"/>
      <c r="Q19" s="53"/>
    </row>
    <row r="20" spans="1:17" ht="14.4">
      <c r="A20" s="52"/>
      <c r="B20" s="53"/>
      <c r="C20" s="53"/>
      <c r="D20" s="53"/>
      <c r="E20" s="53"/>
      <c r="F20" s="53"/>
      <c r="G20" s="53"/>
      <c r="H20" s="53"/>
      <c r="I20" s="53"/>
      <c r="J20" s="53"/>
      <c r="K20" s="53"/>
      <c r="L20" s="53"/>
      <c r="M20" s="53"/>
      <c r="N20" s="53"/>
      <c r="O20" s="53"/>
      <c r="P20" s="53"/>
      <c r="Q20" s="53"/>
    </row>
    <row r="21" spans="1:17" ht="14.4">
      <c r="A21" s="52"/>
      <c r="B21" s="53"/>
      <c r="C21" s="53"/>
      <c r="D21" s="53"/>
      <c r="E21" s="53"/>
      <c r="F21" s="53"/>
      <c r="G21" s="53"/>
      <c r="H21" s="53"/>
      <c r="I21" s="53"/>
      <c r="J21" s="53"/>
      <c r="K21" s="53"/>
      <c r="L21" s="53"/>
      <c r="M21" s="53"/>
      <c r="N21" s="53"/>
      <c r="O21" s="53"/>
      <c r="P21" s="53"/>
      <c r="Q21" s="53"/>
    </row>
    <row r="22" spans="1:17" ht="14.4">
      <c r="A22" s="52"/>
      <c r="B22" s="53"/>
      <c r="C22" s="53"/>
      <c r="D22" s="53"/>
      <c r="E22" s="53"/>
      <c r="F22" s="53"/>
      <c r="G22" s="53"/>
      <c r="H22" s="53"/>
      <c r="I22" s="53"/>
      <c r="J22" s="53"/>
      <c r="K22" s="53"/>
      <c r="L22" s="53"/>
      <c r="M22" s="53"/>
      <c r="N22" s="53"/>
      <c r="O22" s="53"/>
      <c r="P22" s="53"/>
      <c r="Q22" s="53"/>
    </row>
    <row r="23" spans="1:17" ht="14.4">
      <c r="A23" s="52"/>
      <c r="B23" s="53"/>
      <c r="C23" s="53"/>
      <c r="D23" s="53"/>
      <c r="E23" s="53"/>
      <c r="F23" s="53"/>
      <c r="G23" s="53"/>
      <c r="H23" s="53"/>
      <c r="I23" s="53"/>
      <c r="J23" s="53"/>
      <c r="K23" s="53"/>
      <c r="L23" s="53"/>
      <c r="M23" s="53"/>
      <c r="N23" s="53"/>
      <c r="O23" s="53"/>
      <c r="P23" s="53"/>
      <c r="Q23" s="53"/>
    </row>
    <row r="24" spans="1:17" ht="14.4">
      <c r="A24" s="52"/>
      <c r="B24" s="53"/>
      <c r="C24" s="53"/>
      <c r="D24" s="53"/>
      <c r="E24" s="53"/>
      <c r="F24" s="53"/>
      <c r="G24" s="53"/>
      <c r="H24" s="53"/>
      <c r="I24" s="53"/>
      <c r="J24" s="53"/>
      <c r="K24" s="53"/>
      <c r="L24" s="53"/>
      <c r="M24" s="53"/>
      <c r="N24" s="53"/>
      <c r="O24" s="53"/>
      <c r="P24" s="53"/>
      <c r="Q24" s="53"/>
    </row>
    <row r="25" spans="1:17" ht="14.4">
      <c r="A25" s="52"/>
      <c r="B25" s="53"/>
      <c r="C25" s="53"/>
      <c r="D25" s="53"/>
      <c r="E25" s="53"/>
      <c r="F25" s="53"/>
      <c r="G25" s="53"/>
      <c r="H25" s="53"/>
      <c r="I25" s="53"/>
      <c r="J25" s="53"/>
      <c r="K25" s="53"/>
      <c r="L25" s="53"/>
      <c r="M25" s="53"/>
      <c r="N25" s="53"/>
      <c r="O25" s="53"/>
      <c r="P25" s="53"/>
      <c r="Q25" s="53"/>
    </row>
    <row r="26" spans="1:17" ht="14.4">
      <c r="A26" s="52"/>
      <c r="B26" s="53"/>
      <c r="C26" s="53"/>
      <c r="D26" s="53"/>
      <c r="E26" s="53"/>
      <c r="F26" s="53"/>
      <c r="G26" s="53"/>
      <c r="H26" s="53"/>
      <c r="I26" s="53"/>
      <c r="J26" s="53"/>
      <c r="K26" s="53"/>
      <c r="L26" s="53"/>
      <c r="M26" s="53"/>
      <c r="N26" s="53"/>
      <c r="O26" s="53"/>
      <c r="P26" s="53"/>
      <c r="Q26" s="53"/>
    </row>
    <row r="27" spans="1:17" ht="14.4">
      <c r="A27" s="52"/>
      <c r="B27" s="53"/>
      <c r="C27" s="53"/>
      <c r="D27" s="53"/>
      <c r="E27" s="53"/>
      <c r="F27" s="53"/>
      <c r="G27" s="53"/>
      <c r="H27" s="53"/>
      <c r="I27" s="53"/>
      <c r="J27" s="53"/>
      <c r="K27" s="53"/>
      <c r="L27" s="53"/>
      <c r="M27" s="53"/>
      <c r="N27" s="53"/>
      <c r="O27" s="53"/>
      <c r="P27" s="53"/>
      <c r="Q27" s="53"/>
    </row>
    <row r="28" spans="1:17" ht="14.4">
      <c r="A28" s="52"/>
      <c r="B28" s="53"/>
      <c r="C28" s="53"/>
      <c r="D28" s="53"/>
      <c r="E28" s="53"/>
      <c r="F28" s="53"/>
      <c r="G28" s="53"/>
      <c r="H28" s="53"/>
      <c r="I28" s="53"/>
      <c r="J28" s="53"/>
      <c r="K28" s="53"/>
      <c r="L28" s="53"/>
      <c r="M28" s="53"/>
      <c r="N28" s="53"/>
      <c r="O28" s="53"/>
      <c r="P28" s="53"/>
      <c r="Q28" s="53"/>
    </row>
    <row r="29" spans="1:17" ht="14.4">
      <c r="A29" s="52"/>
      <c r="B29" s="53"/>
      <c r="C29" s="53"/>
      <c r="D29" s="53"/>
      <c r="E29" s="53"/>
      <c r="F29" s="53"/>
      <c r="G29" s="53"/>
      <c r="H29" s="53"/>
      <c r="I29" s="53"/>
      <c r="J29" s="53"/>
      <c r="K29" s="53"/>
      <c r="L29" s="53"/>
      <c r="M29" s="53"/>
      <c r="N29" s="53"/>
      <c r="O29" s="53"/>
      <c r="P29" s="53"/>
      <c r="Q29" s="53"/>
    </row>
    <row r="30" spans="1:17" ht="14.4">
      <c r="A30" s="52"/>
      <c r="B30" s="53"/>
      <c r="C30" s="53"/>
      <c r="D30" s="53"/>
      <c r="E30" s="53"/>
      <c r="F30" s="53"/>
      <c r="G30" s="53"/>
      <c r="H30" s="53"/>
      <c r="I30" s="53"/>
      <c r="J30" s="53"/>
      <c r="K30" s="53"/>
      <c r="L30" s="53"/>
      <c r="M30" s="53"/>
      <c r="N30" s="53"/>
      <c r="O30" s="53"/>
      <c r="P30" s="53"/>
      <c r="Q30" s="53"/>
    </row>
    <row r="31" spans="1:17" ht="14.4">
      <c r="A31" s="52"/>
      <c r="B31" s="54"/>
      <c r="C31" s="53"/>
      <c r="D31" s="53"/>
      <c r="E31" s="53"/>
      <c r="F31" s="53"/>
      <c r="G31" s="53"/>
      <c r="H31" s="53"/>
      <c r="I31" s="53"/>
      <c r="J31" s="53"/>
      <c r="K31" s="53"/>
      <c r="L31" s="53"/>
      <c r="M31" s="53"/>
      <c r="N31" s="53"/>
      <c r="O31" s="53"/>
      <c r="P31" s="53"/>
      <c r="Q31" s="53"/>
    </row>
    <row r="32" spans="1:17" ht="14.4">
      <c r="A32" s="52"/>
      <c r="B32" s="53"/>
      <c r="C32" s="53"/>
      <c r="D32" s="53"/>
      <c r="E32" s="53"/>
      <c r="F32" s="53"/>
      <c r="G32" s="53"/>
      <c r="H32" s="53"/>
      <c r="I32" s="53"/>
      <c r="J32" s="53"/>
      <c r="K32" s="53"/>
      <c r="L32" s="53"/>
      <c r="M32" s="53"/>
      <c r="N32" s="53"/>
      <c r="O32" s="53"/>
      <c r="P32" s="53"/>
      <c r="Q32" s="53"/>
    </row>
    <row r="33" spans="1:17" ht="14.4">
      <c r="A33" s="52"/>
      <c r="B33" s="53"/>
      <c r="C33" s="53"/>
      <c r="D33" s="53"/>
      <c r="E33" s="53"/>
      <c r="F33" s="53"/>
      <c r="G33" s="53"/>
      <c r="H33" s="53"/>
      <c r="I33" s="53"/>
      <c r="J33" s="53"/>
      <c r="K33" s="53"/>
      <c r="L33" s="53"/>
      <c r="M33" s="53"/>
      <c r="N33" s="53"/>
      <c r="O33" s="53"/>
      <c r="P33" s="53"/>
      <c r="Q33" s="53"/>
    </row>
  </sheetData>
  <sheetProtection selectLockedCells="1" selectUnlockedCells="1"/>
  <mergeCells count="1">
    <mergeCell ref="A2:Q2"/>
  </mergeCells>
  <pageMargins left="0.7" right="0.7" top="0.75" bottom="0.75" header="0.3" footer="0.3"/>
  <pageSetup scale="2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AE03C-2F03-42EB-A4DF-DAB1EBCA33EA}">
  <sheetPr codeName="Sheet2">
    <tabColor rgb="FF00B050"/>
  </sheetPr>
  <dimension ref="A1:AV52"/>
  <sheetViews>
    <sheetView showGridLines="0" topLeftCell="A4" zoomScale="85" zoomScaleNormal="85" zoomScaleSheetLayoutView="55" workbookViewId="0">
      <selection activeCell="D4" sqref="D4:J4"/>
    </sheetView>
  </sheetViews>
  <sheetFormatPr defaultColWidth="0" defaultRowHeight="14.4" customHeight="1" zeroHeight="1"/>
  <cols>
    <col min="1" max="18" width="8.88671875" style="55" customWidth="1"/>
    <col min="19" max="48" width="0" style="55" hidden="1" customWidth="1"/>
    <col min="49" max="16384" width="8.88671875" style="55" hidden="1"/>
  </cols>
  <sheetData>
    <row r="1" spans="1:18">
      <c r="A1" s="48" t="str">
        <f>'[1]Revision History'!D4</f>
        <v>REV. NO.1 (6/8/2022)</v>
      </c>
      <c r="B1" s="49"/>
      <c r="C1" s="49"/>
      <c r="D1" s="49"/>
      <c r="E1" s="49"/>
      <c r="F1" s="49"/>
      <c r="G1" s="49"/>
      <c r="H1" s="49"/>
      <c r="I1" s="49"/>
      <c r="J1" s="50"/>
      <c r="K1" s="50"/>
      <c r="L1" s="50"/>
      <c r="M1" s="50"/>
      <c r="N1" s="50"/>
      <c r="O1" s="50"/>
      <c r="P1" s="50"/>
      <c r="Q1" s="50"/>
      <c r="R1" s="50" t="str">
        <f>'[2]Revision History'!$J$4</f>
        <v>Scott Research Group (jkscottresearchgroup.com)</v>
      </c>
    </row>
    <row r="2" spans="1:18">
      <c r="A2" s="56" t="s">
        <v>106</v>
      </c>
      <c r="B2" s="57"/>
      <c r="C2" s="57"/>
      <c r="D2" s="58"/>
      <c r="E2" s="58"/>
      <c r="F2" s="58"/>
      <c r="G2" s="58"/>
      <c r="H2" s="58"/>
      <c r="I2" s="58"/>
      <c r="J2" s="58"/>
      <c r="K2" s="58"/>
      <c r="L2" s="58"/>
      <c r="M2" s="58"/>
      <c r="N2" s="58"/>
      <c r="O2" s="58"/>
      <c r="P2" s="58"/>
      <c r="Q2" s="58"/>
      <c r="R2" s="59"/>
    </row>
    <row r="3" spans="1:18">
      <c r="A3" s="52"/>
      <c r="B3" s="53"/>
      <c r="C3" s="60"/>
      <c r="D3" s="60"/>
      <c r="E3" s="60"/>
      <c r="F3" s="60"/>
      <c r="G3" s="60"/>
      <c r="H3" s="60"/>
      <c r="I3" s="60"/>
      <c r="J3" s="60"/>
      <c r="K3" s="60"/>
      <c r="L3" s="60"/>
      <c r="M3" s="60"/>
      <c r="N3" s="60"/>
      <c r="O3" s="60"/>
      <c r="P3" s="60"/>
      <c r="Q3" s="60"/>
      <c r="R3" s="61"/>
    </row>
    <row r="4" spans="1:18">
      <c r="A4" s="52"/>
      <c r="B4" s="53"/>
      <c r="C4" s="60"/>
      <c r="D4" s="60"/>
      <c r="E4" s="60"/>
      <c r="F4" s="60"/>
      <c r="G4" s="60"/>
      <c r="H4" s="60"/>
      <c r="I4" s="60"/>
      <c r="J4" s="60"/>
      <c r="K4" s="60"/>
      <c r="L4" s="60"/>
      <c r="M4" s="60"/>
      <c r="N4" s="60"/>
      <c r="O4" s="60"/>
      <c r="P4" s="60"/>
      <c r="Q4" s="60"/>
      <c r="R4" s="61"/>
    </row>
    <row r="5" spans="1:18">
      <c r="A5" s="52"/>
      <c r="B5" s="53"/>
      <c r="C5" s="60"/>
      <c r="D5" s="60"/>
      <c r="E5" s="60"/>
      <c r="F5" s="60"/>
      <c r="G5" s="60"/>
      <c r="H5" s="60"/>
      <c r="I5" s="60"/>
      <c r="J5" s="60"/>
      <c r="K5" s="60"/>
      <c r="L5" s="60"/>
      <c r="M5" s="60"/>
      <c r="N5" s="60"/>
      <c r="O5" s="60"/>
      <c r="P5" s="60"/>
      <c r="Q5" s="60"/>
      <c r="R5" s="61"/>
    </row>
    <row r="6" spans="1:18">
      <c r="A6" s="52"/>
      <c r="B6" s="53"/>
      <c r="C6" s="60"/>
      <c r="D6" s="60"/>
      <c r="E6" s="60"/>
      <c r="F6" s="60"/>
      <c r="G6" s="60"/>
      <c r="H6" s="60"/>
      <c r="I6" s="60"/>
      <c r="J6" s="60"/>
      <c r="K6" s="60"/>
      <c r="L6" s="60"/>
      <c r="M6" s="60"/>
      <c r="N6" s="60"/>
      <c r="O6" s="60"/>
      <c r="P6" s="60"/>
      <c r="Q6" s="60"/>
      <c r="R6" s="61"/>
    </row>
    <row r="7" spans="1:18">
      <c r="A7" s="52"/>
      <c r="B7" s="53"/>
      <c r="C7" s="60"/>
      <c r="D7" s="60"/>
      <c r="E7" s="60"/>
      <c r="F7" s="60"/>
      <c r="G7" s="60"/>
      <c r="H7" s="60"/>
      <c r="I7" s="60"/>
      <c r="J7" s="60"/>
      <c r="K7" s="60"/>
      <c r="L7" s="60"/>
      <c r="M7" s="60"/>
      <c r="N7" s="60"/>
      <c r="O7" s="60"/>
      <c r="P7" s="60"/>
      <c r="Q7" s="60"/>
      <c r="R7" s="61"/>
    </row>
    <row r="8" spans="1:18">
      <c r="A8" s="52"/>
      <c r="B8" s="53"/>
      <c r="C8" s="60"/>
      <c r="D8" s="60"/>
      <c r="E8" s="60"/>
      <c r="F8" s="60"/>
      <c r="G8" s="60"/>
      <c r="H8" s="60"/>
      <c r="I8" s="60"/>
      <c r="J8" s="60"/>
      <c r="K8" s="60"/>
      <c r="L8" s="60"/>
      <c r="M8" s="60"/>
      <c r="N8" s="60"/>
      <c r="O8" s="60"/>
      <c r="P8" s="60"/>
      <c r="Q8" s="60"/>
      <c r="R8" s="61"/>
    </row>
    <row r="9" spans="1:18">
      <c r="A9" s="52"/>
      <c r="B9" s="53"/>
      <c r="C9" s="60"/>
      <c r="D9" s="60"/>
      <c r="E9" s="60"/>
      <c r="F9" s="60"/>
      <c r="G9" s="60"/>
      <c r="H9" s="60"/>
      <c r="I9" s="60"/>
      <c r="J9" s="60"/>
      <c r="K9" s="60"/>
      <c r="L9" s="60"/>
      <c r="M9" s="60"/>
      <c r="N9" s="60"/>
      <c r="O9" s="60"/>
      <c r="P9" s="60"/>
      <c r="Q9" s="60"/>
      <c r="R9" s="61"/>
    </row>
    <row r="10" spans="1:18">
      <c r="A10" s="52"/>
      <c r="B10" s="53"/>
      <c r="C10" s="60"/>
      <c r="D10" s="60"/>
      <c r="E10" s="60"/>
      <c r="F10" s="60"/>
      <c r="G10" s="60"/>
      <c r="H10" s="60"/>
      <c r="I10" s="60"/>
      <c r="J10" s="60"/>
      <c r="K10" s="60"/>
      <c r="L10" s="60"/>
      <c r="M10" s="60"/>
      <c r="N10" s="60"/>
      <c r="O10" s="60"/>
      <c r="P10" s="60"/>
      <c r="Q10" s="60"/>
      <c r="R10" s="61"/>
    </row>
    <row r="11" spans="1:18">
      <c r="A11" s="52"/>
      <c r="B11" s="53"/>
      <c r="C11" s="60"/>
      <c r="D11" s="60"/>
      <c r="E11" s="60"/>
      <c r="F11" s="60"/>
      <c r="G11" s="60"/>
      <c r="H11" s="60"/>
      <c r="I11" s="60"/>
      <c r="J11" s="60"/>
      <c r="K11" s="60"/>
      <c r="L11" s="60"/>
      <c r="M11" s="60"/>
      <c r="N11" s="60"/>
      <c r="O11" s="60"/>
      <c r="P11" s="60"/>
      <c r="Q11" s="60"/>
      <c r="R11" s="61"/>
    </row>
    <row r="12" spans="1:18">
      <c r="A12" s="52"/>
      <c r="B12" s="53"/>
      <c r="C12" s="60"/>
      <c r="D12" s="60"/>
      <c r="E12" s="60"/>
      <c r="F12" s="60"/>
      <c r="G12" s="60"/>
      <c r="H12" s="60"/>
      <c r="I12" s="60"/>
      <c r="J12" s="60"/>
      <c r="K12" s="60"/>
      <c r="L12" s="60"/>
      <c r="M12" s="60"/>
      <c r="N12" s="60"/>
      <c r="O12" s="60"/>
      <c r="P12" s="60"/>
      <c r="Q12" s="60"/>
      <c r="R12" s="61"/>
    </row>
    <row r="13" spans="1:18">
      <c r="A13" s="52"/>
      <c r="B13" s="53"/>
      <c r="C13" s="60"/>
      <c r="D13" s="60"/>
      <c r="E13" s="60"/>
      <c r="F13" s="60"/>
      <c r="G13" s="60"/>
      <c r="H13" s="60"/>
      <c r="I13" s="60"/>
      <c r="J13" s="60"/>
      <c r="K13" s="60"/>
      <c r="L13" s="60"/>
      <c r="M13" s="60"/>
      <c r="N13" s="60"/>
      <c r="O13" s="60"/>
      <c r="P13" s="60"/>
      <c r="Q13" s="60"/>
      <c r="R13" s="61"/>
    </row>
    <row r="14" spans="1:18">
      <c r="A14" s="52"/>
      <c r="B14" s="53"/>
      <c r="C14" s="60"/>
      <c r="D14" s="60"/>
      <c r="E14" s="60"/>
      <c r="F14" s="60"/>
      <c r="G14" s="60"/>
      <c r="H14" s="60"/>
      <c r="I14" s="60"/>
      <c r="J14" s="60"/>
      <c r="K14" s="60"/>
      <c r="L14" s="60"/>
      <c r="M14" s="60"/>
      <c r="N14" s="60"/>
      <c r="O14" s="60"/>
      <c r="P14" s="60"/>
      <c r="Q14" s="60"/>
      <c r="R14" s="61"/>
    </row>
    <row r="15" spans="1:18">
      <c r="A15" s="52"/>
      <c r="B15" s="53"/>
      <c r="C15" s="60"/>
      <c r="D15" s="60"/>
      <c r="E15" s="60"/>
      <c r="F15" s="60"/>
      <c r="G15" s="60"/>
      <c r="H15" s="60"/>
      <c r="I15" s="60"/>
      <c r="J15" s="60"/>
      <c r="K15" s="60"/>
      <c r="L15" s="60"/>
      <c r="M15" s="60"/>
      <c r="N15" s="60"/>
      <c r="O15" s="60"/>
      <c r="P15" s="60"/>
      <c r="Q15" s="60"/>
      <c r="R15" s="61"/>
    </row>
    <row r="16" spans="1:18">
      <c r="A16" s="52"/>
      <c r="B16" s="53"/>
      <c r="C16" s="60"/>
      <c r="D16" s="60"/>
      <c r="E16" s="60"/>
      <c r="F16" s="60"/>
      <c r="G16" s="60"/>
      <c r="H16" s="60"/>
      <c r="I16" s="60"/>
      <c r="J16" s="60"/>
      <c r="K16" s="60"/>
      <c r="L16" s="60"/>
      <c r="M16" s="60"/>
      <c r="N16" s="60"/>
      <c r="O16" s="60"/>
      <c r="P16" s="60"/>
      <c r="Q16" s="60"/>
      <c r="R16" s="61"/>
    </row>
    <row r="17" spans="1:18">
      <c r="A17" s="52"/>
      <c r="B17" s="53"/>
      <c r="C17" s="60"/>
      <c r="D17" s="60"/>
      <c r="E17" s="60"/>
      <c r="F17" s="60"/>
      <c r="G17" s="60"/>
      <c r="H17" s="60"/>
      <c r="I17" s="60"/>
      <c r="J17" s="60"/>
      <c r="K17" s="60"/>
      <c r="L17" s="60"/>
      <c r="M17" s="60"/>
      <c r="N17" s="60"/>
      <c r="O17" s="60"/>
      <c r="P17" s="60"/>
      <c r="Q17" s="60"/>
      <c r="R17" s="61"/>
    </row>
    <row r="18" spans="1:18">
      <c r="A18" s="52"/>
      <c r="B18" s="53"/>
      <c r="C18" s="60"/>
      <c r="D18" s="60"/>
      <c r="E18" s="60"/>
      <c r="F18" s="60"/>
      <c r="G18" s="60"/>
      <c r="H18" s="60"/>
      <c r="I18" s="60"/>
      <c r="J18" s="60"/>
      <c r="K18" s="60"/>
      <c r="L18" s="60"/>
      <c r="M18" s="60"/>
      <c r="N18" s="60"/>
      <c r="O18" s="60"/>
      <c r="P18" s="60"/>
      <c r="Q18" s="60"/>
      <c r="R18" s="61"/>
    </row>
    <row r="19" spans="1:18">
      <c r="A19" s="52"/>
      <c r="B19" s="53"/>
      <c r="C19" s="60"/>
      <c r="D19" s="60"/>
      <c r="E19" s="60"/>
      <c r="F19" s="60"/>
      <c r="G19" s="60"/>
      <c r="H19" s="60"/>
      <c r="I19" s="60"/>
      <c r="J19" s="60"/>
      <c r="K19" s="60"/>
      <c r="L19" s="60"/>
      <c r="M19" s="60"/>
      <c r="N19" s="60"/>
      <c r="O19" s="60"/>
      <c r="P19" s="60"/>
      <c r="Q19" s="60"/>
      <c r="R19" s="61"/>
    </row>
    <row r="20" spans="1:18">
      <c r="A20" s="52"/>
      <c r="B20" s="53"/>
      <c r="C20" s="60"/>
      <c r="D20" s="60"/>
      <c r="E20" s="60"/>
      <c r="F20" s="60"/>
      <c r="G20" s="60"/>
      <c r="H20" s="60"/>
      <c r="I20" s="60"/>
      <c r="J20" s="60"/>
      <c r="K20" s="60"/>
      <c r="L20" s="60"/>
      <c r="M20" s="60"/>
      <c r="N20" s="60"/>
      <c r="O20" s="60"/>
      <c r="P20" s="60"/>
      <c r="Q20" s="60"/>
      <c r="R20" s="61"/>
    </row>
    <row r="21" spans="1:18">
      <c r="A21" s="52"/>
      <c r="B21" s="53"/>
      <c r="C21" s="60"/>
      <c r="D21" s="60"/>
      <c r="E21" s="60"/>
      <c r="F21" s="60"/>
      <c r="G21" s="60"/>
      <c r="H21" s="60"/>
      <c r="I21" s="60"/>
      <c r="J21" s="60"/>
      <c r="K21" s="60"/>
      <c r="L21" s="60"/>
      <c r="M21" s="60"/>
      <c r="N21" s="60"/>
      <c r="O21" s="60"/>
      <c r="P21" s="60"/>
      <c r="Q21" s="60"/>
      <c r="R21" s="61"/>
    </row>
    <row r="22" spans="1:18">
      <c r="A22" s="52"/>
      <c r="B22" s="53"/>
      <c r="C22" s="60"/>
      <c r="D22" s="60"/>
      <c r="E22" s="60"/>
      <c r="F22" s="60"/>
      <c r="G22" s="60"/>
      <c r="H22" s="60"/>
      <c r="I22" s="60"/>
      <c r="J22" s="60"/>
      <c r="K22" s="60"/>
      <c r="L22" s="60"/>
      <c r="M22" s="60"/>
      <c r="N22" s="60"/>
      <c r="O22" s="60"/>
      <c r="P22" s="60"/>
      <c r="Q22" s="60"/>
      <c r="R22" s="61"/>
    </row>
    <row r="23" spans="1:18">
      <c r="A23" s="52"/>
      <c r="B23" s="53"/>
      <c r="C23" s="60"/>
      <c r="D23" s="60"/>
      <c r="E23" s="60"/>
      <c r="F23" s="60"/>
      <c r="G23" s="60"/>
      <c r="H23" s="60"/>
      <c r="I23" s="60"/>
      <c r="J23" s="60"/>
      <c r="K23" s="60"/>
      <c r="L23" s="60"/>
      <c r="M23" s="60"/>
      <c r="N23" s="60"/>
      <c r="O23" s="60"/>
      <c r="P23" s="60"/>
      <c r="Q23" s="60"/>
      <c r="R23" s="61"/>
    </row>
    <row r="24" spans="1:18">
      <c r="A24" s="52"/>
      <c r="B24" s="53"/>
      <c r="C24" s="60"/>
      <c r="D24" s="60"/>
      <c r="E24" s="60"/>
      <c r="F24" s="60"/>
      <c r="G24" s="60"/>
      <c r="H24" s="60"/>
      <c r="I24" s="60"/>
      <c r="J24" s="60"/>
      <c r="K24" s="60"/>
      <c r="L24" s="60"/>
      <c r="M24" s="60"/>
      <c r="N24" s="60"/>
      <c r="O24" s="60"/>
      <c r="P24" s="60"/>
      <c r="Q24" s="60"/>
      <c r="R24" s="61"/>
    </row>
    <row r="25" spans="1:18">
      <c r="A25" s="52"/>
      <c r="B25" s="53"/>
      <c r="C25" s="60"/>
      <c r="D25" s="60"/>
      <c r="E25" s="60"/>
      <c r="F25" s="60"/>
      <c r="G25" s="60"/>
      <c r="H25" s="60"/>
      <c r="I25" s="60"/>
      <c r="J25" s="60"/>
      <c r="K25" s="60"/>
      <c r="L25" s="60"/>
      <c r="M25" s="60"/>
      <c r="N25" s="60"/>
      <c r="O25" s="60"/>
      <c r="P25" s="60"/>
      <c r="Q25" s="60"/>
      <c r="R25" s="61"/>
    </row>
    <row r="26" spans="1:18">
      <c r="A26" s="52"/>
      <c r="B26" s="53"/>
      <c r="C26" s="60"/>
      <c r="D26" s="60"/>
      <c r="E26" s="60"/>
      <c r="F26" s="60"/>
      <c r="G26" s="60"/>
      <c r="H26" s="60"/>
      <c r="I26" s="60"/>
      <c r="J26" s="60"/>
      <c r="K26" s="60"/>
      <c r="L26" s="60"/>
      <c r="M26" s="60"/>
      <c r="N26" s="60"/>
      <c r="O26" s="60"/>
      <c r="P26" s="60"/>
      <c r="Q26" s="60"/>
      <c r="R26" s="61"/>
    </row>
    <row r="27" spans="1:18">
      <c r="A27" s="52"/>
      <c r="B27" s="53"/>
      <c r="C27" s="60"/>
      <c r="D27" s="60"/>
      <c r="E27" s="60"/>
      <c r="F27" s="60"/>
      <c r="G27" s="60"/>
      <c r="H27" s="60"/>
      <c r="I27" s="60"/>
      <c r="J27" s="60"/>
      <c r="K27" s="60"/>
      <c r="L27" s="60"/>
      <c r="M27" s="60"/>
      <c r="N27" s="60"/>
      <c r="O27" s="60"/>
      <c r="P27" s="60"/>
      <c r="Q27" s="60"/>
      <c r="R27" s="61"/>
    </row>
    <row r="28" spans="1:18">
      <c r="A28" s="52"/>
      <c r="B28" s="53"/>
      <c r="C28" s="60"/>
      <c r="D28" s="60"/>
      <c r="E28" s="60"/>
      <c r="F28" s="60"/>
      <c r="G28" s="60"/>
      <c r="H28" s="60"/>
      <c r="I28" s="60"/>
      <c r="J28" s="60"/>
      <c r="K28" s="60"/>
      <c r="L28" s="60"/>
      <c r="M28" s="60"/>
      <c r="N28" s="60"/>
      <c r="O28" s="60"/>
      <c r="P28" s="60"/>
      <c r="Q28" s="60"/>
      <c r="R28" s="61"/>
    </row>
    <row r="29" spans="1:18">
      <c r="A29" s="52"/>
      <c r="B29" s="53"/>
      <c r="C29" s="60"/>
      <c r="D29" s="60"/>
      <c r="E29" s="60"/>
      <c r="F29" s="60"/>
      <c r="G29" s="60"/>
      <c r="H29" s="60"/>
      <c r="I29" s="60"/>
      <c r="J29" s="60"/>
      <c r="K29" s="60"/>
      <c r="L29" s="60"/>
      <c r="M29" s="60"/>
      <c r="N29" s="60"/>
      <c r="O29" s="60"/>
      <c r="P29" s="60"/>
      <c r="Q29" s="60"/>
      <c r="R29" s="61"/>
    </row>
    <row r="30" spans="1:18">
      <c r="A30" s="52"/>
      <c r="B30" s="53"/>
      <c r="C30" s="60"/>
      <c r="D30" s="60"/>
      <c r="E30" s="60"/>
      <c r="F30" s="60"/>
      <c r="G30" s="60"/>
      <c r="H30" s="60"/>
      <c r="I30" s="60"/>
      <c r="J30" s="60"/>
      <c r="K30" s="60"/>
      <c r="L30" s="60"/>
      <c r="M30" s="60"/>
      <c r="N30" s="60"/>
      <c r="O30" s="60"/>
      <c r="P30" s="60"/>
      <c r="Q30" s="60"/>
      <c r="R30" s="61"/>
    </row>
    <row r="31" spans="1:18">
      <c r="A31" s="52"/>
      <c r="B31" s="53"/>
      <c r="C31" s="60"/>
      <c r="D31" s="60"/>
      <c r="E31" s="60"/>
      <c r="F31" s="60"/>
      <c r="G31" s="60"/>
      <c r="H31" s="60"/>
      <c r="I31" s="60"/>
      <c r="J31" s="60"/>
      <c r="K31" s="60"/>
      <c r="L31" s="60"/>
      <c r="M31" s="60"/>
      <c r="N31" s="60"/>
      <c r="O31" s="60"/>
      <c r="P31" s="60"/>
      <c r="Q31" s="60"/>
      <c r="R31" s="61"/>
    </row>
    <row r="32" spans="1:18">
      <c r="A32" s="52"/>
      <c r="B32" s="53"/>
      <c r="C32" s="60"/>
      <c r="D32" s="60"/>
      <c r="E32" s="60"/>
      <c r="F32" s="60"/>
      <c r="G32" s="60"/>
      <c r="H32" s="60"/>
      <c r="I32" s="60"/>
      <c r="J32" s="60"/>
      <c r="K32" s="60"/>
      <c r="L32" s="60"/>
      <c r="M32" s="60"/>
      <c r="N32" s="60"/>
      <c r="O32" s="60"/>
      <c r="P32" s="60"/>
      <c r="Q32" s="60"/>
      <c r="R32" s="61"/>
    </row>
    <row r="33" spans="1:18">
      <c r="A33" s="52"/>
      <c r="B33" s="53"/>
      <c r="C33" s="60"/>
      <c r="D33" s="60"/>
      <c r="E33" s="60"/>
      <c r="F33" s="60"/>
      <c r="G33" s="60"/>
      <c r="H33" s="60"/>
      <c r="I33" s="60"/>
      <c r="J33" s="60"/>
      <c r="K33" s="60"/>
      <c r="L33" s="60"/>
      <c r="M33" s="60"/>
      <c r="N33" s="60"/>
      <c r="O33" s="60"/>
      <c r="P33" s="60"/>
      <c r="Q33" s="60"/>
      <c r="R33" s="61"/>
    </row>
    <row r="34" spans="1:18">
      <c r="A34" s="52"/>
      <c r="B34" s="53"/>
      <c r="C34" s="60"/>
      <c r="D34" s="60"/>
      <c r="E34" s="60"/>
      <c r="F34" s="60"/>
      <c r="G34" s="60"/>
      <c r="H34" s="60"/>
      <c r="I34" s="60"/>
      <c r="J34" s="60"/>
      <c r="K34" s="60"/>
      <c r="L34" s="60"/>
      <c r="M34" s="60"/>
      <c r="N34" s="60"/>
      <c r="O34" s="60"/>
      <c r="P34" s="60"/>
      <c r="Q34" s="60"/>
      <c r="R34" s="61"/>
    </row>
    <row r="35" spans="1:18">
      <c r="A35" s="52"/>
      <c r="B35" s="53"/>
      <c r="C35" s="60"/>
      <c r="D35" s="60"/>
      <c r="E35" s="60"/>
      <c r="F35" s="60"/>
      <c r="G35" s="60"/>
      <c r="H35" s="60"/>
      <c r="I35" s="60"/>
      <c r="J35" s="60"/>
      <c r="K35" s="60"/>
      <c r="L35" s="60"/>
      <c r="M35" s="60"/>
      <c r="N35" s="60"/>
      <c r="O35" s="60"/>
      <c r="P35" s="60"/>
      <c r="Q35" s="60"/>
      <c r="R35" s="61"/>
    </row>
    <row r="36" spans="1:18">
      <c r="A36" s="52"/>
      <c r="B36" s="53"/>
      <c r="C36" s="60"/>
      <c r="D36" s="60"/>
      <c r="E36" s="60"/>
      <c r="F36" s="60"/>
      <c r="G36" s="60"/>
      <c r="H36" s="60"/>
      <c r="I36" s="60"/>
      <c r="J36" s="60"/>
      <c r="K36" s="60"/>
      <c r="L36" s="60"/>
      <c r="M36" s="60"/>
      <c r="N36" s="60"/>
      <c r="O36" s="60"/>
      <c r="P36" s="60"/>
      <c r="Q36" s="60"/>
      <c r="R36" s="61"/>
    </row>
    <row r="37" spans="1:18">
      <c r="A37" s="52"/>
      <c r="B37" s="53"/>
      <c r="C37" s="60"/>
      <c r="D37" s="60"/>
      <c r="E37" s="60"/>
      <c r="F37" s="60"/>
      <c r="G37" s="60"/>
      <c r="H37" s="60"/>
      <c r="I37" s="60"/>
      <c r="J37" s="60"/>
      <c r="K37" s="60"/>
      <c r="L37" s="60"/>
      <c r="M37" s="60"/>
      <c r="N37" s="60"/>
      <c r="O37" s="60"/>
      <c r="P37" s="60"/>
      <c r="Q37" s="60"/>
      <c r="R37" s="61"/>
    </row>
    <row r="38" spans="1:18">
      <c r="A38" s="52"/>
      <c r="B38" s="53"/>
      <c r="C38" s="60"/>
      <c r="D38" s="60"/>
      <c r="E38" s="60"/>
      <c r="F38" s="60"/>
      <c r="G38" s="60"/>
      <c r="H38" s="60"/>
      <c r="I38" s="60"/>
      <c r="J38" s="60"/>
      <c r="K38" s="60"/>
      <c r="L38" s="60"/>
      <c r="M38" s="60"/>
      <c r="N38" s="60"/>
      <c r="O38" s="60"/>
      <c r="P38" s="60"/>
      <c r="Q38" s="60"/>
      <c r="R38" s="61"/>
    </row>
    <row r="39" spans="1:18">
      <c r="A39" s="52"/>
      <c r="B39" s="53"/>
      <c r="C39" s="60"/>
      <c r="D39" s="60"/>
      <c r="E39" s="60"/>
      <c r="F39" s="60"/>
      <c r="G39" s="60"/>
      <c r="H39" s="60"/>
      <c r="I39" s="60"/>
      <c r="J39" s="60"/>
      <c r="K39" s="60"/>
      <c r="L39" s="60"/>
      <c r="M39" s="60"/>
      <c r="N39" s="60"/>
      <c r="O39" s="60"/>
      <c r="P39" s="60"/>
      <c r="Q39" s="60"/>
      <c r="R39" s="61"/>
    </row>
    <row r="40" spans="1:18">
      <c r="A40" s="52"/>
      <c r="B40" s="53"/>
      <c r="C40" s="60"/>
      <c r="D40" s="60"/>
      <c r="E40" s="60"/>
      <c r="F40" s="60"/>
      <c r="G40" s="60"/>
      <c r="H40" s="60"/>
      <c r="I40" s="60"/>
      <c r="J40" s="60"/>
      <c r="K40" s="60"/>
      <c r="L40" s="60"/>
      <c r="M40" s="60"/>
      <c r="N40" s="60"/>
      <c r="O40" s="60"/>
      <c r="P40" s="60"/>
      <c r="Q40" s="60"/>
      <c r="R40" s="61"/>
    </row>
    <row r="41" spans="1:18">
      <c r="A41" s="52"/>
      <c r="B41" s="53"/>
      <c r="C41" s="60"/>
      <c r="D41" s="60"/>
      <c r="E41" s="60"/>
      <c r="F41" s="60"/>
      <c r="G41" s="60"/>
      <c r="H41" s="60"/>
      <c r="I41" s="60"/>
      <c r="J41" s="60"/>
      <c r="K41" s="60"/>
      <c r="L41" s="60"/>
      <c r="M41" s="60"/>
      <c r="N41" s="60"/>
      <c r="O41" s="60"/>
      <c r="P41" s="60"/>
      <c r="Q41" s="60"/>
      <c r="R41" s="61"/>
    </row>
    <row r="42" spans="1:18">
      <c r="A42" s="52"/>
      <c r="B42" s="53"/>
      <c r="C42" s="60"/>
      <c r="D42" s="60"/>
      <c r="E42" s="60"/>
      <c r="F42" s="60"/>
      <c r="G42" s="60"/>
      <c r="H42" s="60"/>
      <c r="I42" s="60"/>
      <c r="J42" s="60"/>
      <c r="K42" s="60"/>
      <c r="L42" s="60"/>
      <c r="M42" s="60"/>
      <c r="N42" s="60"/>
      <c r="O42" s="60"/>
      <c r="P42" s="60"/>
      <c r="Q42" s="60"/>
      <c r="R42" s="61"/>
    </row>
    <row r="43" spans="1:18">
      <c r="A43" s="52"/>
      <c r="B43" s="53"/>
      <c r="C43" s="60"/>
      <c r="D43" s="60"/>
      <c r="E43" s="60"/>
      <c r="F43" s="60"/>
      <c r="G43" s="60"/>
      <c r="H43" s="60"/>
      <c r="I43" s="60"/>
      <c r="J43" s="60"/>
      <c r="K43" s="60"/>
      <c r="L43" s="60"/>
      <c r="M43" s="60"/>
      <c r="N43" s="60"/>
      <c r="O43" s="60"/>
      <c r="P43" s="60"/>
      <c r="Q43" s="60"/>
      <c r="R43" s="61"/>
    </row>
    <row r="44" spans="1:18">
      <c r="A44" s="52"/>
      <c r="B44" s="53"/>
      <c r="C44" s="60"/>
      <c r="D44" s="60"/>
      <c r="E44" s="60"/>
      <c r="F44" s="60"/>
      <c r="G44" s="60"/>
      <c r="H44" s="60"/>
      <c r="I44" s="60"/>
      <c r="J44" s="60"/>
      <c r="K44" s="60"/>
      <c r="L44" s="60"/>
      <c r="M44" s="60"/>
      <c r="N44" s="60"/>
      <c r="O44" s="60"/>
      <c r="P44" s="60"/>
      <c r="Q44" s="60"/>
      <c r="R44" s="61"/>
    </row>
    <row r="45" spans="1:18">
      <c r="A45" s="52"/>
      <c r="B45" s="53"/>
      <c r="C45" s="60"/>
      <c r="D45" s="60"/>
      <c r="E45" s="60"/>
      <c r="F45" s="60"/>
      <c r="G45" s="60"/>
      <c r="H45" s="60"/>
      <c r="I45" s="60"/>
      <c r="J45" s="60"/>
      <c r="K45" s="60"/>
      <c r="L45" s="60"/>
      <c r="M45" s="60"/>
      <c r="N45" s="60"/>
      <c r="O45" s="60"/>
      <c r="P45" s="60"/>
      <c r="Q45" s="60"/>
      <c r="R45" s="61"/>
    </row>
    <row r="46" spans="1:18">
      <c r="A46" s="52"/>
      <c r="B46" s="53"/>
      <c r="C46" s="60"/>
      <c r="D46" s="60"/>
      <c r="E46" s="60"/>
      <c r="F46" s="60"/>
      <c r="G46" s="60"/>
      <c r="H46" s="60"/>
      <c r="I46" s="60"/>
      <c r="J46" s="60"/>
      <c r="K46" s="60"/>
      <c r="L46" s="60"/>
      <c r="M46" s="60"/>
      <c r="N46" s="60"/>
      <c r="O46" s="60"/>
      <c r="P46" s="60"/>
      <c r="Q46" s="60"/>
      <c r="R46" s="61"/>
    </row>
    <row r="47" spans="1:18">
      <c r="A47" s="52"/>
      <c r="B47" s="53"/>
      <c r="C47" s="60"/>
      <c r="D47" s="60"/>
      <c r="E47" s="60"/>
      <c r="F47" s="60"/>
      <c r="G47" s="60"/>
      <c r="H47" s="60"/>
      <c r="I47" s="60"/>
      <c r="J47" s="60"/>
      <c r="K47" s="60"/>
      <c r="L47" s="60"/>
      <c r="M47" s="60"/>
      <c r="N47" s="60"/>
      <c r="O47" s="60"/>
      <c r="P47" s="60"/>
      <c r="Q47" s="60"/>
      <c r="R47" s="61"/>
    </row>
    <row r="48" spans="1:18">
      <c r="A48" s="52"/>
      <c r="B48" s="53"/>
      <c r="C48" s="60"/>
      <c r="D48" s="60"/>
      <c r="E48" s="60"/>
      <c r="F48" s="60"/>
      <c r="G48" s="60"/>
      <c r="H48" s="60"/>
      <c r="I48" s="60"/>
      <c r="J48" s="60"/>
      <c r="K48" s="60"/>
      <c r="L48" s="60"/>
      <c r="M48" s="60"/>
      <c r="N48" s="60"/>
      <c r="O48" s="60"/>
      <c r="P48" s="60"/>
      <c r="Q48" s="60"/>
      <c r="R48" s="61"/>
    </row>
    <row r="49" spans="1:18">
      <c r="A49" s="52"/>
      <c r="B49" s="53"/>
      <c r="C49" s="60"/>
      <c r="D49" s="60"/>
      <c r="E49" s="60"/>
      <c r="F49" s="60"/>
      <c r="G49" s="60"/>
      <c r="H49" s="60"/>
      <c r="I49" s="60"/>
      <c r="J49" s="60"/>
      <c r="K49" s="60"/>
      <c r="L49" s="60"/>
      <c r="M49" s="60"/>
      <c r="N49" s="60"/>
      <c r="O49" s="60"/>
      <c r="P49" s="60"/>
      <c r="Q49" s="60"/>
      <c r="R49" s="61"/>
    </row>
    <row r="50" spans="1:18">
      <c r="A50" s="52"/>
      <c r="B50" s="53"/>
      <c r="C50" s="60"/>
      <c r="D50" s="60"/>
      <c r="E50" s="60"/>
      <c r="F50" s="60"/>
      <c r="G50" s="60"/>
      <c r="H50" s="60"/>
      <c r="I50" s="60"/>
      <c r="J50" s="60"/>
      <c r="K50" s="60"/>
      <c r="L50" s="60"/>
      <c r="M50" s="60"/>
      <c r="N50" s="60"/>
      <c r="O50" s="60"/>
      <c r="P50" s="60"/>
      <c r="Q50" s="60"/>
      <c r="R50" s="61"/>
    </row>
    <row r="51" spans="1:18">
      <c r="A51" s="52"/>
      <c r="B51" s="53"/>
      <c r="C51" s="60"/>
      <c r="D51" s="60"/>
      <c r="E51" s="60"/>
      <c r="F51" s="60"/>
      <c r="G51" s="60"/>
      <c r="H51" s="60"/>
      <c r="I51" s="60"/>
      <c r="J51" s="60"/>
      <c r="K51" s="60"/>
      <c r="L51" s="60"/>
      <c r="M51" s="60"/>
      <c r="N51" s="60"/>
      <c r="O51" s="60"/>
      <c r="P51" s="60"/>
      <c r="Q51" s="60"/>
      <c r="R51" s="61"/>
    </row>
    <row r="52" spans="1:18">
      <c r="A52" s="52"/>
      <c r="B52" s="53"/>
      <c r="C52" s="60"/>
      <c r="D52" s="60"/>
      <c r="E52" s="60"/>
      <c r="F52" s="60"/>
      <c r="G52" s="60"/>
      <c r="H52" s="60"/>
      <c r="I52" s="60"/>
      <c r="J52" s="60"/>
      <c r="K52" s="60"/>
      <c r="L52" s="60"/>
      <c r="M52" s="60"/>
      <c r="N52" s="60"/>
      <c r="O52" s="60"/>
      <c r="P52" s="60"/>
      <c r="Q52" s="60"/>
      <c r="R52" s="61"/>
    </row>
  </sheetData>
  <sheetProtection selectLockedCells="1" selectUnlockedCells="1"/>
  <pageMargins left="0.7" right="0.7" top="0.75" bottom="0.75" header="0.3" footer="0.3"/>
  <pageSetup scale="2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38</v>
      </c>
      <c r="D1" t="s">
        <v>65</v>
      </c>
      <c r="E1" t="s">
        <v>66</v>
      </c>
      <c r="F1" t="s">
        <v>67</v>
      </c>
      <c r="G1" s="1" t="s">
        <v>68</v>
      </c>
      <c r="H1" s="1" t="s">
        <v>69</v>
      </c>
      <c r="I1" s="1" t="s">
        <v>70</v>
      </c>
      <c r="J1" s="7" t="s">
        <v>72</v>
      </c>
      <c r="K1" s="7" t="s">
        <v>6</v>
      </c>
      <c r="L1" t="s">
        <v>80</v>
      </c>
      <c r="M1" t="s">
        <v>77</v>
      </c>
      <c r="N1" t="s">
        <v>78</v>
      </c>
      <c r="O1" t="s">
        <v>81</v>
      </c>
      <c r="P1" t="s">
        <v>86</v>
      </c>
      <c r="Q1" t="s">
        <v>89</v>
      </c>
      <c r="R1" t="s">
        <v>90</v>
      </c>
      <c r="S1" t="s">
        <v>91</v>
      </c>
      <c r="T1" t="s">
        <v>94</v>
      </c>
      <c r="U1" t="s">
        <v>95</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24</v>
      </c>
      <c r="C3" t="s">
        <v>39</v>
      </c>
      <c r="D3" t="s">
        <v>73</v>
      </c>
      <c r="E3">
        <v>1</v>
      </c>
      <c r="F3">
        <v>1</v>
      </c>
      <c r="G3">
        <v>0</v>
      </c>
      <c r="H3">
        <v>0</v>
      </c>
      <c r="I3">
        <v>0</v>
      </c>
      <c r="J3">
        <v>1</v>
      </c>
      <c r="K3">
        <v>0</v>
      </c>
      <c r="L3">
        <v>1</v>
      </c>
      <c r="M3">
        <v>1</v>
      </c>
      <c r="N3">
        <v>0</v>
      </c>
      <c r="O3">
        <v>0</v>
      </c>
      <c r="P3">
        <v>1</v>
      </c>
      <c r="Q3">
        <v>0</v>
      </c>
      <c r="R3">
        <v>0</v>
      </c>
      <c r="S3">
        <v>1</v>
      </c>
      <c r="T3">
        <v>1</v>
      </c>
      <c r="U3" t="s">
        <v>96</v>
      </c>
    </row>
    <row r="4" spans="1:21">
      <c r="A4" t="s">
        <v>79</v>
      </c>
      <c r="B4" t="s">
        <v>21</v>
      </c>
      <c r="C4" t="s">
        <v>43</v>
      </c>
      <c r="D4" t="s">
        <v>74</v>
      </c>
      <c r="E4">
        <v>2</v>
      </c>
      <c r="F4">
        <v>2</v>
      </c>
      <c r="G4">
        <v>1</v>
      </c>
      <c r="H4">
        <v>1</v>
      </c>
      <c r="I4">
        <v>1</v>
      </c>
      <c r="J4">
        <v>2</v>
      </c>
      <c r="K4">
        <v>1</v>
      </c>
      <c r="L4">
        <v>2</v>
      </c>
      <c r="M4">
        <v>2</v>
      </c>
      <c r="N4">
        <v>1</v>
      </c>
      <c r="O4">
        <v>1</v>
      </c>
      <c r="P4">
        <v>-1</v>
      </c>
      <c r="Q4">
        <v>1</v>
      </c>
      <c r="R4">
        <v>1</v>
      </c>
      <c r="T4">
        <v>2</v>
      </c>
      <c r="U4" t="s">
        <v>97</v>
      </c>
    </row>
    <row r="5" spans="1:21">
      <c r="A5" t="s">
        <v>10</v>
      </c>
      <c r="B5" t="s">
        <v>22</v>
      </c>
      <c r="C5" t="s">
        <v>42</v>
      </c>
      <c r="D5" t="s">
        <v>61</v>
      </c>
      <c r="E5">
        <v>3</v>
      </c>
      <c r="F5">
        <v>3</v>
      </c>
      <c r="G5">
        <v>2</v>
      </c>
      <c r="H5">
        <v>2</v>
      </c>
      <c r="I5">
        <v>2</v>
      </c>
      <c r="J5">
        <v>3</v>
      </c>
      <c r="M5">
        <v>3</v>
      </c>
      <c r="N5">
        <v>2</v>
      </c>
      <c r="O5">
        <v>2</v>
      </c>
      <c r="Q5">
        <v>2</v>
      </c>
      <c r="U5" t="s">
        <v>98</v>
      </c>
    </row>
    <row r="6" spans="1:21">
      <c r="A6" t="s">
        <v>6</v>
      </c>
      <c r="B6" t="s">
        <v>23</v>
      </c>
      <c r="C6" t="s">
        <v>44</v>
      </c>
      <c r="D6" t="s">
        <v>58</v>
      </c>
      <c r="E6">
        <v>4</v>
      </c>
      <c r="F6">
        <v>4</v>
      </c>
      <c r="G6">
        <v>3</v>
      </c>
      <c r="H6">
        <v>3</v>
      </c>
      <c r="I6">
        <v>3</v>
      </c>
      <c r="J6">
        <v>4</v>
      </c>
      <c r="N6">
        <v>3</v>
      </c>
      <c r="Q6">
        <v>3</v>
      </c>
      <c r="U6" t="s">
        <v>99</v>
      </c>
    </row>
    <row r="7" spans="1:21">
      <c r="A7" t="s">
        <v>9</v>
      </c>
      <c r="B7" t="s">
        <v>25</v>
      </c>
      <c r="C7" t="s">
        <v>45</v>
      </c>
      <c r="D7" t="s">
        <v>59</v>
      </c>
      <c r="E7">
        <v>5</v>
      </c>
      <c r="F7">
        <v>5</v>
      </c>
      <c r="G7">
        <v>4</v>
      </c>
      <c r="H7">
        <v>4</v>
      </c>
      <c r="I7">
        <v>4</v>
      </c>
      <c r="J7">
        <v>5</v>
      </c>
      <c r="U7" t="s">
        <v>100</v>
      </c>
    </row>
    <row r="8" spans="1:21">
      <c r="A8" t="s">
        <v>11</v>
      </c>
      <c r="B8" t="s">
        <v>26</v>
      </c>
      <c r="C8" t="s">
        <v>46</v>
      </c>
      <c r="D8" t="s">
        <v>60</v>
      </c>
      <c r="E8">
        <v>6</v>
      </c>
      <c r="F8">
        <v>6</v>
      </c>
      <c r="G8">
        <v>5</v>
      </c>
      <c r="H8">
        <v>5</v>
      </c>
      <c r="I8">
        <v>5</v>
      </c>
      <c r="U8" t="s">
        <v>101</v>
      </c>
    </row>
    <row r="9" spans="1:21">
      <c r="B9" t="s">
        <v>87</v>
      </c>
      <c r="C9" t="s">
        <v>47</v>
      </c>
      <c r="E9">
        <v>7</v>
      </c>
      <c r="F9">
        <v>7</v>
      </c>
      <c r="G9">
        <v>6</v>
      </c>
      <c r="H9">
        <v>6</v>
      </c>
      <c r="I9">
        <v>6</v>
      </c>
      <c r="U9" t="s">
        <v>102</v>
      </c>
    </row>
    <row r="10" spans="1:21">
      <c r="B10" t="s">
        <v>27</v>
      </c>
      <c r="C10" t="s">
        <v>48</v>
      </c>
      <c r="E10">
        <v>8</v>
      </c>
      <c r="F10">
        <v>8</v>
      </c>
      <c r="G10">
        <v>7</v>
      </c>
      <c r="H10">
        <v>7</v>
      </c>
      <c r="I10">
        <v>7</v>
      </c>
    </row>
    <row r="11" spans="1:21">
      <c r="B11" t="s">
        <v>16</v>
      </c>
      <c r="C11" t="s">
        <v>49</v>
      </c>
      <c r="E11">
        <v>9</v>
      </c>
      <c r="F11">
        <v>9</v>
      </c>
      <c r="G11">
        <v>8</v>
      </c>
      <c r="H11">
        <v>8</v>
      </c>
      <c r="I11">
        <v>8</v>
      </c>
      <c r="J11" t="s">
        <v>92</v>
      </c>
    </row>
    <row r="12" spans="1:21">
      <c r="B12" t="s">
        <v>88</v>
      </c>
      <c r="C12" t="s">
        <v>50</v>
      </c>
      <c r="G12">
        <v>9</v>
      </c>
      <c r="H12">
        <v>9</v>
      </c>
      <c r="I12">
        <v>9</v>
      </c>
      <c r="J12" t="s">
        <v>8</v>
      </c>
    </row>
    <row r="13" spans="1:21">
      <c r="B13" t="s">
        <v>17</v>
      </c>
      <c r="C13" t="s">
        <v>51</v>
      </c>
      <c r="J13">
        <v>1</v>
      </c>
    </row>
    <row r="14" spans="1:21">
      <c r="B14" t="s">
        <v>20</v>
      </c>
      <c r="C14" t="s">
        <v>52</v>
      </c>
      <c r="J14">
        <v>2</v>
      </c>
    </row>
    <row r="15" spans="1:21">
      <c r="B15" t="s">
        <v>15</v>
      </c>
      <c r="C15" t="s">
        <v>53</v>
      </c>
    </row>
    <row r="16" spans="1:21">
      <c r="B16" t="s">
        <v>57</v>
      </c>
      <c r="C16" t="s">
        <v>54</v>
      </c>
      <c r="J16" t="s">
        <v>93</v>
      </c>
    </row>
    <row r="17" spans="2:10">
      <c r="B17" t="s">
        <v>18</v>
      </c>
      <c r="C17" t="s">
        <v>55</v>
      </c>
      <c r="J17" t="s">
        <v>8</v>
      </c>
    </row>
    <row r="18" spans="2:10">
      <c r="B18" t="s">
        <v>19</v>
      </c>
      <c r="C18" t="s">
        <v>56</v>
      </c>
      <c r="J18">
        <v>1</v>
      </c>
    </row>
    <row r="19" spans="2:10">
      <c r="C19" t="s">
        <v>28</v>
      </c>
      <c r="J19">
        <v>2</v>
      </c>
    </row>
    <row r="20" spans="2:10">
      <c r="C20" t="s">
        <v>4</v>
      </c>
      <c r="J20">
        <v>3</v>
      </c>
    </row>
    <row r="21" spans="2:10">
      <c r="C21" t="s">
        <v>41</v>
      </c>
      <c r="J21">
        <v>4</v>
      </c>
    </row>
    <row r="22" spans="2:10">
      <c r="C22" t="s">
        <v>40</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85</v>
      </c>
    </row>
    <row r="2" spans="1:1">
      <c r="A2" t="s">
        <v>83</v>
      </c>
    </row>
    <row r="3" spans="1:1">
      <c r="A3" t="s">
        <v>84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G2"/>
  <sheetViews>
    <sheetView workbookViewId="0">
      <selection activeCell="CQ1" sqref="CQ1"/>
    </sheetView>
  </sheetViews>
  <sheetFormatPr defaultRowHeight="14.4"/>
  <sheetData>
    <row r="1" spans="1:7">
      <c r="A1" t="s">
        <v>4</v>
      </c>
      <c r="B1" t="s">
        <v>110</v>
      </c>
      <c r="C1" t="s">
        <v>75</v>
      </c>
      <c r="D1" t="s">
        <v>95</v>
      </c>
      <c r="E1" t="s">
        <v>75</v>
      </c>
      <c r="F1" t="s">
        <v>113</v>
      </c>
      <c r="G1" t="s">
        <v>75</v>
      </c>
    </row>
    <row r="2" spans="1:7">
      <c r="A2">
        <v>200</v>
      </c>
      <c r="B2">
        <v>25</v>
      </c>
      <c r="D2" t="s">
        <v>99</v>
      </c>
      <c r="F2">
        <v>1.0000000000000001E-9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G2"/>
  <sheetViews>
    <sheetView workbookViewId="0">
      <selection activeCell="CQ1" sqref="CQ1"/>
    </sheetView>
  </sheetViews>
  <sheetFormatPr defaultRowHeight="14.4"/>
  <sheetData>
    <row r="1" spans="1:7">
      <c r="A1" t="s">
        <v>4</v>
      </c>
      <c r="B1" t="s">
        <v>110</v>
      </c>
      <c r="C1" t="s">
        <v>75</v>
      </c>
      <c r="D1" t="s">
        <v>95</v>
      </c>
      <c r="E1" t="s">
        <v>75</v>
      </c>
      <c r="F1" t="s">
        <v>113</v>
      </c>
      <c r="G1" t="s">
        <v>75</v>
      </c>
    </row>
    <row r="2" spans="1:7">
      <c r="A2">
        <v>1</v>
      </c>
      <c r="B2">
        <v>1</v>
      </c>
      <c r="C2">
        <v>0</v>
      </c>
      <c r="D2">
        <v>1</v>
      </c>
      <c r="E2">
        <v>0</v>
      </c>
      <c r="F2">
        <v>1</v>
      </c>
      <c r="G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Revision History</vt:lpstr>
      <vt:lpstr>Discretization</vt:lpstr>
      <vt:lpstr>Numerical Integration</vt:lpstr>
      <vt:lpstr>Numerical Thresholds</vt:lpstr>
      <vt:lpstr>Help</vt:lpstr>
      <vt:lpstr>PFD</vt:lpstr>
      <vt:lpstr>Reference</vt:lpstr>
      <vt:lpstr>maintenance check list</vt:lpstr>
      <vt:lpstr>Data(Transposed)</vt:lpstr>
      <vt:lpstr>Data(Test)</vt:lpstr>
      <vt:lpstr>Discretization!Print_Area</vt:lpstr>
      <vt:lpstr>'Numerical Integration'!Print_Area</vt:lpstr>
      <vt:lpstr>'Numerical Thresholds'!Print_Area</vt:lpstr>
      <vt:lpstr>'Revision History'!Print_Area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2022-06-16T21:49:48Z</dcterms:modified>
</cp:coreProperties>
</file>