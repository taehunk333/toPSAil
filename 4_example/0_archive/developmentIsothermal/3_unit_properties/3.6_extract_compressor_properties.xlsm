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development\3_unit_properties\"/>
    </mc:Choice>
  </mc:AlternateContent>
  <xr:revisionPtr revIDLastSave="0" documentId="13_ncr:1_{8BDB0B81-6F8D-4E4E-A4BE-5DF530456D1D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Help" sheetId="37" r:id="rId4"/>
    <sheet name="PFD" sheetId="38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externalReferences>
    <externalReference r:id="rId9"/>
    <externalReference r:id="rId10"/>
  </externalReferences>
  <definedNames>
    <definedName name="_xlnm._FilterDatabase" localSheetId="2" hidden="1">'Thermodynamic Properties'!$B$9:$K$9</definedName>
    <definedName name="_xlnm.Print_Area" localSheetId="0">'Revision History'!$C$3:$K$51</definedName>
    <definedName name="_xlnm.Print_Area" localSheetId="2">'Thermodynamic Properties'!$B$2:$K$11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40" l="1"/>
  <c r="K2" i="40"/>
  <c r="B2" i="40"/>
  <c r="R1" i="38"/>
  <c r="A1" i="38"/>
  <c r="Q1" i="37"/>
  <c r="A1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H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<sst xmlns="http://schemas.openxmlformats.org/spreadsheetml/2006/main" count="142" uniqueCount="112">
  <si>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</si>
  <si>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</si>
  <si>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</si>
  <si>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</si>
  <si>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</si>
  <si>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</si>
  <si>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</si>
  <si>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</si>
  <si>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</si>
  <si>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</si>
  <si>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</si>
  <si>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</si>
  <si>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</si>
  <si>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</si>
  <si>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</si>
  <si>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</si>
  <si>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</si>
  <si>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</si>
  <si>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</si>
  <si>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</si>
  <si>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</si>
  <si>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</si>
  <si>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</si>
  <si>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</si>
  <si>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</si>
  <si>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</si>
  <si>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</si>
  <si>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</si>
  <si>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</si>
  <si>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</si>
  <si>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</si>
  <si>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</si>
  <si>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</si>
  <si>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</si>
  <si>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</si>
  <si>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</si>
  <si>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</si>
  <si>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</si>
  <si>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</si>
  <si>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</si>
  <si>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</si>
  <si>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</si>
  <si>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</si>
  <si>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</si>
  <si>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</si>
  <si>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</si>
  <si>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</si>
  <si>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</si>
  <si>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</si>
  <si>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</si>
  <si>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</si>
  <si>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</si>
  <si>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</si>
  <si>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</si>
  <si>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</si>
  <si>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</si>
  <si>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</si>
  <si>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</si>
  <si>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</si>
  <si>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</si>
  <si>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</si>
  <si>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</si>
  <si>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</si>
  <si>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</si>
  <si>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</si>
  <si>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</si>
  <si>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</si>
  <si>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</si>
  <si>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</si>
  <si>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</si>
  <si>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</si>
  <si>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</si>
  <si>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</si>
  <si>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</si>
  <si>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</si>
  <si>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</si>
  <si>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</si>
  <si>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</si>
  <si>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</si>
  <si>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</si>
  <si>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</si>
  <si>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</si>
  <si>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</si>
  <si>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</si>
  <si>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</si>
  <si>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</si>
  <si>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</si>
  <si>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</si>
  <si>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</si>
  <si>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</si>
  <si>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</si>
  <si>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</si>
  <si>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</si>
  <si>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</si>
  <si>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</si>
  <si>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</si>
  <si>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</si>
  <si>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</si>
  <si>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</si>
  <si>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</si>
  <si>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</si>
  <si>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</si>
  <si>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</si>
  <si>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</si>
  <si>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</si>
  <si>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Initial development of the "cycle_organization.xlsm" sheet.</t>
  </si>
  <si>
    <t>REV. NO.1 (6/8/2022)</t>
  </si>
  <si>
    <t>Pressure Swing Adsorption Process Flow Diagram (PFD)</t>
  </si>
  <si>
    <t>Pressure Changers Information</t>
  </si>
  <si>
    <t>Vacuum Pump</t>
  </si>
  <si>
    <t>Compressor</t>
  </si>
  <si>
    <t>isEntEffExComp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</si>
</sst>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left" vertical="center" indent="1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6" fillId="3" borderId="1" xfId="1" applyFont="1" applyFill="1" applyBorder="1" applyAlignment="1" applyProtection="1">
      <alignment horizontal="center" vertical="center" wrapText="1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0" borderId="0" xfId="0" applyFont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7" xfId="0" applyFont="1" applyFill="1" applyBorder="1"/>
    <xf numFmtId="0" fontId="4" fillId="4" borderId="8" xfId="0" applyFont="1" applyFill="1" applyBorder="1"/>
    <xf numFmtId="0" fontId="4" fillId="3" borderId="0" xfId="0" applyFont="1" applyFill="1"/>
    <xf numFmtId="0" fontId="4" fillId="3" borderId="14" xfId="0" applyFont="1" applyFill="1" applyBorder="1"/>
    <xf numFmtId="0" fontId="5" fillId="0" borderId="2" xfId="1" applyFont="1" applyBorder="1" applyAlignment="1" applyProtection="1">
      <alignment horizontal="center" vertical="center"/>
    </xf>
    <xf numFmtId="0" fontId="6" fillId="4" borderId="10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80680</xdr:colOff>
      <xdr:row>4</xdr:row>
      <xdr:rowOff>0</xdr:rowOff>
    </xdr:from>
    <xdr:to>
      <xdr:col>5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1671"/>
          <a:ext cx="6129194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400-0000015C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4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4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kim333/Documents/GitHub/toPSAil/4_example/development/4_cycle_organization/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3.1_adsorber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Cv"/>
      <sheetName val="maintenance check list"/>
      <sheetName val="Data(Transposed)"/>
      <sheetName val="Data(Test)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Geometry"/>
      <sheetName val="Adsorber Packing"/>
      <sheetName val="Adsorber Design"/>
      <sheetName val="Physical Properties"/>
      <sheetName val="Help"/>
      <sheetName val="PFD"/>
      <sheetName val="maintenance check list"/>
      <sheetName val="Data(Transposed)"/>
      <sheetName val="Data(Test)"/>
    </sheetNames>
    <sheetDataSet>
      <sheetData sheetId="0">
        <row r="4">
          <cell r="J4" t="str">
            <v>Scott Research Group (jkscottresearchgroup.com)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B9:K11" totalsRowShown="0" headerRowDxfId="14" dataDxfId="12" headerRowBorderDxfId="13" tableBorderDxfId="11" totalsRowBorderDxfId="10">
  <autoFilter ref="B9:K11" xr:uid="{B089C5C3-2CCE-4800-96CA-2131BB6E3E4F}"/>
  <tableColumns count="10">
    <tableColumn id="1" xr3:uid="{A0950A90-6EBF-4AAE-82DC-77D2C5597D01}" name="Variable" dataDxfId="9"/>
    <tableColumn id="4" xr3:uid="{2355D9FB-E58B-4C44-B7EA-B0DCB5885EA2}" name="Value" dataDxfId="8"/>
    <tableColumn id="5" xr3:uid="{210665E1-9807-44CE-A675-AA4CAA5BEC8B}" name="Unit" dataDxfId="7"/>
    <tableColumn id="6" xr3:uid="{FA8E07BD-E881-43A5-9BC8-FE8750ECD0C0}" name="Comparisons" dataDxfId="6"/>
    <tableColumn id="7" xr3:uid="{7BFE2033-DFAC-4E9E-8732-5A93D1B6237F}" name="Variable Type" dataDxfId="5"/>
    <tableColumn id="8" xr3:uid="{B8E78B10-6057-43CA-A14C-4152818A790C}" name="Dependency" dataDxfId="4"/>
    <tableColumn id="12" xr3:uid="{76DFDF29-EA8F-4E63-A1CA-087129889F4A}" name="Test 1" dataDxfId="3"/>
    <tableColumn id="10" xr3:uid="{47E57267-D8DE-4407-ADE6-CE085EED1577}" name="Test 2" dataDxfId="2"/>
    <tableColumn id="2" xr3:uid="{DEFE9C7D-4523-4B50-9FD3-17852989B233}" name="Test 3" dataDxfId="1"/>
    <tableColumn id="9" xr3:uid="{ACA3664C-CE49-4158-9F29-7E5A3DB9D28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9" dT="2020-11-26T20:01:15.60" personId="{7F98AE94-13FB-49E1-9262-339C11E0EDB4}" id="{3D841CC4-BAC8-49CA-94C8-1681D2A28E77}">
    <text>place 1 if we want to keep the row when re-initializing. Otherwise, leave it as a blank.</text>
  </threadedComment>
  <threadedComment ref="I9" dT="2020-11-26T18:35:03.27" personId="{7F98AE94-13FB-49E1-9262-339C11E0EDB4}" id="{190EFEDD-2DC1-491C-8B1C-21EA83B058D9}">
    <text>supply a value greater than 1 if you want to duplicate the row</text>
  </threadedComment>
  <threadedComment ref="J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J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E14" sqref="E14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886718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886718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9" t="s">
        <v>106</v>
      </c>
      <c r="E4" s="50"/>
      <c r="F4" s="51"/>
      <c r="G4" s="52"/>
      <c r="H4" s="52"/>
      <c r="I4" s="52"/>
      <c r="J4" s="34" t="s">
        <v>82</v>
      </c>
    </row>
    <row r="5" spans="4:10" ht="36">
      <c r="D5" s="67" t="s">
        <v>36</v>
      </c>
      <c r="E5" s="67"/>
      <c r="F5" s="67"/>
      <c r="G5" s="67"/>
      <c r="H5" s="67"/>
      <c r="I5" s="67"/>
      <c r="J5" s="67"/>
    </row>
    <row r="6" spans="4:10" ht="18">
      <c r="D6" s="45" t="s">
        <v>30</v>
      </c>
      <c r="E6" s="45" t="s">
        <v>104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36">
      <c r="D7" s="35">
        <v>1</v>
      </c>
      <c r="E7" s="46" t="s">
        <v>105</v>
      </c>
      <c r="F7" s="47">
        <v>44720</v>
      </c>
      <c r="G7" s="48" t="s">
        <v>37</v>
      </c>
      <c r="H7" s="35"/>
      <c r="I7" s="35"/>
      <c r="J7" s="36"/>
    </row>
    <row r="8" spans="4:10" ht="18">
      <c r="D8" s="35">
        <v>2</v>
      </c>
      <c r="E8" s="36"/>
      <c r="F8" s="37"/>
      <c r="G8" s="35"/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886718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1"/>
  <sheetViews>
    <sheetView showGridLines="0" tabSelected="1" topLeftCell="B2" zoomScale="85" zoomScaleNormal="85" zoomScaleSheetLayoutView="85" workbookViewId="0">
      <pane ySplit="8" topLeftCell="A10" activePane="bottomLeft" state="frozen"/>
      <selection activeCell="B2" sqref="B2"/>
      <selection pane="bottomLeft" activeCell="C11" sqref="C11"/>
    </sheetView>
  </sheetViews>
  <sheetFormatPr defaultColWidth="0" defaultRowHeight="14.4" customHeight="1" zeroHeight="1"/>
  <cols>
    <col min="1" max="1" width="3.77734375" style="3" hidden="1" customWidth="1"/>
    <col min="2" max="2" width="17" style="3" bestFit="1" customWidth="1"/>
    <col min="3" max="3" width="22.21875" style="3" customWidth="1"/>
    <col min="4" max="4" width="20" style="3" customWidth="1"/>
    <col min="5" max="5" width="24.21875" style="3" customWidth="1"/>
    <col min="6" max="6" width="17.33203125" style="3" customWidth="1"/>
    <col min="7" max="7" width="13.109375" style="3" customWidth="1"/>
    <col min="8" max="10" width="15" style="3" customWidth="1"/>
    <col min="11" max="11" width="57.44140625" style="3" customWidth="1"/>
    <col min="12" max="16384" width="8.88671875" style="3" hidden="1"/>
  </cols>
  <sheetData>
    <row r="1" spans="2:11" hidden="1">
      <c r="B1" s="23"/>
      <c r="C1" s="23"/>
      <c r="D1" s="23"/>
      <c r="E1" s="23"/>
      <c r="F1" s="23"/>
      <c r="G1" s="23"/>
      <c r="H1" s="23"/>
      <c r="I1" s="23"/>
      <c r="J1" s="23"/>
      <c r="K1" s="23"/>
    </row>
    <row r="2" spans="2:11">
      <c r="B2" s="39" t="str">
        <f>'Revision History'!$D$4</f>
        <v>REV. NO.1 (6/8/2022)</v>
      </c>
      <c r="C2" s="40"/>
      <c r="D2" s="40"/>
      <c r="E2" s="40"/>
      <c r="F2" s="40"/>
      <c r="G2" s="40"/>
      <c r="H2" s="40"/>
      <c r="I2" s="40"/>
      <c r="J2" s="40"/>
      <c r="K2" s="41" t="str">
        <f>'Revision History'!$J$4</f>
        <v>Scott Research Group (jkscottresearchgroup.com)</v>
      </c>
    </row>
    <row r="3" spans="2:11" ht="18">
      <c r="B3" s="68" t="s">
        <v>29</v>
      </c>
      <c r="C3" s="68"/>
      <c r="D3" s="68"/>
      <c r="E3" s="68"/>
      <c r="F3" s="68"/>
      <c r="G3" s="68"/>
      <c r="H3" s="68"/>
      <c r="I3" s="68"/>
      <c r="J3" s="68"/>
      <c r="K3" s="68"/>
    </row>
    <row r="4" spans="2:11" ht="14.4" customHeight="1">
      <c r="B4" s="12"/>
      <c r="C4" s="13"/>
      <c r="D4" s="14"/>
      <c r="E4" s="15"/>
      <c r="F4" s="15"/>
      <c r="G4" s="15"/>
      <c r="H4" s="15"/>
      <c r="I4" s="15"/>
      <c r="J4" s="15"/>
      <c r="K4" s="69" t="str">
        <f>IF(COUNTIF(Table110423[Test 3],1)=COUNTA(Table110423[Value]),"Ready","Not Ready")</f>
        <v>Ready</v>
      </c>
    </row>
    <row r="5" spans="2:11" ht="14.4" customHeight="1">
      <c r="B5" s="16"/>
      <c r="C5" s="17"/>
      <c r="D5" s="44"/>
      <c r="E5" s="44"/>
      <c r="F5" s="44"/>
      <c r="G5" s="44"/>
      <c r="H5" s="18"/>
      <c r="I5" s="44"/>
      <c r="J5" s="44"/>
      <c r="K5" s="70"/>
    </row>
    <row r="6" spans="2:11" ht="14.4" customHeight="1">
      <c r="B6" s="16"/>
      <c r="C6" s="17"/>
      <c r="D6" s="44"/>
      <c r="E6" s="44"/>
      <c r="F6" s="44"/>
      <c r="G6" s="44"/>
      <c r="H6" s="18"/>
      <c r="I6" s="44"/>
      <c r="J6" s="44"/>
      <c r="K6" s="70"/>
    </row>
    <row r="7" spans="2:11" ht="14.4" customHeight="1">
      <c r="B7" s="16"/>
      <c r="C7" s="17"/>
      <c r="D7" s="44"/>
      <c r="E7" s="44"/>
      <c r="F7" s="44"/>
      <c r="G7" s="44"/>
      <c r="H7" s="18"/>
      <c r="I7" s="44"/>
      <c r="J7" s="44"/>
      <c r="K7" s="70"/>
    </row>
    <row r="8" spans="2:11" ht="14.4" customHeight="1">
      <c r="B8" s="19"/>
      <c r="C8" s="20"/>
      <c r="D8" s="21"/>
      <c r="E8" s="21"/>
      <c r="F8" s="21"/>
      <c r="G8" s="21"/>
      <c r="H8" s="22"/>
      <c r="I8" s="21"/>
      <c r="J8" s="21"/>
      <c r="K8" s="71"/>
    </row>
    <row r="9" spans="2:11">
      <c r="B9" s="24" t="s">
        <v>0</v>
      </c>
      <c r="C9" s="25" t="s">
        <v>1</v>
      </c>
      <c r="D9" s="25" t="s">
        <v>2</v>
      </c>
      <c r="E9" s="25" t="s">
        <v>14</v>
      </c>
      <c r="F9" s="25" t="s">
        <v>62</v>
      </c>
      <c r="G9" s="26" t="s">
        <v>38</v>
      </c>
      <c r="H9" s="26" t="s">
        <v>63</v>
      </c>
      <c r="I9" s="25" t="s">
        <v>64</v>
      </c>
      <c r="J9" s="27" t="s">
        <v>71</v>
      </c>
      <c r="K9" s="27" t="s">
        <v>12</v>
      </c>
    </row>
    <row r="10" spans="2:11" ht="28.8">
      <c r="B10" s="43" t="s">
        <v>111</v>
      </c>
      <c r="C10" s="28">
        <v>0.75</v>
      </c>
      <c r="D10" s="30" t="s">
        <v>3</v>
      </c>
      <c r="E10" s="42" t="s">
        <v>17</v>
      </c>
      <c r="F10" s="42" t="s">
        <v>7</v>
      </c>
      <c r="G10" s="2" t="s">
        <v>52</v>
      </c>
      <c r="H10" s="42">
        <v>1</v>
      </c>
      <c r="I10" s="42">
        <v>1</v>
      </c>
      <c r="J10" s="5">
        <v>1</v>
      </c>
      <c r="K10" s="4" t="s">
        <v>92</v>
      </c>
    </row>
    <row r="11" spans="2:11">
      <c r="B11" s="7" t="s">
        <v>75</v>
      </c>
      <c r="C11" s="29"/>
      <c r="D11" s="8"/>
      <c r="E11" s="9"/>
      <c r="F11" s="9"/>
      <c r="G11" s="8"/>
      <c r="H11" s="9">
        <v>1</v>
      </c>
      <c r="I11" s="9">
        <v>1</v>
      </c>
      <c r="J11" s="10">
        <v>0</v>
      </c>
      <c r="K11" s="11" t="s">
        <v>76</v>
      </c>
    </row>
  </sheetData>
  <sheetProtection algorithmName="SHA-512" hashValue="C5PAQ+h7PSxTIczbbU2icbUeHw3CL5ha+zdytWO85zfNXAICiu0d4JIRo3HopGk2MyM6NQXfDN1Y1K6F8lRyCQ==" saltValue="xfPDOpIQ4LKYuWJkwM04rg==" spinCount="100000" sheet="1" objects="1" scenarios="1" selectLockedCells="1"/>
  <mergeCells count="2">
    <mergeCell ref="B3:K3"/>
    <mergeCell ref="K4:K8"/>
  </mergeCells>
  <conditionalFormatting sqref="C10:C11">
    <cfRule type="expression" dxfId="19" priority="1">
      <formula>IF(AND($C10&lt;&gt;"",$J10=0),1,0)</formula>
    </cfRule>
    <cfRule type="expression" dxfId="18" priority="2">
      <formula>IF($C10&lt;&gt;"",1,0)</formula>
    </cfRule>
    <cfRule type="expression" dxfId="17" priority="3">
      <formula>$J10=0</formula>
    </cfRule>
  </conditionalFormatting>
  <conditionalFormatting sqref="K4">
    <cfRule type="expression" dxfId="16" priority="4">
      <formula>IF(COUNTA($C$10:$C$11)&lt;&gt;COUNTIF($J$10:$J$11,1),1,0)</formula>
    </cfRule>
    <cfRule type="expression" dxfId="15" priority="5">
      <formula>IF(COUNTA($C$10:$C$11)=COUNTIF($J$10:$J$11,1),1,0)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175260</xdr:colOff>
                    <xdr:row>4</xdr:row>
                    <xdr:rowOff>76200</xdr:rowOff>
                  </from>
                  <to>
                    <xdr:col>2</xdr:col>
                    <xdr:colOff>922020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1021080</xdr:colOff>
                    <xdr:row>4</xdr:row>
                    <xdr:rowOff>76200</xdr:rowOff>
                  </from>
                  <to>
                    <xdr:col>4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137160</xdr:colOff>
                    <xdr:row>4</xdr:row>
                    <xdr:rowOff>76200</xdr:rowOff>
                  </from>
                  <to>
                    <xdr:col>5</xdr:col>
                    <xdr:colOff>396240</xdr:colOff>
                    <xdr:row>6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BF8BF5-D593-48F9-A511-018A202EF2AE}">
          <x14:formula1>
            <xm:f>Reference!$C$2:$C$23</xm:f>
          </x14:formula1>
          <xm:sqref>G10:G11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E10:E11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F10:F11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A2E94-E305-4ABB-8FA7-43727A3EE10A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B18" sqref="B18"/>
    </sheetView>
  </sheetViews>
  <sheetFormatPr defaultColWidth="0" defaultRowHeight="0" customHeight="1" zeroHeight="1"/>
  <cols>
    <col min="1" max="2" width="8.88671875" style="56" customWidth="1"/>
    <col min="3" max="3" width="13.109375" style="56" customWidth="1"/>
    <col min="4" max="4" width="13.44140625" style="56" customWidth="1"/>
    <col min="5" max="6" width="8.886718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5546875" style="56" customWidth="1"/>
    <col min="12" max="17" width="8.88671875" style="56" customWidth="1"/>
    <col min="18" max="16384" width="8.88671875" style="56" hidden="1"/>
  </cols>
  <sheetData>
    <row r="1" spans="1:17" ht="14.4">
      <c r="A1" s="53" t="str">
        <f>'[1]Revision History'!D4</f>
        <v>REV. NO.1 (6/8/2022)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tr">
        <f>'[2]Revision History'!$J$4</f>
        <v>Scott Research Group (jkscottresearchgroup.com)</v>
      </c>
    </row>
    <row r="2" spans="1:17" ht="14.4">
      <c r="A2" s="72" t="s">
        <v>108</v>
      </c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</row>
    <row r="3" spans="1:17" ht="14.4">
      <c r="A3" s="57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</row>
    <row r="4" spans="1:17" ht="14.4">
      <c r="A4" s="57"/>
      <c r="B4" s="58" t="s">
        <v>109</v>
      </c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</row>
    <row r="5" spans="1:17" ht="14.4">
      <c r="A5" s="57"/>
      <c r="B5" s="59"/>
      <c r="C5" s="58"/>
      <c r="D5" s="58"/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</row>
    <row r="6" spans="1:17" ht="14.4">
      <c r="A6" s="57"/>
      <c r="B6" s="58"/>
      <c r="C6" s="58"/>
      <c r="D6" s="58"/>
      <c r="E6" s="58"/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</row>
    <row r="7" spans="1:17" ht="14.4">
      <c r="A7" s="57"/>
      <c r="B7" s="58"/>
      <c r="C7" s="58"/>
      <c r="D7" s="58"/>
      <c r="E7" s="58"/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</row>
    <row r="8" spans="1:17" ht="14.4">
      <c r="A8" s="57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</row>
    <row r="9" spans="1:17" ht="14.4">
      <c r="A9" s="57"/>
      <c r="B9" s="58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</row>
    <row r="10" spans="1:17" ht="14.4">
      <c r="A10" s="57"/>
      <c r="B10" s="58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</row>
    <row r="11" spans="1:17" ht="14.4">
      <c r="A11" s="57"/>
      <c r="B11" s="58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</row>
    <row r="12" spans="1:17" ht="14.4">
      <c r="A12" s="57"/>
      <c r="B12" s="58" t="s">
        <v>110</v>
      </c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</row>
    <row r="13" spans="1:17" ht="14.4">
      <c r="A13" s="57"/>
      <c r="B13" s="58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</row>
    <row r="14" spans="1:17" ht="14.4">
      <c r="A14" s="57"/>
      <c r="B14" s="58"/>
      <c r="C14" s="58"/>
      <c r="D14" s="58"/>
      <c r="E14" s="58"/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</row>
    <row r="15" spans="1:17" ht="14.4">
      <c r="A15" s="57"/>
      <c r="B15" s="58"/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</row>
    <row r="16" spans="1:17" ht="14.4">
      <c r="A16" s="57"/>
      <c r="B16" s="58"/>
      <c r="C16" s="58"/>
      <c r="D16" s="58"/>
      <c r="E16" s="58"/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</row>
    <row r="17" spans="1:17" ht="14.4">
      <c r="A17" s="57"/>
      <c r="B17" s="58"/>
      <c r="C17" s="58"/>
      <c r="D17" s="58"/>
      <c r="E17" s="58"/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</row>
    <row r="18" spans="1:17" ht="14.4">
      <c r="A18" s="57"/>
      <c r="B18" s="58"/>
      <c r="C18" s="58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</row>
    <row r="19" spans="1:17" ht="14.4">
      <c r="A19" s="57"/>
      <c r="B19" s="58"/>
      <c r="C19" s="58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</row>
    <row r="20" spans="1:17" ht="14.4">
      <c r="A20" s="57"/>
      <c r="B20" s="58"/>
      <c r="C20" s="58"/>
      <c r="D20" s="58"/>
      <c r="E20" s="58"/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</row>
    <row r="21" spans="1:17" ht="14.4">
      <c r="A21" s="57"/>
      <c r="B21" s="58"/>
      <c r="C21" s="58"/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</row>
    <row r="22" spans="1:17" ht="14.4">
      <c r="A22" s="57"/>
      <c r="B22" s="58"/>
      <c r="C22" s="58"/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</row>
    <row r="23" spans="1:17" ht="14.4">
      <c r="A23" s="57"/>
      <c r="B23" s="58"/>
      <c r="C23" s="58"/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</row>
    <row r="24" spans="1:17" ht="14.4">
      <c r="A24" s="57"/>
      <c r="B24" s="58"/>
      <c r="C24" s="58"/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</row>
    <row r="25" spans="1:17" ht="14.4">
      <c r="A25" s="57"/>
      <c r="B25" s="58"/>
      <c r="C25" s="58"/>
      <c r="D25" s="58"/>
      <c r="E25" s="58"/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</row>
    <row r="26" spans="1:17" ht="14.4">
      <c r="A26" s="57"/>
      <c r="B26" s="58"/>
      <c r="C26" s="58"/>
      <c r="D26" s="58"/>
      <c r="E26" s="58"/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</row>
    <row r="27" spans="1:17" ht="14.4">
      <c r="A27" s="57"/>
      <c r="B27" s="58"/>
      <c r="C27" s="58"/>
      <c r="D27" s="58"/>
      <c r="E27" s="58"/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</row>
    <row r="28" spans="1:17" ht="14.4">
      <c r="A28" s="57"/>
      <c r="B28" s="58"/>
      <c r="C28" s="58"/>
      <c r="D28" s="58"/>
      <c r="E28" s="58"/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</row>
    <row r="29" spans="1:17" ht="14.4">
      <c r="A29" s="57"/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</row>
    <row r="30" spans="1:17" ht="14.4">
      <c r="A30" s="57"/>
      <c r="B30" s="58"/>
      <c r="C30" s="58"/>
      <c r="D30" s="58"/>
      <c r="E30" s="58"/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</row>
    <row r="31" spans="1:17" ht="14.4">
      <c r="A31" s="57"/>
      <c r="B31" s="58"/>
      <c r="C31" s="58"/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</row>
    <row r="32" spans="1:17" ht="14.4">
      <c r="A32" s="57"/>
      <c r="B32" s="59"/>
      <c r="C32" s="58"/>
      <c r="D32" s="58"/>
      <c r="E32" s="58"/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</row>
    <row r="33" spans="1:17" ht="14.4">
      <c r="A33" s="57"/>
      <c r="B33" s="58"/>
      <c r="C33" s="58"/>
      <c r="D33" s="58"/>
      <c r="E33" s="58"/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</row>
    <row r="34" spans="1:17" ht="14.4">
      <c r="A34" s="57"/>
      <c r="B34" s="58"/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F7797-9063-4092-AFE9-C8200621A356}">
  <sheetPr codeName="Sheet2">
    <tabColor rgb="FF00B050"/>
  </sheetPr>
  <dimension ref="A1:AV52"/>
  <sheetViews>
    <sheetView showGridLines="0" topLeftCell="A16" zoomScale="85" zoomScaleNormal="85" zoomScaleSheetLayoutView="55" workbookViewId="0">
      <selection activeCell="D4" sqref="D4:J4"/>
    </sheetView>
  </sheetViews>
  <sheetFormatPr defaultColWidth="0" defaultRowHeight="14.4" customHeight="1" zeroHeight="1"/>
  <cols>
    <col min="1" max="18" width="8.88671875" style="60" customWidth="1"/>
    <col min="19" max="48" width="0" style="60" hidden="1" customWidth="1"/>
    <col min="49" max="16384" width="8.88671875" style="60" hidden="1"/>
  </cols>
  <sheetData>
    <row r="1" spans="1:18">
      <c r="A1" s="53" t="str">
        <f>'[1]Revision History'!D4</f>
        <v>REV. NO.1 (6/8/2022)</v>
      </c>
      <c r="B1" s="54"/>
      <c r="C1" s="54"/>
      <c r="D1" s="54"/>
      <c r="E1" s="54"/>
      <c r="F1" s="54"/>
      <c r="G1" s="54"/>
      <c r="H1" s="54"/>
      <c r="I1" s="54"/>
      <c r="J1" s="55"/>
      <c r="K1" s="55"/>
      <c r="L1" s="55"/>
      <c r="M1" s="55"/>
      <c r="N1" s="55"/>
      <c r="O1" s="55"/>
      <c r="P1" s="55"/>
      <c r="Q1" s="55"/>
      <c r="R1" s="55" t="str">
        <f>'[2]Revision History'!$J$4</f>
        <v>Scott Research Group (jkscottresearchgroup.com)</v>
      </c>
    </row>
    <row r="2" spans="1:18">
      <c r="A2" s="61" t="s">
        <v>107</v>
      </c>
      <c r="B2" s="62"/>
      <c r="C2" s="62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4"/>
    </row>
    <row r="3" spans="1:18">
      <c r="A3" s="57"/>
      <c r="B3" s="58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6"/>
    </row>
    <row r="4" spans="1:18">
      <c r="A4" s="57"/>
      <c r="B4" s="58"/>
      <c r="C4" s="65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6"/>
    </row>
    <row r="5" spans="1:18">
      <c r="A5" s="57"/>
      <c r="B5" s="58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6"/>
    </row>
    <row r="6" spans="1:18">
      <c r="A6" s="57"/>
      <c r="B6" s="58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6"/>
    </row>
    <row r="7" spans="1:18">
      <c r="A7" s="57"/>
      <c r="B7" s="58"/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6"/>
    </row>
    <row r="8" spans="1:18">
      <c r="A8" s="57"/>
      <c r="B8" s="58"/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6"/>
    </row>
    <row r="9" spans="1:18">
      <c r="A9" s="57"/>
      <c r="B9" s="58"/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6"/>
    </row>
    <row r="10" spans="1:18">
      <c r="A10" s="57"/>
      <c r="B10" s="58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6"/>
    </row>
    <row r="11" spans="1:18">
      <c r="A11" s="57"/>
      <c r="B11" s="58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6"/>
    </row>
    <row r="12" spans="1:18">
      <c r="A12" s="57"/>
      <c r="B12" s="58"/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6"/>
    </row>
    <row r="13" spans="1:18">
      <c r="A13" s="57"/>
      <c r="B13" s="58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6"/>
    </row>
    <row r="14" spans="1:18">
      <c r="A14" s="57"/>
      <c r="B14" s="58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6"/>
    </row>
    <row r="15" spans="1:18">
      <c r="A15" s="57"/>
      <c r="B15" s="58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6"/>
    </row>
    <row r="16" spans="1:18">
      <c r="A16" s="57"/>
      <c r="B16" s="58"/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6"/>
    </row>
    <row r="17" spans="1:18">
      <c r="A17" s="57"/>
      <c r="B17" s="58"/>
      <c r="C17" s="65"/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6"/>
    </row>
    <row r="18" spans="1:18">
      <c r="A18" s="57"/>
      <c r="B18" s="58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6"/>
    </row>
    <row r="19" spans="1:18">
      <c r="A19" s="57"/>
      <c r="B19" s="58"/>
      <c r="C19" s="65"/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  <c r="R19" s="66"/>
    </row>
    <row r="20" spans="1:18">
      <c r="A20" s="57"/>
      <c r="B20" s="58"/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R20" s="66"/>
    </row>
    <row r="21" spans="1:18">
      <c r="A21" s="57"/>
      <c r="B21" s="58"/>
      <c r="C21" s="65"/>
      <c r="D21" s="65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/>
      <c r="R21" s="66"/>
    </row>
    <row r="22" spans="1:18">
      <c r="A22" s="57"/>
      <c r="B22" s="58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6"/>
    </row>
    <row r="23" spans="1:18">
      <c r="A23" s="57"/>
      <c r="B23" s="58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6"/>
    </row>
    <row r="24" spans="1:18">
      <c r="A24" s="57"/>
      <c r="B24" s="58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6"/>
    </row>
    <row r="25" spans="1:18">
      <c r="A25" s="57"/>
      <c r="B25" s="58"/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6"/>
    </row>
    <row r="26" spans="1:18">
      <c r="A26" s="57"/>
      <c r="B26" s="58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6"/>
    </row>
    <row r="27" spans="1:18">
      <c r="A27" s="57"/>
      <c r="B27" s="58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6"/>
    </row>
    <row r="28" spans="1:18">
      <c r="A28" s="57"/>
      <c r="B28" s="58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  <c r="R28" s="66"/>
    </row>
    <row r="29" spans="1:18">
      <c r="A29" s="57"/>
      <c r="B29" s="58"/>
      <c r="C29" s="65"/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6"/>
    </row>
    <row r="30" spans="1:18">
      <c r="A30" s="57"/>
      <c r="B30" s="58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6"/>
    </row>
    <row r="31" spans="1:18">
      <c r="A31" s="57"/>
      <c r="B31" s="58"/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5"/>
      <c r="Q31" s="65"/>
      <c r="R31" s="66"/>
    </row>
    <row r="32" spans="1:18">
      <c r="A32" s="57"/>
      <c r="B32" s="58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6"/>
    </row>
    <row r="33" spans="1:18">
      <c r="A33" s="57"/>
      <c r="B33" s="58"/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6"/>
    </row>
    <row r="34" spans="1:18">
      <c r="A34" s="57"/>
      <c r="B34" s="58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6"/>
    </row>
    <row r="35" spans="1:18">
      <c r="A35" s="57"/>
      <c r="B35" s="58"/>
      <c r="C35" s="65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6"/>
    </row>
    <row r="36" spans="1:18">
      <c r="A36" s="57"/>
      <c r="B36" s="58"/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6"/>
    </row>
    <row r="37" spans="1:18">
      <c r="A37" s="57"/>
      <c r="B37" s="58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6"/>
    </row>
    <row r="38" spans="1:18">
      <c r="A38" s="57"/>
      <c r="B38" s="58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6"/>
    </row>
    <row r="39" spans="1:18">
      <c r="A39" s="57"/>
      <c r="B39" s="58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6"/>
    </row>
    <row r="40" spans="1:18">
      <c r="A40" s="57"/>
      <c r="B40" s="58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6"/>
    </row>
    <row r="41" spans="1:18">
      <c r="A41" s="57"/>
      <c r="B41" s="58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6"/>
    </row>
    <row r="42" spans="1:18">
      <c r="A42" s="57"/>
      <c r="B42" s="58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6"/>
    </row>
    <row r="43" spans="1:18">
      <c r="A43" s="57"/>
      <c r="B43" s="58"/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6"/>
    </row>
    <row r="44" spans="1:18">
      <c r="A44" s="57"/>
      <c r="B44" s="58"/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6"/>
    </row>
    <row r="45" spans="1:18">
      <c r="A45" s="57"/>
      <c r="B45" s="58"/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6"/>
    </row>
    <row r="46" spans="1:18">
      <c r="A46" s="57"/>
      <c r="B46" s="58"/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6"/>
    </row>
    <row r="47" spans="1:18">
      <c r="A47" s="57"/>
      <c r="B47" s="58"/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6"/>
    </row>
    <row r="48" spans="1:18">
      <c r="A48" s="57"/>
      <c r="B48" s="58"/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6"/>
    </row>
    <row r="49" spans="1:18">
      <c r="A49" s="57"/>
      <c r="B49" s="58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6"/>
    </row>
    <row r="50" spans="1:18">
      <c r="A50" s="57"/>
      <c r="B50" s="58"/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6"/>
    </row>
    <row r="51" spans="1:18">
      <c r="A51" s="57"/>
      <c r="B51" s="58"/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6"/>
    </row>
    <row r="52" spans="1:18">
      <c r="A52" s="57"/>
      <c r="B52" s="58"/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6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2"/>
  <sheetViews>
    <sheetView topLeftCell="CF1" workbookViewId="0">
      <selection activeCell="CM2" sqref="CM2"/>
    </sheetView>
  </sheetViews>
  <sheetFormatPr defaultRowHeight="14.4"/>
  <sheetData>
    <row r="1" spans="1:2">
      <c r="A1" t="s">
        <v>111</v>
      </c>
      <c r="B1" t="s">
        <v>75</v>
      </c>
    </row>
    <row r="2" spans="1:2">
      <c r="A2">
        <v>0.75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2"/>
  <sheetViews>
    <sheetView topLeftCell="CC1" workbookViewId="0">
      <selection activeCell="CR2" sqref="CR2"/>
    </sheetView>
  </sheetViews>
  <sheetFormatPr defaultRowHeight="14.4"/>
  <sheetData>
    <row r="1" spans="1:2">
      <c r="A1" t="s">
        <v>111</v>
      </c>
      <c r="B1" t="s">
        <v>75</v>
      </c>
    </row>
    <row r="2" spans="1:2">
      <c r="A2">
        <v>1</v>
      </c>
      <c r="B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Revision History</vt:lpstr>
      <vt:lpstr>Reference</vt:lpstr>
      <vt:lpstr>Thermodynamic Properties</vt:lpstr>
      <vt:lpstr>Help</vt:lpstr>
      <vt:lpstr>PFD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2022-06-09T21:55:31Z</dcterms:modified>
</cp:coreProperties>
</file>