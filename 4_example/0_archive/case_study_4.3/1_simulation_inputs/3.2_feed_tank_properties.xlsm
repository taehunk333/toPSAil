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3\1_simulation_inputs\"/>
    </mc:Choice>
  </mc:AlternateContent>
  <xr:revisionPtr revIDLastSave="0" documentId="13_ncr:1_{01059608-B59A-4BF2-9236-8A64C53BEF63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39" r:id="rId1"/>
    <sheet name="Reference" sheetId="2" state="hidden" r:id="rId2"/>
    <sheet name="Initialization" sheetId="40" r:id="rId3"/>
    <sheet name="Geometry" sheetId="43" r:id="rId4"/>
    <sheet name="Physical Properties" sheetId="31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J2" i="31" l="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<sst xmlns="http://schemas.openxmlformats.org/spreadsheetml/2006/main" count="247" uniqueCount="136">
  <si>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</si>
  <si>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</si>
  <si>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</si>
  <si>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</si>
  <si>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</si>
  <si>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</si>
  <si>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</si>
  <si>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</si>
  <si>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</si>
  <si>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</si>
  <si>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</si>
  <si>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</si>
  <si>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</si>
  <si>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</si>
  <si>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</si>
  <si>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</si>
  <si>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</si>
  <si>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</si>
  <si>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</si>
  <si>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</si>
  <si>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</si>
  <si>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</si>
  <si>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</si>
  <si>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</si>
  <si>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</si>
  <si>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</si>
  <si>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</si>
  <si>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</si>
  <si>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</si>
  <si>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</si>
  <si>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</si>
  <si>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</si>
  <si>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</si>
  <si>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</si>
  <si>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</si>
  <si>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</si>
  <si>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</si>
  <si>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</si>
  <si>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</si>
  <si>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</si>
  <si>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</si>
  <si>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</si>
  <si>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</si>
  <si>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</si>
  <si>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</si>
  <si>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</si>
  <si>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</si>
  <si>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</si>
  <si>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</si>
  <si>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</si>
  <si>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</si>
  <si>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</si>
  <si>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</si>
  <si>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</si>
  <si>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</si>
  <si>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</si>
  <si>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</si>
  <si>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</si>
  <si>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</si>
  <si>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</si>
  <si>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</si>
  <si>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</si>
  <si>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</si>
  <si>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</si>
  <si>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</si>
  <si>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</si>
  <si>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</si>
  <si>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</si>
  <si>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</si>
  <si>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</si>
  <si>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</si>
  <si>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</si>
  <si>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</si>
  <si>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</si>
  <si>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</si>
  <si>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</si>
  <si>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</si>
  <si>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</si>
  <si>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</si>
  <si>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</si>
  <si>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</si>
  <si>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</si>
  <si>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</si>
  <si>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</si>
  <si>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</si>
  <si>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</si>
  <si>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</si>
  <si>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presFeTa</t>
  </si>
  <si>
    <t>The initial pressure for the feed tank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</si>
  <si>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</si>
  <si>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</si>
  <si>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</si>
  <si>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</si>
  <si>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</si>
  <si>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</si>
  <si>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</si>
  <si>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</si>
  <si>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</si>
  <si>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</si>
  <si>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</si>
  <si>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</si>
  <si>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</si>
  <si>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</si>
  <si>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Feed tank initial temperature</t>
  </si>
  <si>
    <t>inConFeTa</t>
  </si>
  <si>
    <t>1 = feed gas at a feed pressure
2 = extract product gas at a feed pressure</t>
  </si>
  <si>
    <t>initCondFeTa</t>
  </si>
  <si>
    <t>initCondRaTa</t>
  </si>
  <si>
    <t>tempFeTa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</si>
  <si>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</si>
  <si>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</si>
  <si>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</si>
  <si>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</si>
  <si>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</si>
  <si>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</si>
  <si>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</si>
  <si>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</si>
  <si>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</si>
  <si>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</si>
  <si>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Assumptions:</t>
  </si>
  <si>
    <t>Feed Tank Information</t>
  </si>
  <si>
    <t>1. Feed tank pressure is maintained at a fixed pressure by the mass flow controller.</t>
  </si>
  <si>
    <t>radInFeTa</t>
  </si>
  <si>
    <t>radOutFeTa</t>
  </si>
  <si>
    <t>heightFeTa</t>
  </si>
  <si>
    <t>htTrCoInFeTa</t>
  </si>
  <si>
    <t>htTrCoOutFeTa</t>
  </si>
  <si>
    <t>waDensFeTa</t>
  </si>
  <si>
    <t>htCapFeTa</t>
  </si>
  <si>
    <t>Finalized the spreadsheet for the v1.0 release</t>
  </si>
  <si>
    <t>REV. NO.2 (9/14/2022)</t>
  </si>
  <si>
    <t>Initial development of the "3.2_feed_tank_properties.xlsm" sheet.</t>
  </si>
  <si>
    <t>the heat transfer coefficient from the feed tank to its wall</t>
  </si>
  <si>
    <t>the heat transfer coefficient from the feed tank wall to the ambient environment</t>
  </si>
  <si>
    <t>the wall density for the feed tank</t>
  </si>
  <si>
    <t>the heat capacity of the feed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</si>
</sst>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E4F27FA-9CCD-488C-9FFE-8189DF89B2B5}" name="Variable" dataDxfId="55"/>
    <tableColumn id="4" xr3:uid="{4D38B92D-B1E9-4DDE-B914-6A4E9DB63C9E}" name="Value" dataDxfId="54"/>
    <tableColumn id="5" xr3:uid="{DE2ACEA5-F459-4C5B-ADEC-6214F75935FA}" name="Unit" dataDxfId="53"/>
    <tableColumn id="6" xr3:uid="{BBE9846A-4956-4FAF-848B-0B1F56311296}" name="Comparisons" dataDxfId="52"/>
    <tableColumn id="7" xr3:uid="{7604F104-935C-4D6C-98BF-97589769DD42}" name="Variable Type" dataDxfId="51"/>
    <tableColumn id="8" xr3:uid="{7D3892CD-8765-4699-977F-B3AA8A9AB120}" name="Dependency" dataDxfId="50"/>
    <tableColumn id="12" xr3:uid="{161D2FD1-7A78-4D8E-8024-885B20FF313F}" name="Test 1" dataDxfId="49"/>
    <tableColumn id="10" xr3:uid="{1AA44E52-6629-487F-B43F-5CEC7D36BB2A}" name="Test 2" dataDxfId="48"/>
    <tableColumn id="2" xr3:uid="{6AF5B301-E925-40CD-B0FD-ED73E5B71C10}" name="Test 3" dataDxfId="47"/>
    <tableColumn id="9" xr3:uid="{29E572B6-C772-4761-B1A5-7C1BBC5A9A8E}" name="Description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40" dataDxfId="38" headerRowBorderDxfId="39" tableBorderDxfId="37" totalsRowBorderDxfId="36">
  <autoFilter ref="A9:J13" xr:uid="{B089C5C3-2CCE-4800-96CA-2131BB6E3E4F}"/>
  <tableColumns count="10">
    <tableColumn id="1" xr3:uid="{33A6A58D-364D-4A35-922C-DE212771E5A3}" name="Variable" dataDxfId="35"/>
    <tableColumn id="4" xr3:uid="{941C2A7D-BF3F-418E-B42D-DD80A4DE2A81}" name="Value" dataDxfId="34"/>
    <tableColumn id="5" xr3:uid="{C4E86D48-03E8-46FA-B8CA-6F5D6C6A2D12}" name="Unit" dataDxfId="33"/>
    <tableColumn id="6" xr3:uid="{665361F6-20BF-415D-BBF1-F45B832A29DE}" name="Comparisons" dataDxfId="32"/>
    <tableColumn id="7" xr3:uid="{F7A189BB-30E4-471C-9393-FF44966433C9}" name="Variable Type" dataDxfId="31"/>
    <tableColumn id="8" xr3:uid="{536CEEB4-5D6D-4FC9-B347-8D4F6CE10C67}" name="Dependency" dataDxfId="30"/>
    <tableColumn id="12" xr3:uid="{41F5DBE5-C5A3-4D63-A4BF-9774F11F14D3}" name="Test 1" dataDxfId="29"/>
    <tableColumn id="10" xr3:uid="{75ACAF5C-BDFE-45DE-AD7B-8EA0171A905D}" name="Test 2" dataDxfId="28"/>
    <tableColumn id="2" xr3:uid="{E0C16DCE-CCB9-4239-B5AF-7F90FE1422EF}" name="Test 3" dataDxfId="27"/>
    <tableColumn id="9" xr3:uid="{11A90378-9784-4E77-9A9A-BDE1BD80CAC4}" name="Description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14" dataDxfId="12" headerRowBorderDxfId="13" tableBorderDxfId="11" totalsRowBorderDxfId="10">
  <autoFilter ref="A9:J14" xr:uid="{B089C5C3-2CCE-4800-96CA-2131BB6E3E4F}"/>
  <tableColumns count="10">
    <tableColumn id="1" xr3:uid="{897C7A45-3F96-4FAD-9D88-64BEDA59EE04}" name="Variable" dataDxfId="9"/>
    <tableColumn id="4" xr3:uid="{AC44F3C7-74B4-4404-BA30-07059568F4CD}" name="Value" dataDxfId="8"/>
    <tableColumn id="5" xr3:uid="{6083DF57-24E4-4D4A-B84A-AB4CE9566C0A}" name="Unit" dataDxfId="7"/>
    <tableColumn id="6" xr3:uid="{7B5B4F38-11BC-48C2-B29A-22FAFA39A76A}" name="Comparisons" dataDxfId="6"/>
    <tableColumn id="7" xr3:uid="{687831A6-7122-45C8-9279-6A017FA30571}" name="Variable Type" dataDxfId="5"/>
    <tableColumn id="8" xr3:uid="{F0D98687-63CA-49F2-A0F5-F43443FEED82}" name="Dependency" dataDxfId="4"/>
    <tableColumn id="12" xr3:uid="{57EFF7D5-281B-4073-9550-73D369BA3603}" name="Test 1" dataDxfId="3"/>
    <tableColumn id="10" xr3:uid="{886EC4A5-54AE-4612-B5FF-8B6E7B32A853}" name="Test 2" dataDxfId="2"/>
    <tableColumn id="2" xr3:uid="{C5B5DD0C-C82D-4FD9-A165-974B4B54478C}" name="Test 3" dataDxfId="1"/>
    <tableColumn id="9" xr3:uid="{E8B12666-0292-4BAB-9166-E185CB24DBF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11" sqref="E11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130</v>
      </c>
      <c r="E4" s="43"/>
      <c r="F4" s="44"/>
      <c r="G4" s="45"/>
      <c r="H4" s="45"/>
      <c r="I4" s="45"/>
      <c r="J4" s="36" t="s">
        <v>86</v>
      </c>
    </row>
    <row r="5" spans="4:10" ht="36">
      <c r="D5" s="56" t="s">
        <v>39</v>
      </c>
      <c r="E5" s="56"/>
      <c r="F5" s="56"/>
      <c r="G5" s="56"/>
      <c r="H5" s="56"/>
      <c r="I5" s="56"/>
      <c r="J5" s="56"/>
    </row>
    <row r="6" spans="4:10" ht="18">
      <c r="D6" s="46" t="s">
        <v>33</v>
      </c>
      <c r="E6" s="46" t="s">
        <v>118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131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129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I24" sqref="I24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92</v>
      </c>
      <c r="Q1" t="s">
        <v>99</v>
      </c>
      <c r="R1" t="s">
        <v>100</v>
      </c>
      <c r="S1" t="s">
        <v>101</v>
      </c>
      <c r="T1" t="s">
        <v>109</v>
      </c>
      <c r="U1" t="s">
        <v>110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111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112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113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114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115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116</v>
      </c>
    </row>
    <row r="9" spans="1:21">
      <c r="B9" t="s">
        <v>93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117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106</v>
      </c>
    </row>
    <row r="12" spans="1:21">
      <c r="B12" t="s">
        <v>94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107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4" t="s">
        <v>104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105</v>
      </c>
    </row>
    <row r="11" spans="1:10" ht="14.4">
      <c r="A11" s="38" t="s">
        <v>108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103</v>
      </c>
    </row>
    <row r="12" spans="1:10" ht="14.4">
      <c r="A12" s="4" t="s">
        <v>87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88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+1jQlTdMn+ZpUnttDwL84VoLzilRqaPAbiUYBJdfW+gIBB5YL91H/I4VeD7Pd9oSjDMKBmw4ZK+ofy7UO9uATw==" saltValue="lNjSp5rkYuOD0GOddA9d3w==" spinCount="100000" sheet="1" objects="1" scenarios="1" selectLockedCells="1"/>
  <mergeCells count="2">
    <mergeCell ref="A3:J3"/>
    <mergeCell ref="J4:J8"/>
  </mergeCells>
  <conditionalFormatting sqref="B13">
    <cfRule type="expression" dxfId="74" priority="37">
      <formula>IF(AND($B13&lt;&gt;"",$I13=0),1,0)</formula>
    </cfRule>
    <cfRule type="expression" dxfId="73" priority="38">
      <formula>IF($B13&lt;&gt;"",1,0)</formula>
    </cfRule>
    <cfRule type="expression" dxfId="72" priority="39">
      <formula>$I13=0</formula>
    </cfRule>
  </conditionalFormatting>
  <conditionalFormatting sqref="B10">
    <cfRule type="expression" dxfId="71" priority="28">
      <formula>IF(AND($B10&lt;&gt;"",$I10=0),1,0)</formula>
    </cfRule>
    <cfRule type="expression" dxfId="70" priority="29">
      <formula>IF($B10&lt;&gt;"",1,0)</formula>
    </cfRule>
    <cfRule type="expression" dxfId="69" priority="30">
      <formula>$I10=0</formula>
    </cfRule>
  </conditionalFormatting>
  <conditionalFormatting sqref="B11">
    <cfRule type="expression" dxfId="68" priority="4">
      <formula>IF(AND($B11&lt;&gt;"",$I11=0),1,0)</formula>
    </cfRule>
    <cfRule type="expression" dxfId="67" priority="5">
      <formula>IF($B11&lt;&gt;"",1,0)</formula>
    </cfRule>
    <cfRule type="expression" dxfId="66" priority="6">
      <formula>$I11=0</formula>
    </cfRule>
  </conditionalFormatting>
  <conditionalFormatting sqref="B12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IF(COUNTA($B$10:$B$13)&lt;&gt;COUNTIF($I$10:$I$13,1),1,0)</formula>
    </cfRule>
    <cfRule type="expression" dxfId="61" priority="2244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Reference!$J$12:$J$14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85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122</v>
      </c>
      <c r="B10" s="32">
        <v>20</v>
      </c>
      <c r="C10" s="35" t="s">
        <v>69</v>
      </c>
      <c r="D10" s="1" t="s">
        <v>94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96</v>
      </c>
    </row>
    <row r="11" spans="1:10" ht="14.4">
      <c r="A11" s="38" t="s">
        <v>123</v>
      </c>
      <c r="B11" s="32">
        <v>20.5</v>
      </c>
      <c r="C11" s="35" t="s">
        <v>69</v>
      </c>
      <c r="D11" s="1" t="s">
        <v>94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97</v>
      </c>
    </row>
    <row r="12" spans="1:10" ht="14.4">
      <c r="A12" s="38" t="s">
        <v>124</v>
      </c>
      <c r="B12" s="32">
        <v>33.800769771555913</v>
      </c>
      <c r="C12" s="35" t="s">
        <v>69</v>
      </c>
      <c r="D12" s="1" t="s">
        <v>94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98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LRQPmgUcCiYd9+mZgM32Qb2abNIXf/8QvrH69nDs7dFMbMYttsxhAn/OmVuSdSIr08AQ8BslKqJbrhfg9YqIA==" saltValue="J1y8KdTfuz69uqJg5punig==" spinCount="100000" sheet="1" objects="1" scenarios="1" selectLockedCells="1"/>
  <mergeCells count="2">
    <mergeCell ref="A3:J3"/>
    <mergeCell ref="J4:J8"/>
  </mergeCells>
  <conditionalFormatting sqref="B10:B13">
    <cfRule type="expression" dxfId="45" priority="28">
      <formula>IF(AND($B10&lt;&gt;"",$I10=0),1,0)</formula>
    </cfRule>
    <cfRule type="expression" dxfId="44" priority="29">
      <formula>IF($B10&lt;&gt;"",1,0)</formula>
    </cfRule>
    <cfRule type="expression" dxfId="43" priority="30">
      <formula>$I10=0</formula>
    </cfRule>
  </conditionalFormatting>
  <conditionalFormatting sqref="J4">
    <cfRule type="expression" dxfId="42" priority="2245">
      <formula>IF(COUNTA($B$10:$B$13)&lt;&gt;COUNTIF($I$10:$I$13,1),1,0)</formula>
    </cfRule>
    <cfRule type="expression" dxfId="41" priority="224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7" t="s">
        <v>32</v>
      </c>
      <c r="B3" s="58"/>
      <c r="C3" s="58"/>
      <c r="D3" s="58"/>
      <c r="E3" s="58"/>
      <c r="F3" s="58"/>
      <c r="G3" s="58"/>
      <c r="H3" s="58"/>
      <c r="I3" s="58"/>
      <c r="J3" s="59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0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1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1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1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2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125</v>
      </c>
      <c r="B10" s="32">
        <v>38.51</v>
      </c>
      <c r="C10" s="35" t="s">
        <v>95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5">
        <f>[1]Initialization!$B$14</f>
        <v>1</v>
      </c>
      <c r="J10" s="5" t="s">
        <v>132</v>
      </c>
    </row>
    <row r="11" spans="1:10" ht="28.8">
      <c r="A11" s="38" t="s">
        <v>126</v>
      </c>
      <c r="B11" s="32">
        <v>1E-3</v>
      </c>
      <c r="C11" s="35" t="s">
        <v>95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5">
        <f>[1]Initialization!$B$14</f>
        <v>1</v>
      </c>
      <c r="J11" s="5" t="s">
        <v>133</v>
      </c>
    </row>
    <row r="12" spans="1:10" ht="14.4">
      <c r="A12" s="38" t="s">
        <v>127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134</v>
      </c>
    </row>
    <row r="13" spans="1:10" ht="14.4">
      <c r="A13" s="38" t="s">
        <v>128</v>
      </c>
      <c r="B13" s="32">
        <v>502.32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5">
        <f>[1]Initialization!$B$14</f>
        <v>1</v>
      </c>
      <c r="J13" s="5" t="s">
        <v>135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YfWptc3sAGpno5M2rK9GlLn8iFU3quw//hRUjGXJFkph64kVZubV18hc/MG+r0FoIEqBpkBu2ykQUHE38NSqTg==" saltValue="Jcxx/9oodjzkecyiH+eYMw==" spinCount="100000" sheet="1" objects="1" scenarios="1" selectLockedCells="1"/>
  <mergeCells count="2">
    <mergeCell ref="A3:J3"/>
    <mergeCell ref="J4:J8"/>
  </mergeCells>
  <conditionalFormatting sqref="B14">
    <cfRule type="expression" dxfId="25" priority="88">
      <formula>IF(AND($B14&lt;&gt;"",$I14=0),1,0)</formula>
    </cfRule>
    <cfRule type="expression" dxfId="24" priority="89">
      <formula>IF($B14&lt;&gt;"",1,0)</formula>
    </cfRule>
    <cfRule type="expression" dxfId="23" priority="90">
      <formula>$I14=0</formula>
    </cfRule>
  </conditionalFormatting>
  <conditionalFormatting sqref="B12:B13">
    <cfRule type="expression" dxfId="22" priority="43">
      <formula>IF(AND($B12&lt;&gt;"",$I12=0),1,0)</formula>
    </cfRule>
    <cfRule type="expression" dxfId="21" priority="44">
      <formula>IF($B12&lt;&gt;"",1,0)</formula>
    </cfRule>
    <cfRule type="expression" dxfId="20" priority="45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47">
      <formula>IF(COUNTA($B$10:$B$14)&lt;&gt;COUNTIF($I$10:$I$14,1),1,0)</formula>
    </cfRule>
    <cfRule type="expression" dxfId="15" priority="2248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0E25-63A6-463A-8715-402E7B2CC220}">
  <sheetPr codeName="Sheet20">
    <tabColor rgb="FF00B050"/>
  </sheetPr>
  <dimension ref="A1:Q6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7" sqref="A7:XFD1048576"/>
    </sheetView>
  </sheetViews>
  <sheetFormatPr defaultColWidth="0" defaultRowHeight="0" customHeight="1" zeroHeight="1"/>
  <cols>
    <col min="1" max="2" width="8.77734375" style="51" customWidth="1"/>
    <col min="3" max="3" width="13.109375" style="51" customWidth="1"/>
    <col min="4" max="4" width="13.44140625" style="51" customWidth="1"/>
    <col min="5" max="6" width="8.77734375" style="51" customWidth="1"/>
    <col min="7" max="7" width="14.77734375" style="51" customWidth="1"/>
    <col min="8" max="8" width="11.6640625" style="51" customWidth="1"/>
    <col min="9" max="9" width="10.33203125" style="51" customWidth="1"/>
    <col min="10" max="10" width="5.6640625" style="51" customWidth="1"/>
    <col min="11" max="11" width="10.44140625" style="51" customWidth="1"/>
    <col min="12" max="17" width="8.77734375" style="51" customWidth="1"/>
    <col min="18" max="16384" width="8.77734375" style="51" hidden="1"/>
  </cols>
  <sheetData>
    <row r="1" spans="1:17" ht="14.4">
      <c r="A1" s="25" t="s">
        <v>130</v>
      </c>
      <c r="B1" s="26"/>
      <c r="C1" s="26"/>
      <c r="D1" s="26"/>
      <c r="E1" s="26"/>
      <c r="F1" s="26"/>
      <c r="G1" s="26"/>
      <c r="H1" s="26"/>
      <c r="I1" s="27"/>
      <c r="J1" s="27"/>
      <c r="K1" s="27"/>
      <c r="L1" s="27"/>
      <c r="M1" s="27"/>
      <c r="N1" s="27"/>
      <c r="O1" s="27"/>
      <c r="P1" s="27"/>
      <c r="Q1" s="27" t="s">
        <v>86</v>
      </c>
    </row>
    <row r="2" spans="1:17" ht="14.4">
      <c r="A2" s="63" t="s">
        <v>120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2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1:17" ht="14.4">
      <c r="A4" s="52"/>
      <c r="B4" s="53" t="s">
        <v>119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1:17" ht="14.4">
      <c r="A5" s="52"/>
      <c r="B5" s="54"/>
      <c r="C5" s="53" t="s">
        <v>121</v>
      </c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1:17" ht="14.4">
      <c r="A6" s="52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91</v>
      </c>
    </row>
    <row r="2" spans="1:1">
      <c r="A2" t="s">
        <v>89</v>
      </c>
    </row>
    <row r="3" spans="1:1">
      <c r="A3" t="s">
        <v>90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workbookViewId="0">
      <selection activeCell="CM2" sqref="CM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I2">
        <v>38.51</v>
      </c>
      <c r="J2">
        <v>1E-3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defaultColWidth="8.77734375" defaultRowHeight="14.4"/>
  <sheetData>
    <row r="1" spans="1:13">
      <c r="A1" t="s">
        <v>104</v>
      </c>
      <c r="B1" t="s">
        <v>108</v>
      </c>
      <c r="C1" t="s">
        <v>87</v>
      </c>
      <c r="D1" t="s">
        <v>79</v>
      </c>
      <c r="E1" t="s">
        <v>122</v>
      </c>
      <c r="F1" t="s">
        <v>123</v>
      </c>
      <c r="G1" t="s">
        <v>124</v>
      </c>
      <c r="H1" t="s">
        <v>79</v>
      </c>
      <c r="I1" t="s">
        <v>125</v>
      </c>
      <c r="J1" t="s">
        <v>126</v>
      </c>
      <c r="K1" t="s">
        <v>127</v>
      </c>
      <c r="L1" t="s">
        <v>128</v>
      </c>
      <c r="M1" t="s">
        <v>79</v>
      </c>
    </row>
    <row r="2" spans="1:13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Geometry</vt:lpstr>
      <vt:lpstr>Physical Properties</vt:lpstr>
      <vt:lpstr>Help</vt:lpstr>
      <vt:lpstr>maintenance check list</vt:lpstr>
      <vt:lpstr>Data(Transposed)</vt:lpstr>
      <vt:lpstr>Data(Test)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2022-10-23T22:29:33Z</dcterms:modified>
</cp:coreProperties>
</file>