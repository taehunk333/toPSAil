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\1_simulation_inputs\"/>
    </mc:Choice>
  </mc:AlternateContent>
  <xr:revisionPtr revIDLastSave="0" documentId="13_ncr:1_{60646613-44C2-431C-B891-BA4AA1B1EA8F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2" l="1"/>
  <c r="I10" i="42"/>
  <c r="I9" i="42"/>
  <c r="B10" i="47" l="1"/>
  <c r="B12" i="43" l="1"/>
  <c r="B9" i="43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<sst xmlns="http://schemas.openxmlformats.org/spreadsheetml/2006/main" count="332" uniqueCount="152">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</sst>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130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120</v>
      </c>
      <c r="U1" t="s">
        <v>121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122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123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124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125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126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127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128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115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116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2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151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QUPW7ebipqu5SPGZFPMv/A5THF5oLkW/VvET+nikQpZKwyp6Er0PaCR80k/HvIF6yhPCv1M0yx2mVQwrR3aIHA==" saltValue="hq3BYDZJjK/MPrZjPTK81A==" spinCount="100000" sheet="1" objects="1" scenarios="1" selectLockedCells="1"/>
  <mergeCells count="2">
    <mergeCell ref="A2:J2"/>
    <mergeCell ref="J3:J7"/>
  </mergeCells>
  <conditionalFormatting sqref="B9:B10">
    <cfRule type="expression" dxfId="102" priority="4">
      <formula>IF(AND($B9&lt;&gt;"",$I9=0),1,0)</formula>
    </cfRule>
    <cfRule type="expression" dxfId="101" priority="5">
      <formula>IF($B9&lt;&gt;"",1,0)</formula>
    </cfRule>
    <cfRule type="expression" dxfId="100" priority="6">
      <formula>$I9=0</formula>
    </cfRule>
  </conditionalFormatting>
  <conditionalFormatting sqref="J3">
    <cfRule type="expression" dxfId="99" priority="2453">
      <formula>IF(COUNTA($B$9:$B$10)&lt;&gt;COUNTIF($I$9:$I$10,1),1,0)</formula>
    </cfRule>
    <cfRule type="expression" dxfId="98" priority="2454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129</v>
      </c>
      <c r="B9" s="31">
        <v>101.6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1.04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1.1399999999999999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0.6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f>724*1.016*PI()*0.0208^2/4</f>
        <v>0.24994751622028472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6" sqref="B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142</v>
      </c>
      <c r="B9" s="31">
        <f>358000/101325</f>
        <v>3.5331852948433258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3.2">
      <c r="A10" s="48" t="s">
        <v>144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141</v>
      </c>
    </row>
    <row r="11" spans="1:10" ht="43.2">
      <c r="A11" s="4" t="s">
        <v>147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138</v>
      </c>
    </row>
    <row r="12" spans="1:10" ht="72">
      <c r="A12" s="48" t="s">
        <v>143</v>
      </c>
      <c r="B12" s="31">
        <f>110000/101325</f>
        <v>1.0856155933876142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3.2">
      <c r="A13" s="48" t="s">
        <v>145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140</v>
      </c>
    </row>
    <row r="14" spans="1:10" ht="43.2">
      <c r="A14" s="4" t="s">
        <v>146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139</v>
      </c>
    </row>
    <row r="15" spans="1:10" ht="57.6">
      <c r="A15" s="4" t="s">
        <v>117</v>
      </c>
      <c r="B15" s="31">
        <v>300.14999999999998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p3UQ90qr0iWeN7hUXhnqnlQraag6Yts2Ps4p1m7DHXO12q32q7cBOLubhKZGY9xj2utc/+PW9EQjEuxIvVGQig==" saltValue="+zLwPksbkx8MYsoDi+lIT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113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28.8">
      <c r="A10" s="48" t="s">
        <v>114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4.4">
      <c r="A11" s="48" t="s">
        <v>118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119</v>
      </c>
      <c r="B12" s="31"/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109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TlvDkuJnn3Gbex+ggFoF26ZOYBGXWpEJ3RS64mj47NJDtHfDeaT4ATkVoCR+5V9URs+5UkXt25yZvijpMzpkdQ==" saltValue="/bcrK1XcjyH682l4+xlH0A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132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133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134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129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142</v>
      </c>
      <c r="K1" t="s">
        <v>144</v>
      </c>
      <c r="L1" t="s">
        <v>147</v>
      </c>
      <c r="M1" t="s">
        <v>143</v>
      </c>
      <c r="N1" t="s">
        <v>145</v>
      </c>
      <c r="O1" t="s">
        <v>146</v>
      </c>
      <c r="P1" t="s">
        <v>117</v>
      </c>
      <c r="Q1" t="s">
        <v>86</v>
      </c>
      <c r="R1" t="s">
        <v>113</v>
      </c>
      <c r="S1" t="s">
        <v>114</v>
      </c>
      <c r="T1" t="s">
        <v>118</v>
      </c>
      <c r="U1" t="s">
        <v>119</v>
      </c>
      <c r="V1" t="s">
        <v>86</v>
      </c>
    </row>
    <row r="2" spans="1:22">
      <c r="A2">
        <v>2</v>
      </c>
      <c r="C2">
        <v>101.6</v>
      </c>
      <c r="D2">
        <v>1.04</v>
      </c>
      <c r="E2">
        <v>1.1399999999999999</v>
      </c>
      <c r="G2">
        <v>0.6</v>
      </c>
      <c r="H2">
        <v>0.24994751622028472</v>
      </c>
      <c r="J2">
        <v>3.5331852948433258</v>
      </c>
      <c r="M2">
        <v>1.0856155933876142</v>
      </c>
      <c r="P2">
        <v>300.14999999999998</v>
      </c>
      <c r="T2">
        <v>7.8300000000000002E-3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129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142</v>
      </c>
      <c r="K1" t="s">
        <v>144</v>
      </c>
      <c r="L1" t="s">
        <v>147</v>
      </c>
      <c r="M1" t="s">
        <v>143</v>
      </c>
      <c r="N1" t="s">
        <v>145</v>
      </c>
      <c r="O1" t="s">
        <v>146</v>
      </c>
      <c r="P1" t="s">
        <v>117</v>
      </c>
      <c r="Q1" t="s">
        <v>86</v>
      </c>
      <c r="R1" t="s">
        <v>113</v>
      </c>
      <c r="S1" t="s">
        <v>114</v>
      </c>
      <c r="T1" t="s">
        <v>118</v>
      </c>
      <c r="U1" t="s">
        <v>119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1</v>
      </c>
      <c r="N2">
        <v>0</v>
      </c>
      <c r="O2">
        <v>0</v>
      </c>
      <c r="P2">
        <v>1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2022-10-21T15:54:22Z</dcterms:modified>
</cp:coreProperties>
</file>