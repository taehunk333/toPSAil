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\1_simulation_inputs\"/>
    </mc:Choice>
  </mc:AlternateContent>
  <xr:revisionPtr revIDLastSave="0" documentId="13_ncr:1_{AD3A4682-9CA2-4D69-9C1B-E214C73CEE71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3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Properties'!$A$9:$J$9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1" i="44" l="1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1" i="43" l="1"/>
  <c r="H10" i="43"/>
  <c r="J4" i="43"/>
  <c r="J2" i="43"/>
  <c r="A2" i="43"/>
  <c r="H13" i="40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tc={929E74D4-E828-45A7-B400-EB49F90082D7}</author>
    <author>tc={5CF684AC-E434-4C54-AB68-3C5C687E62EA}</author>
    <author>tc={17D4D9AE-2BE9-4366-9717-B638233BD7B8}</author>
  </authors>
  <commentList>
    <comment ref="G9" authorId="0" shapeId="0" xr:uid="{929E74D4-E828-45A7-B400-EB49F90082D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CF684AC-E434-4C54-AB68-3C5C687E62EA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17D4D9AE-2BE9-4366-9717-B638233BD7B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<sst xmlns="http://schemas.openxmlformats.org/spreadsheetml/2006/main" count="285" uniqueCount="140">
  <si>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</si>
  <si>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</si>
  <si>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</si>
  <si>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</si>
  <si>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</si>
  <si>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</si>
  <si>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</si>
  <si>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</si>
  <si>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</si>
  <si>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</si>
  <si>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</si>
  <si>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</si>
  <si>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</si>
  <si>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</si>
  <si>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</si>
  <si>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</si>
  <si>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</si>
  <si>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</si>
  <si>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</si>
  <si>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</si>
  <si>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</si>
  <si>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</si>
  <si>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</si>
  <si>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</si>
  <si>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</si>
  <si>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</si>
  <si>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</si>
  <si>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</si>
  <si>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</si>
  <si>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</si>
  <si>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</si>
  <si>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</si>
  <si>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</si>
  <si>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</si>
  <si>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</si>
  <si>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</si>
  <si>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</si>
  <si>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</si>
  <si>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</si>
  <si>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</si>
  <si>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</si>
  <si>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</si>
  <si>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</si>
  <si>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</si>
  <si>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</si>
  <si>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</si>
  <si>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</si>
  <si>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</si>
  <si>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</si>
  <si>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</si>
  <si>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</si>
  <si>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</si>
  <si>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</si>
  <si>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</si>
  <si>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</si>
  <si>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</si>
  <si>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</si>
  <si>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</si>
  <si>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</si>
  <si>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</si>
  <si>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</si>
  <si>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</si>
  <si>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</si>
  <si>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</si>
  <si>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</si>
  <si>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</si>
  <si>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</si>
  <si>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</si>
  <si>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</si>
  <si>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</si>
  <si>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</si>
  <si>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</si>
  <si>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</si>
  <si>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</si>
  <si>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</si>
  <si>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</si>
  <si>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</si>
  <si>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</si>
  <si>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</si>
  <si>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</si>
  <si>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</si>
  <si>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</si>
  <si>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</si>
  <si>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</si>
  <si>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</si>
  <si>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</si>
  <si>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</si>
  <si>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</si>
  <si>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</si>
  <si>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</si>
  <si>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</si>
  <si>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</si>
  <si>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</si>
  <si>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</si>
  <si>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</si>
  <si>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</si>
  <si>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</si>
  <si>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the isosteric heat of component i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</si>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</sst>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4" fillId="6" borderId="6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5" name="Button 1" hidden="1">
                <a:extLst>
                  <a:ext uri="{63B3BB69-23CF-44E3-9099-C40C66FF867C}">
                    <a14:compatExt spid="_x0000_s93185"/>
                  </a:ext>
                  <a:ext uri="{FF2B5EF4-FFF2-40B4-BE49-F238E27FC236}">
                    <a16:creationId xmlns:a16="http://schemas.microsoft.com/office/drawing/2014/main" id="{00000000-0008-0000-0300-0000016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6" name="Button 2" hidden="1">
                <a:extLst>
                  <a:ext uri="{63B3BB69-23CF-44E3-9099-C40C66FF867C}">
                    <a14:compatExt spid="_x0000_s93186"/>
                  </a:ext>
                  <a:ext uri="{FF2B5EF4-FFF2-40B4-BE49-F238E27FC236}">
                    <a16:creationId xmlns:a16="http://schemas.microsoft.com/office/drawing/2014/main" id="{00000000-0008-0000-0300-0000026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7" name="Button 3" hidden="1">
                <a:extLst>
                  <a:ext uri="{63B3BB69-23CF-44E3-9099-C40C66FF867C}">
                    <a14:compatExt spid="_x0000_s93187"/>
                  </a:ext>
                  <a:ext uri="{FF2B5EF4-FFF2-40B4-BE49-F238E27FC236}">
                    <a16:creationId xmlns:a16="http://schemas.microsoft.com/office/drawing/2014/main" id="{00000000-0008-0000-0300-0000036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7" dataDxfId="85" headerRowBorderDxfId="86" tableBorderDxfId="84" totalsRowBorderDxfId="83">
  <autoFilter ref="A9:J14" xr:uid="{B089C5C3-2CCE-4800-96CA-2131BB6E3E4F}"/>
  <tableColumns count="10">
    <tableColumn id="1" xr3:uid="{F0083DBC-BA3F-499A-AB41-58DC14E7EC9B}" name="Variable" dataDxfId="82"/>
    <tableColumn id="4" xr3:uid="{2D9C78CB-0A98-4E06-A17A-328F6643A2AB}" name="Value" dataDxfId="81"/>
    <tableColumn id="5" xr3:uid="{2D40A785-0BF0-4D20-A6A3-606AF3EAEA1D}" name="Unit" dataDxfId="80"/>
    <tableColumn id="6" xr3:uid="{47E47CE1-84EE-4BBF-AF16-7CD09E32C8D5}" name="Comparisons" dataDxfId="79"/>
    <tableColumn id="7" xr3:uid="{1E01755C-F10B-47AF-87D2-261FE9E5C304}" name="Variable Type" dataDxfId="78"/>
    <tableColumn id="8" xr3:uid="{A1508BC9-F251-4C78-AFE1-9780568F4570}" name="Dependency" dataDxfId="77"/>
    <tableColumn id="12" xr3:uid="{483B9187-B663-438A-A6C2-F92DD2C5981E}" name="Test 1" dataDxfId="76"/>
    <tableColumn id="10" xr3:uid="{B0989B53-E4FA-42D2-AC40-B81EF1952308}" name="Test 2" dataDxfId="75"/>
    <tableColumn id="2" xr3:uid="{3B51E6F8-78E0-4FDA-AE7D-0D8F50BB7A78}" name="Test 3" dataDxfId="74"/>
    <tableColumn id="9" xr3:uid="{87AE414E-FFE1-4067-A57C-04659EEE8430}" name="Description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2F7B40-1AA3-41AC-A704-E9A2EA4B6DA9}" name="Table11082" displayName="Table11082" ref="A9:J12" totalsRowShown="0" headerRowDxfId="61" dataDxfId="59" headerRowBorderDxfId="60" tableBorderDxfId="58" totalsRowBorderDxfId="57">
  <autoFilter ref="A9:J12" xr:uid="{B089C5C3-2CCE-4800-96CA-2131BB6E3E4F}"/>
  <tableColumns count="10">
    <tableColumn id="1" xr3:uid="{F761A014-5898-43B6-8962-5ADEAF531B15}" name="Variable" dataDxfId="56"/>
    <tableColumn id="4" xr3:uid="{092E9EC3-F229-4DDA-82A4-FEF727B01BBA}" name="Value" dataDxfId="55"/>
    <tableColumn id="5" xr3:uid="{DAA389FF-E9F8-46C7-B424-26EA71476045}" name="Unit" dataDxfId="54"/>
    <tableColumn id="6" xr3:uid="{B5C6175F-B0F2-4572-95FE-CC7E7F8A5C46}" name="Comparisons" dataDxfId="53"/>
    <tableColumn id="7" xr3:uid="{81EAB08F-9544-484F-A747-C71204EC7548}" name="Variable Type" dataDxfId="52"/>
    <tableColumn id="8" xr3:uid="{C85D126C-9B35-4517-868D-FC7A15E9F81E}" name="Dependency" dataDxfId="51"/>
    <tableColumn id="12" xr3:uid="{2D920673-EA96-443D-A8D6-73786BA4CE54}" name="Test 1" dataDxfId="50"/>
    <tableColumn id="10" xr3:uid="{4FEEF536-DBF7-444E-BD22-911521C38061}" name="Test 2" dataDxfId="49"/>
    <tableColumn id="2" xr3:uid="{866299F8-0E23-434D-9155-39F8FD7568A2}" name="Test 3" dataDxfId="48"/>
    <tableColumn id="9" xr3:uid="{52932718-A310-4ACC-9391-027634297042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929E74D4-E828-45A7-B400-EB49F90082D7}">
    <text>place 1 if we want to keep the row when re-initializing. Otherwise, leave it as a blank.</text>
  </threadedComment>
  <threadedComment ref="H9" dT="2020-11-26T18:35:03.27" personId="{7F98AE94-13FB-49E1-9262-339C11E0EDB4}" id="{5CF684AC-E434-4C54-AB68-3C5C687E62EA}">
    <text>supply a value greater than 1 if you want to duplicate the row</text>
  </threadedComment>
  <threadedComment ref="I9" dT="2020-11-28T01:53:47.29" personId="{7F98AE94-13FB-49E1-9262-339C11E0EDB4}" id="{17D4D9AE-2BE9-4366-9717-B638233BD7B8}">
    <text>1 means we need to have the variable specified; 0 means we need not have the variable specified</text>
  </threadedComment>
  <threadedComment ref="I9" dT="2020-11-28T01:56:42.32" personId="{7F98AE94-13FB-49E1-9262-339C11E0EDB4}" id="{84A66325-EC56-410D-9F90-7B5EAE1DD0CE}" parentId="{17D4D9AE-2BE9-4366-9717-B638233BD7B8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135</v>
      </c>
      <c r="E4" s="50"/>
      <c r="F4" s="51"/>
      <c r="G4" s="52"/>
      <c r="H4" s="52"/>
      <c r="I4" s="52"/>
      <c r="J4" s="36" t="s">
        <v>85</v>
      </c>
    </row>
    <row r="5" spans="4:10" ht="36">
      <c r="D5" s="61" t="s">
        <v>36</v>
      </c>
      <c r="E5" s="61"/>
      <c r="F5" s="61"/>
      <c r="G5" s="61"/>
      <c r="H5" s="61"/>
      <c r="I5" s="61"/>
      <c r="J5" s="61"/>
    </row>
    <row r="6" spans="4:10" ht="18">
      <c r="D6" s="46" t="s">
        <v>30</v>
      </c>
      <c r="E6" s="46" t="s">
        <v>129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134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132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102</v>
      </c>
      <c r="S1" t="s">
        <v>103</v>
      </c>
      <c r="T1" t="s">
        <v>116</v>
      </c>
      <c r="U1" t="s">
        <v>117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118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119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120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121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122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123</v>
      </c>
    </row>
    <row r="9" spans="1:21">
      <c r="B9" t="s">
        <v>90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124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114</v>
      </c>
    </row>
    <row r="12" spans="1:21">
      <c r="B12" t="s">
        <v>91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115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2" t="s">
        <v>29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4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4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4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138</v>
      </c>
    </row>
    <row r="11" spans="1:10" ht="57.6">
      <c r="A11" s="58" t="s">
        <v>137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139</v>
      </c>
    </row>
    <row r="12" spans="1:10" ht="43.2">
      <c r="A12" s="4" t="s">
        <v>62</v>
      </c>
      <c r="B12" s="30" t="s">
        <v>104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133</v>
      </c>
    </row>
    <row r="13" spans="1:10" ht="43.2">
      <c r="A13" s="4" t="s">
        <v>63</v>
      </c>
      <c r="B13" s="30" t="s">
        <v>68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133</v>
      </c>
    </row>
    <row r="14" spans="1:10" ht="14.4">
      <c r="A14" s="8" t="s">
        <v>78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79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5" priority="7">
      <formula>IF(AND($B10&lt;&gt;"",$I10=0),1,0)</formula>
    </cfRule>
    <cfRule type="expression" dxfId="94" priority="8">
      <formula>IF($B10&lt;&gt;"",1,0)</formula>
    </cfRule>
    <cfRule type="expression" dxfId="93" priority="9">
      <formula>$I10=0</formula>
    </cfRule>
  </conditionalFormatting>
  <conditionalFormatting sqref="B12:B13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conditionalFormatting sqref="J4">
    <cfRule type="expression" dxfId="89" priority="490">
      <formula>IF(COUNTA($B$10:$B$14)&lt;&gt;COUNTIF($I$10:$I$14,1),1,0)</formula>
    </cfRule>
    <cfRule type="expression" dxfId="88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3ADF9-A464-4A92-813E-AD8B9C56604F}">
  <sheetPr codeName="Sheet22">
    <tabColor rgb="FF00B050"/>
  </sheetPr>
  <dimension ref="A1:K12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2" t="s">
        <v>29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IF(COUNTIF(Table11082[Test 3],1)=COUNTA(Table11082[Value]),"Ready","Not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4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4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4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4.4">
      <c r="A10" s="47" t="s">
        <v>125</v>
      </c>
      <c r="B10" s="30">
        <v>16</v>
      </c>
      <c r="C10" s="32" t="s">
        <v>126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">
        <v>1</v>
      </c>
      <c r="J10" s="5" t="s">
        <v>127</v>
      </c>
    </row>
    <row r="11" spans="1:10" ht="14.4">
      <c r="A11" s="47" t="s">
        <v>128</v>
      </c>
      <c r="B11" s="30">
        <v>14</v>
      </c>
      <c r="C11" s="32" t="s">
        <v>126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">
        <v>1</v>
      </c>
      <c r="J11" s="5" t="s">
        <v>127</v>
      </c>
    </row>
    <row r="12" spans="1:10" ht="14.4">
      <c r="A12" s="8" t="s">
        <v>78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79</v>
      </c>
    </row>
  </sheetData>
  <sheetProtection algorithmName="SHA-512" hashValue="F4AHut1hWbihY8zLkVHKv5DGBCDnqg1dASJSJYr199HkZL6Uo5mck1040LhDiT1vMu8Zni5mdXRqIQMsOfiz/g==" saltValue="s47NSCDnkM9uGfB7/kKDhA==" spinCount="100000" sheet="1" objects="1" scenarios="1" selectLockedCells="1"/>
  <mergeCells count="2">
    <mergeCell ref="A3:J3"/>
    <mergeCell ref="J4:J8"/>
  </mergeCells>
  <conditionalFormatting sqref="B12">
    <cfRule type="expression" dxfId="72" priority="70">
      <formula>IF(AND($B12&lt;&gt;"",$I12=0),1,0)</formula>
    </cfRule>
    <cfRule type="expression" dxfId="71" priority="71">
      <formula>IF($B12&lt;&gt;"",1,0)</formula>
    </cfRule>
    <cfRule type="expression" dxfId="70" priority="72">
      <formula>$I12=0</formula>
    </cfRule>
  </conditionalFormatting>
  <conditionalFormatting sqref="B10">
    <cfRule type="expression" dxfId="69" priority="31">
      <formula>IF(AND($B10&lt;&gt;"",$I10=0),1,0)</formula>
    </cfRule>
    <cfRule type="expression" dxfId="68" priority="32">
      <formula>IF($B10&lt;&gt;"",1,0)</formula>
    </cfRule>
    <cfRule type="expression" dxfId="67" priority="33">
      <formula>$I10=0</formula>
    </cfRule>
  </conditionalFormatting>
  <conditionalFormatting sqref="B11">
    <cfRule type="expression" dxfId="66" priority="1">
      <formula>IF(AND($B11&lt;&gt;"",$I11=0),1,0)</formula>
    </cfRule>
    <cfRule type="expression" dxfId="65" priority="2">
      <formula>IF($B11&lt;&gt;"",1,0)</formula>
    </cfRule>
    <cfRule type="expression" dxfId="64" priority="3">
      <formula>$I11=0</formula>
    </cfRule>
  </conditionalFormatting>
  <conditionalFormatting sqref="J4">
    <cfRule type="expression" dxfId="63" priority="483">
      <formula>IF(COUNTA($B$10:$B$12)&lt;&gt;COUNTIF($I$10:$I$12,1),1,0)</formula>
    </cfRule>
    <cfRule type="expression" dxfId="62" priority="484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001DBF3-8D0D-4BCA-99B0-5D15ACD8947F}">
          <x14:formula1>
            <xm:f>Reference!$A$2:$A$8</xm:f>
          </x14:formula1>
          <xm:sqref>E10:E12</xm:sqref>
        </x14:dataValidation>
        <x14:dataValidation type="list" allowBlank="1" showInputMessage="1" showErrorMessage="1" xr:uid="{A4921C89-B3EA-4D7B-BAC3-164FE95120DE}">
          <x14:formula1>
            <xm:f>Reference!$B$2:$B$18</xm:f>
          </x14:formula1>
          <xm:sqref>D10:D12</xm:sqref>
        </x14:dataValidation>
        <x14:dataValidation type="list" allowBlank="1" showInputMessage="1" showErrorMessage="1" xr:uid="{7022346E-A8F2-4B1E-A19E-DABE09A7337F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2" t="s">
        <v>29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4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4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4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4.4">
      <c r="A10" s="4" t="s">
        <v>93</v>
      </c>
      <c r="B10" s="30"/>
      <c r="C10" s="2" t="s">
        <v>95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8">
        <f>[1]Initialization!$B$14</f>
        <v>0</v>
      </c>
      <c r="J10" s="5" t="s">
        <v>97</v>
      </c>
    </row>
    <row r="11" spans="1:10" ht="14.4">
      <c r="A11" s="4" t="s">
        <v>94</v>
      </c>
      <c r="B11" s="30"/>
      <c r="C11" s="2" t="s">
        <v>95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8">
        <f>[1]Initialization!$B$14</f>
        <v>0</v>
      </c>
      <c r="J11" s="5" t="s">
        <v>97</v>
      </c>
    </row>
    <row r="12" spans="1:10" ht="28.8">
      <c r="A12" s="4" t="s">
        <v>107</v>
      </c>
      <c r="B12" s="30">
        <v>29.370999999999999</v>
      </c>
      <c r="C12" s="2" t="s">
        <v>96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105</v>
      </c>
    </row>
    <row r="13" spans="1:10" ht="28.8">
      <c r="A13" s="4" t="s">
        <v>108</v>
      </c>
      <c r="B13" s="30">
        <v>29.129000000000001</v>
      </c>
      <c r="C13" s="2" t="s">
        <v>96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105</v>
      </c>
    </row>
    <row r="14" spans="1:10" ht="28.8">
      <c r="A14" s="47" t="s">
        <v>109</v>
      </c>
      <c r="B14" s="30">
        <v>21.056999999999999</v>
      </c>
      <c r="C14" s="2" t="s">
        <v>96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106</v>
      </c>
    </row>
    <row r="15" spans="1:10" ht="28.8">
      <c r="A15" s="47" t="s">
        <v>110</v>
      </c>
      <c r="B15" s="30">
        <v>20.815000000000001</v>
      </c>
      <c r="C15" s="2" t="s">
        <v>96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106</v>
      </c>
    </row>
    <row r="16" spans="1:10" ht="28.8">
      <c r="A16" s="47" t="s">
        <v>112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111</v>
      </c>
    </row>
    <row r="17" spans="1:10" ht="28.8">
      <c r="A17" s="47" t="s">
        <v>113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111</v>
      </c>
    </row>
    <row r="18" spans="1:10" ht="14.4">
      <c r="A18" s="8" t="s">
        <v>78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79</v>
      </c>
    </row>
  </sheetData>
  <sheetProtection algorithmName="SHA-512" hashValue="304BFf73D7W9vOITai4eyu1kDAYVFe2zWJoMDFXRbZc/XGxk0ZPeBmXDkIZkPI3T+WlCyihY0ySIKE1XopIyoQ==" saltValue="+uX6IJJ7L9bd6VJ+LJQA5A==" spinCount="100000" sheet="1" objects="1" scenarios="1" selectLockedCells="1"/>
  <mergeCells count="2">
    <mergeCell ref="A3:J3"/>
    <mergeCell ref="J4:J8"/>
  </mergeCells>
  <conditionalFormatting sqref="B18 B10 B16 B14 B12">
    <cfRule type="expression" dxfId="46" priority="31">
      <formula>IF(AND($B10&lt;&gt;"",$I10=0),1,0)</formula>
    </cfRule>
    <cfRule type="expression" dxfId="45" priority="32">
      <formula>IF($B10&lt;&gt;"",1,0)</formula>
    </cfRule>
    <cfRule type="expression" dxfId="44" priority="33">
      <formula>$I10=0</formula>
    </cfRule>
  </conditionalFormatting>
  <conditionalFormatting sqref="B10">
    <cfRule type="expression" dxfId="43" priority="28">
      <formula>IF(AND($B10&lt;&gt;"",$I10=0),1,0)</formula>
    </cfRule>
    <cfRule type="expression" dxfId="42" priority="29">
      <formula>IF($B10&lt;&gt;"",1,0)</formula>
    </cfRule>
    <cfRule type="expression" dxfId="41" priority="30">
      <formula>$I10=0</formula>
    </cfRule>
  </conditionalFormatting>
  <conditionalFormatting sqref="B17">
    <cfRule type="expression" dxfId="40" priority="22">
      <formula>IF(AND($B17&lt;&gt;"",$I17=0),1,0)</formula>
    </cfRule>
    <cfRule type="expression" dxfId="39" priority="23">
      <formula>IF($B17&lt;&gt;"",1,0)</formula>
    </cfRule>
    <cfRule type="expression" dxfId="38" priority="24">
      <formula>$I17=0</formula>
    </cfRule>
  </conditionalFormatting>
  <conditionalFormatting sqref="B15">
    <cfRule type="expression" dxfId="37" priority="19">
      <formula>IF(AND($B15&lt;&gt;"",$I15=0),1,0)</formula>
    </cfRule>
    <cfRule type="expression" dxfId="36" priority="20">
      <formula>IF($B15&lt;&gt;"",1,0)</formula>
    </cfRule>
    <cfRule type="expression" dxfId="35" priority="21">
      <formula>$I15=0</formula>
    </cfRule>
  </conditionalFormatting>
  <conditionalFormatting sqref="B13">
    <cfRule type="expression" dxfId="34" priority="16">
      <formula>IF(AND($B13&lt;&gt;"",$I13=0),1,0)</formula>
    </cfRule>
    <cfRule type="expression" dxfId="33" priority="17">
      <formula>IF($B13&lt;&gt;"",1,0)</formula>
    </cfRule>
    <cfRule type="expression" dxfId="32" priority="18">
      <formula>$I13=0</formula>
    </cfRule>
  </conditionalFormatting>
  <conditionalFormatting sqref="B11">
    <cfRule type="expression" dxfId="31" priority="13">
      <formula>IF(AND($B11&lt;&gt;"",$I11=0),1,0)</formula>
    </cfRule>
    <cfRule type="expression" dxfId="30" priority="14">
      <formula>IF($B11&lt;&gt;"",1,0)</formula>
    </cfRule>
    <cfRule type="expression" dxfId="29" priority="15">
      <formula>$I11=0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7">
    <cfRule type="expression" dxfId="25" priority="10">
      <formula>IF(AND($B17&lt;&gt;"",$I17=0),1,0)</formula>
    </cfRule>
    <cfRule type="expression" dxfId="24" priority="11">
      <formula>IF($B17&lt;&gt;"",1,0)</formula>
    </cfRule>
    <cfRule type="expression" dxfId="23" priority="12">
      <formula>$I17=0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3">
    <cfRule type="expression" dxfId="19" priority="4">
      <formula>IF(AND($B13&lt;&gt;"",$I13=0),1,0)</formula>
    </cfRule>
    <cfRule type="expression" dxfId="18" priority="5">
      <formula>IF($B13&lt;&gt;"",1,0)</formula>
    </cfRule>
    <cfRule type="expression" dxfId="17" priority="6">
      <formula>$I13=0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136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85</v>
      </c>
    </row>
    <row r="2" spans="1:17" ht="14.4">
      <c r="A2" s="66" t="s">
        <v>130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131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98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99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100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101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137</v>
      </c>
      <c r="C1" t="s">
        <v>62</v>
      </c>
      <c r="D1" t="s">
        <v>63</v>
      </c>
      <c r="E1" t="s">
        <v>78</v>
      </c>
      <c r="F1" t="s">
        <v>125</v>
      </c>
      <c r="G1" t="s">
        <v>128</v>
      </c>
      <c r="H1" t="s">
        <v>78</v>
      </c>
      <c r="I1" t="s">
        <v>93</v>
      </c>
      <c r="J1" t="s">
        <v>94</v>
      </c>
      <c r="K1" t="s">
        <v>107</v>
      </c>
      <c r="L1" t="s">
        <v>108</v>
      </c>
      <c r="M1" t="s">
        <v>109</v>
      </c>
      <c r="N1" t="s">
        <v>110</v>
      </c>
      <c r="O1" t="s">
        <v>112</v>
      </c>
      <c r="P1" t="s">
        <v>113</v>
      </c>
      <c r="Q1" t="s">
        <v>78</v>
      </c>
    </row>
    <row r="2" spans="1:17">
      <c r="A2">
        <v>2</v>
      </c>
      <c r="B2">
        <v>1</v>
      </c>
      <c r="C2" t="s">
        <v>104</v>
      </c>
      <c r="D2" t="s">
        <v>68</v>
      </c>
      <c r="F2">
        <v>16</v>
      </c>
      <c r="G2">
        <v>14</v>
      </c>
      <c r="K2">
        <v>29.370999999999999</v>
      </c>
      <c r="L2">
        <v>29.129000000000001</v>
      </c>
      <c r="M2">
        <v>21.056999999999999</v>
      </c>
      <c r="N2">
        <v>20.815000000000001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137</v>
      </c>
      <c r="C1" t="s">
        <v>62</v>
      </c>
      <c r="D1" t="s">
        <v>63</v>
      </c>
      <c r="E1" t="s">
        <v>78</v>
      </c>
      <c r="F1" t="s">
        <v>125</v>
      </c>
      <c r="G1" t="s">
        <v>128</v>
      </c>
      <c r="H1" t="s">
        <v>78</v>
      </c>
      <c r="I1" t="s">
        <v>93</v>
      </c>
      <c r="J1" t="s">
        <v>94</v>
      </c>
      <c r="K1" t="s">
        <v>107</v>
      </c>
      <c r="L1" t="s">
        <v>108</v>
      </c>
      <c r="M1" t="s">
        <v>109</v>
      </c>
      <c r="N1" t="s">
        <v>110</v>
      </c>
      <c r="O1" t="s">
        <v>112</v>
      </c>
      <c r="P1" t="s">
        <v>113</v>
      </c>
      <c r="Q1" t="s">
        <v>78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2022-10-21T03:52:17Z</dcterms:modified>
</cp:coreProperties>
</file>