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9\1_simulation_inputs\"/>
    </mc:Choice>
  </mc:AlternateContent>
  <xr:revisionPtr revIDLastSave="0" documentId="13_ncr:1_{0AED69FC-2A28-44DC-9465-C230ABB36FB1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3" i="31" l="1"/>
  <c r="I11" i="31"/>
  <c r="I10" i="31"/>
  <c r="I12" i="44"/>
  <c r="I11" i="44"/>
  <c r="I10" i="44"/>
  <c r="J2" i="44"/>
  <c r="A2" i="44"/>
  <c r="J2" i="31"/>
  <c r="A2" i="31"/>
  <c r="J2" i="43"/>
  <c r="A2" i="43"/>
  <c r="J2" i="40"/>
  <c r="A2" i="40"/>
  <c r="J4" i="43"/>
  <c r="J4" i="44" l="1"/>
  <c r="J4" i="40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G9" authorId="0" shapeId="0" xr:uid="{BFBD78E5-9EE4-334E-826B-E559878AC5A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F3A891B-E796-674E-945C-6344035A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7BCAC97-CDA4-034E-BF46-600F87DE58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<sst xmlns="http://schemas.openxmlformats.org/spreadsheetml/2006/main" count="281" uniqueCount="140">
  <si>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</si>
  <si>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</si>
  <si>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</si>
  <si>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</si>
  <si>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</si>
  <si>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</si>
  <si>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</si>
  <si>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</si>
  <si>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</si>
  <si>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</si>
  <si>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</si>
  <si>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</si>
  <si>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</si>
  <si>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</si>
  <si>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</si>
  <si>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</si>
  <si>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</si>
  <si>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</si>
  <si>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</si>
  <si>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</si>
  <si>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</si>
  <si>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</si>
  <si>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</si>
  <si>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</si>
  <si>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</si>
  <si>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</si>
  <si>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</si>
  <si>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</si>
  <si>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</si>
  <si>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</si>
  <si>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</si>
  <si>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</si>
  <si>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</si>
  <si>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</si>
  <si>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</si>
  <si>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</si>
  <si>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</si>
  <si>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</si>
  <si>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</si>
  <si>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</si>
  <si>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</si>
  <si>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</si>
  <si>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</si>
  <si>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</si>
  <si>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</si>
  <si>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</si>
  <si>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</si>
  <si>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</si>
  <si>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</si>
  <si>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</si>
  <si>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</si>
  <si>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</si>
  <si>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</si>
  <si>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</si>
  <si>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</si>
  <si>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</si>
  <si>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</si>
  <si>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</si>
  <si>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</si>
  <si>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</si>
  <si>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</si>
  <si>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</si>
  <si>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</si>
  <si>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</si>
  <si>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</si>
  <si>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</si>
  <si>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</si>
  <si>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</si>
  <si>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</si>
  <si>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</si>
  <si>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</si>
  <si>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</si>
  <si>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</si>
  <si>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</si>
  <si>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</si>
  <si>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</si>
  <si>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</si>
  <si>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</si>
  <si>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</si>
  <si>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</si>
  <si>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</si>
  <si>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</si>
  <si>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</si>
  <si>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</si>
  <si>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</si>
  <si>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</si>
  <si>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</si>
  <si>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</si>
  <si>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</si>
  <si>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</si>
  <si>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</si>
  <si>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</si>
  <si>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</si>
  <si>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</si>
  <si>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</si>
  <si>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</si>
  <si>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</si>
  <si>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</si>
  <si>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</si>
  <si>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</si>
  <si>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</si>
  <si>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</si>
  <si>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</si>
  <si>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</si>
  <si>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</si>
  <si>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</si>
  <si>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</si>
  <si>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</si>
  <si>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</si>
  <si>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</si>
  <si>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</si>
  <si>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</si>
  <si>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</si>
  <si>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</si>
  <si>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</si>
  <si>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</si>
  <si>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</si>
  <si>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</si>
  <si>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</si>
  <si>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</si>
  <si>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</si>
  <si>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</si>
  <si>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</si>
  <si>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</si>
  <si>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</si>
  <si>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</si>
  <si>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</si>
  <si>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</si>
  <si>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</si>
  <si>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</si>
  <si>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</si>
  <si>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</si>
  <si>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</si>
  <si>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</si>
  <si>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</si>
  <si>
    <t>1 = extract product gas with no light keys at the feed pressure
2 = extract product gas with no light keys at the extract product pressure
3 = extract product gas at the feed pressure
4 = extract product gas at the extract product pressure</t>
  </si>
  <si>
    <t>the heat transfer coefficient from the extract tank to its wall</t>
  </si>
  <si>
    <t>the heat transfer coefficient from the extract tank wall to the ambient environment</t>
  </si>
  <si>
    <t>the wall density for the extract tank</t>
  </si>
  <si>
    <t>the heat capacity of the extract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</si>
</sst>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1866257</xdr:colOff>
      <xdr:row>28</xdr:row>
      <xdr:rowOff>134277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3826" y="4044353"/>
          <a:ext cx="9673131" cy="2249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E03556C7-2542-7E42-A9DD-B1B8B91BA401}" name="Variable" dataDxfId="9"/>
    <tableColumn id="4" xr3:uid="{2FB3926B-4F06-914C-8489-C571AF3E45A3}" name="Value" dataDxfId="8"/>
    <tableColumn id="5" xr3:uid="{3FE0AD7B-29E4-3F41-A352-0D9A013E1034}" name="Unit" dataDxfId="7"/>
    <tableColumn id="6" xr3:uid="{BEBE5713-FC2B-3641-A8D9-6F30F28745E2}" name="Comparisons" dataDxfId="6"/>
    <tableColumn id="7" xr3:uid="{E72AAD3E-1EEC-864B-BBFE-AC58AFD8D8A4}" name="Variable Type" dataDxfId="5"/>
    <tableColumn id="8" xr3:uid="{E16EACE8-8CD8-8445-9D50-A4B1D8C5A5EE}" name="Dependency" dataDxfId="4"/>
    <tableColumn id="12" xr3:uid="{C5D48C4A-1F90-2642-922D-B7C4A75D13C7}" name="Test 1" dataDxfId="3"/>
    <tableColumn id="10" xr3:uid="{DBD6BC71-7D86-E347-8006-AA37412875BA}" name="Test 2" dataDxfId="2"/>
    <tableColumn id="2" xr3:uid="{AD71067E-44E0-314C-B6D6-EE1385B3D736}" name="Test 3" dataDxfId="1"/>
    <tableColumn id="9" xr3:uid="{91F9B607-9917-9149-A87A-94169B16C2A1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FBD78E5-9EE4-334E-826B-E559878AC5A5}">
    <text>place 1 if we want to keep the row when re-initializing. Otherwise, leave it as a blank.</text>
  </threadedComment>
  <threadedComment ref="H9" dT="2020-11-26T18:35:03.27" personId="{7F98AE94-13FB-49E1-9262-339C11E0EDB4}" id="{CF3A891B-E796-674E-945C-6344035A52CE}">
    <text>supply a value greater than 1 if you want to duplicate the row</text>
  </threadedComment>
  <threadedComment ref="I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I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103</v>
      </c>
      <c r="U1" t="s">
        <v>104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105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106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107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108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109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110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111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101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102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8" sqref="E8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3" t="s">
        <v>39</v>
      </c>
      <c r="E5" s="53"/>
      <c r="F5" s="53"/>
      <c r="G5" s="53"/>
      <c r="H5" s="53"/>
      <c r="I5" s="53"/>
      <c r="J5" s="53"/>
    </row>
    <row r="6" spans="4:10" ht="18">
      <c r="D6" s="46" t="s">
        <v>33</v>
      </c>
      <c r="E6" s="46" t="s">
        <v>112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113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32">
        <v>3.3941656669286671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VxKMy0tY/+tbmktcN4EKDUyqGtSONrOM+2iZXffvcKORvKioWcMRG9CKoCNBpknekvq2KT2Gi5xefxWuS4cn/g==" saltValue="qTAhtl2DyTlU1tQJbkR9UA==" spinCount="100000" sheet="1" objects="1" scenarios="1" selectLockedCells="1"/>
  <mergeCells count="2">
    <mergeCell ref="A3:J3"/>
    <mergeCell ref="J4:J8"/>
  </mergeCells>
  <conditionalFormatting sqref="B13">
    <cfRule type="expression" dxfId="100" priority="43">
      <formula>IF(AND($B13&lt;&gt;"",$I13=0),1,0)</formula>
    </cfRule>
    <cfRule type="expression" dxfId="99" priority="44">
      <formula>IF($B13&lt;&gt;"",1,0)</formula>
    </cfRule>
    <cfRule type="expression" dxfId="98" priority="45">
      <formula>$I13=0</formula>
    </cfRule>
  </conditionalFormatting>
  <conditionalFormatting sqref="B10">
    <cfRule type="expression" dxfId="97" priority="34">
      <formula>IF(AND($B10&lt;&gt;"",$I10=0),1,0)</formula>
    </cfRule>
    <cfRule type="expression" dxfId="96" priority="35">
      <formula>IF($B10&lt;&gt;"",1,0)</formula>
    </cfRule>
    <cfRule type="expression" dxfId="95" priority="36">
      <formula>$I10=0</formula>
    </cfRule>
  </conditionalFormatting>
  <conditionalFormatting sqref="J4">
    <cfRule type="expression" dxfId="94" priority="2249">
      <formula>IF(COUNTA($B$10:$B$13)&lt;&gt;COUNTIF($I$10:$I$13,1),1,0)</formula>
    </cfRule>
    <cfRule type="expression" dxfId="93" priority="2250">
      <formula>IF(COUNTA($B$10:$B$13)=COUNTIF($I$10:$I$13,1),1,0)</formula>
    </cfRule>
  </conditionalFormatting>
  <conditionalFormatting sqref="B11">
    <cfRule type="expression" dxfId="92" priority="4">
      <formula>IF(AND($B11&lt;&gt;"",$I11=0),1,0)</formula>
    </cfRule>
    <cfRule type="expression" dxfId="91" priority="5">
      <formula>IF($B11&lt;&gt;"",1,0)</formula>
    </cfRule>
    <cfRule type="expression" dxfId="90" priority="6">
      <formula>$I11=0</formula>
    </cfRule>
  </conditionalFormatting>
  <conditionalFormatting sqref="B12">
    <cfRule type="expression" dxfId="89" priority="1">
      <formula>IF(AND($B12&lt;&gt;"",$I12=0),1,0)</formula>
    </cfRule>
    <cfRule type="expression" dxfId="88" priority="2">
      <formula>IF($B12&lt;&gt;"",1,0)</formula>
    </cfRule>
    <cfRule type="expression" dxfId="87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M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gvE2FMB2eGyMsPobwMg5ZQcBUBLV15kk8jzBy5hQeYv9q4Xpld/MCRW+jndo9TtwTcyoPU1qvyzxQKBiJuy2A==" saltValue="iXLv2RIKmnVli4/7Q1wMdA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J4">
    <cfRule type="expression" dxfId="68" priority="2248">
      <formula>IF(COUNTA($B$10:$B$13)&lt;&gt;COUNTIF($I$10:$I$13,1),1,0)</formula>
    </cfRule>
    <cfRule type="expression" dxfId="67" priority="2249">
      <formula>IF(COUNTA($B$10:$B$13)=COUNTIF($I$10:$I$13,1),1,0)</formula>
    </cfRule>
  </conditionalFormatting>
  <conditionalFormatting sqref="B10:B12">
    <cfRule type="expression" dxfId="66" priority="1">
      <formula>IF(AND($B10&lt;&gt;"",$I10=0),1,0)</formula>
    </cfRule>
    <cfRule type="expression" dxfId="65" priority="2">
      <formula>IF($B10&lt;&gt;"",1,0)</formula>
    </cfRule>
    <cfRule type="expression" dxfId="64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0</v>
      </c>
      <c r="J10" s="5" t="s">
        <v>136</v>
      </c>
    </row>
    <row r="11" spans="1:10" ht="28.8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0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0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SAtzfBH7WAWgryeZi+KtA5p6PmhVGn80XcwnnTOrgM9hRoHS5Jj5aFCU3K0A/4xY1Lu6k1a1YoymciJbRwjWCg==" saltValue="aNmTpimstV6GbWmtaa6Akg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J4">
    <cfRule type="expression" dxfId="45" priority="2253">
      <formula>IF(COUNTA($B$10:$B$14)&lt;&gt;COUNTIF($I$10:$I$14,1),1,0)</formula>
    </cfRule>
    <cfRule type="expression" dxfId="44" priority="2254">
      <formula>IF(COUNTA($B$10:$B$14)=COUNTIF($I$10:$I$14,1),1,0)</formula>
    </cfRule>
  </conditionalFormatting>
  <conditionalFormatting sqref="B12:B13">
    <cfRule type="expression" dxfId="43" priority="4">
      <formula>IF(AND($B12&lt;&gt;"",$I12=0),1,0)</formula>
    </cfRule>
    <cfRule type="expression" dxfId="42" priority="5">
      <formula>IF($B12&lt;&gt;"",1,0)</formula>
    </cfRule>
    <cfRule type="expression" dxfId="41" priority="6">
      <formula>$I12=0</formula>
    </cfRule>
  </conditionalFormatting>
  <conditionalFormatting sqref="B10:B11">
    <cfRule type="expression" dxfId="40" priority="1">
      <formula>IF(AND($B10&lt;&gt;"",$I10=0),1,0)</formula>
    </cfRule>
    <cfRule type="expression" dxfId="39" priority="2">
      <formula>IF($B10&lt;&gt;"",1,0)</formula>
    </cfRule>
    <cfRule type="expression" dxfId="38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: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128</v>
      </c>
      <c r="B10" s="32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2">
        <f>[1]Initialization!$B$12</f>
        <v>0</v>
      </c>
      <c r="J10" s="5" t="s">
        <v>125</v>
      </c>
    </row>
    <row r="11" spans="1:10" ht="14.4">
      <c r="A11" s="38" t="s">
        <v>129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0</v>
      </c>
      <c r="J11" s="5" t="s">
        <v>126</v>
      </c>
    </row>
    <row r="12" spans="1:10" ht="28.8">
      <c r="A12" s="38" t="s">
        <v>130</v>
      </c>
      <c r="B12" s="51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0</v>
      </c>
      <c r="J12" s="5" t="s">
        <v>127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LmR5TneOn9HrQ9RTqVpX+WgJC2A1kBxDcSYRTvSrqVMSDpLirLgkiRvEZMMi72A8jwuBiOOZNzrXxBd4GMHp1g==" saltValue="rzxXTmQ4aaD0jfqoPQ2kGA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5">
      <formula>IF(COUNTA($B$10:$B$13)&lt;&gt;COUNTIF($I$10:$I$13,1),1,0)</formula>
    </cfRule>
    <cfRule type="expression" dxfId="15" priority="225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3</v>
      </c>
      <c r="B2">
        <v>318.14999999999998</v>
      </c>
      <c r="C2">
        <v>3.3941656669286671</v>
      </c>
      <c r="E2">
        <v>20</v>
      </c>
      <c r="F2">
        <v>20.5</v>
      </c>
      <c r="G2">
        <v>33.800769771555913</v>
      </c>
      <c r="K2">
        <v>7.8300000000000002E-3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2022-11-05T16:47:30Z</dcterms:modified>
</cp:coreProperties>
</file>