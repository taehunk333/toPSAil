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2.0\1_simulation_inputs\"/>
    </mc:Choice>
  </mc:AlternateContent>
  <xr:revisionPtr revIDLastSave="0" documentId="13_ncr:1_{71374B82-94A4-48B1-A7C5-F8D79EC5EF92}" xr6:coauthVersionLast="47" xr6:coauthVersionMax="47" xr10:uidLastSave="{00000000-0000-0000-0000-000000000000}"/>
  <bookViews>
    <workbookView xWindow="-108" yWindow="-108" windowWidth="23256" windowHeight="13176" tabRatio="818" activeTab="2" xr2:uid="{CB583278-6AF7-49E7-A969-6064EAB4A9B4}"/>
  </bookViews>
  <sheets>
    <sheet name="Revision History" sheetId="4" r:id="rId1"/>
    <sheet name="Reference" sheetId="2" state="hidden" r:id="rId2"/>
    <sheet name="Stream Properties" sheetId="39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2" hidden="1">'Stream Properties'!$A$9:$J$9</definedName>
    <definedName name="_xlnm.Print_Area" localSheetId="0">'Revision History'!$C$3:$K$51</definedName>
    <definedName name="_xlnm.Print_Area" localSheetId="2">'Stream Properties'!$A$2:$J$13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39" l="1"/>
  <c r="H11" i="39"/>
  <c r="H10" i="39"/>
  <c r="J4" i="39" l="1"/>
  <c r="J2" i="39"/>
  <c r="A2" i="39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tc={1A026445-FB9B-4762-B965-16991A5C1815}</author>
    <author>tc={D80DBB20-50CB-4F00-9538-DAD0AE44E42D}</author>
    <author>tc={80C7D8EB-2E40-4EC8-9709-9973ADEE9EBD}</author>
  </authors>
  <commentList>
    <comment ref="G9" authorId="0" shapeId="0" xr:uid="{1A026445-FB9B-4762-B965-16991A5C181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D80DBB20-50CB-4F00-9538-DAD0AE44E42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80C7D8EB-2E40-4EC8-9709-9973ADEE9EB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<sst xmlns="http://schemas.openxmlformats.org/spreadsheetml/2006/main" count="156" uniqueCount="111">
  <si>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</si>
  <si>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</si>
  <si>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</si>
  <si>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</si>
  <si>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</si>
  <si>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</si>
  <si>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</si>
  <si>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</si>
  <si>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</si>
  <si>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</si>
  <si>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</si>
  <si>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</si>
  <si>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</si>
  <si>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</si>
  <si>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</si>
  <si>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</si>
  <si>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</si>
  <si>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</si>
  <si>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</si>
  <si>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</si>
  <si>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</si>
  <si>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</si>
  <si>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</si>
  <si>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</si>
  <si>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</si>
  <si>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</si>
  <si>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</si>
  <si>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</si>
  <si>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</si>
  <si>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</si>
  <si>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</si>
  <si>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</si>
  <si>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</si>
  <si>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</si>
  <si>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</si>
  <si>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</si>
  <si>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</si>
  <si>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</si>
  <si>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</si>
  <si>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</si>
  <si>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</si>
  <si>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</si>
  <si>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</si>
  <si>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</si>
  <si>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</si>
  <si>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</si>
  <si>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</si>
  <si>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</si>
  <si>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</si>
  <si>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</si>
  <si>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</si>
  <si>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</si>
  <si>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</si>
  <si>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</si>
  <si>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</si>
  <si>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</si>
  <si>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</si>
  <si>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</si>
  <si>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</si>
  <si>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</si>
  <si>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</si>
  <si>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</si>
  <si>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</si>
  <si>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</si>
  <si>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</si>
  <si>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</si>
  <si>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</si>
  <si>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</si>
  <si>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</si>
  <si>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</si>
  <si>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</si>
  <si>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</si>
  <si>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</si>
  <si>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</si>
  <si>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</si>
  <si>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</si>
  <si>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</si>
  <si>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</si>
  <si>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</si>
  <si>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</si>
  <si>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</si>
  <si>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</si>
  <si>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</si>
  <si>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</si>
  <si>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</si>
  <si>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</si>
  <si>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</si>
  <si>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</si>
  <si>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</si>
  <si>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</si>
  <si>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</si>
  <si>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</si>
  <si>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yRaC1</t>
  </si>
  <si>
    <t>yRaC2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</si>
  <si>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</si>
  <si>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</si>
  <si>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</si>
  <si>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</si>
  <si>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</si>
  <si>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</si>
  <si>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</si>
  <si>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</si>
  <si>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</si>
  <si>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</si>
  <si>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</si>
  <si>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</si>
  <si>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</si>
  <si>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"2.2_raffinate_stream_properties.xlsm" sheet.</t>
  </si>
  <si>
    <t>REV. NO.2 (9/14/2022)</t>
  </si>
  <si>
    <t>yRaC3</t>
  </si>
  <si>
    <t>The initial raffinate product mole fraction of ith component at the raffinate product pressure; the first nLK components are the light keys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</si>
</sst>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2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2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69" name="Button 1" hidden="1">
                <a:extLst>
                  <a:ext uri="{63B3BB69-23CF-44E3-9099-C40C66FF867C}">
                    <a14:compatExt spid="_x0000_s83969"/>
                  </a:ext>
                  <a:ext uri="{FF2B5EF4-FFF2-40B4-BE49-F238E27FC236}">
                    <a16:creationId xmlns:a16="http://schemas.microsoft.com/office/drawing/2014/main" id="{00000000-0008-0000-0200-0000014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0" name="Button 2" hidden="1">
                <a:extLst>
                  <a:ext uri="{63B3BB69-23CF-44E3-9099-C40C66FF867C}">
                    <a14:compatExt spid="_x0000_s83970"/>
                  </a:ext>
                  <a:ext uri="{FF2B5EF4-FFF2-40B4-BE49-F238E27FC236}">
                    <a16:creationId xmlns:a16="http://schemas.microsoft.com/office/drawing/2014/main" id="{00000000-0008-0000-0200-0000024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3971" name="Button 3" hidden="1">
                <a:extLst>
                  <a:ext uri="{63B3BB69-23CF-44E3-9099-C40C66FF867C}">
                    <a14:compatExt spid="_x0000_s83971"/>
                  </a:ext>
                  <a:ext uri="{FF2B5EF4-FFF2-40B4-BE49-F238E27FC236}">
                    <a16:creationId xmlns:a16="http://schemas.microsoft.com/office/drawing/2014/main" id="{00000000-0008-0000-0200-0000034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9958D1E-D60C-4D61-BB3C-0C1DDFB07B7A}" name="Table11082" displayName="Table11082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8CA72147-4D79-4652-A9E9-87D51653DA84}" name="Variable" dataDxfId="9"/>
    <tableColumn id="4" xr3:uid="{E819EB63-CB5D-404C-B2BA-29FF258DB4F8}" name="Value" dataDxfId="8"/>
    <tableColumn id="5" xr3:uid="{1794E572-D285-47C1-B741-27E454FDF4FD}" name="Unit" dataDxfId="7"/>
    <tableColumn id="6" xr3:uid="{7F8A147E-F024-4089-965F-D6A02CD18DC6}" name="Comparisons" dataDxfId="6"/>
    <tableColumn id="7" xr3:uid="{59037F64-D8B7-466E-B9B6-97F14C2CBDD9}" name="Variable Type" dataDxfId="5"/>
    <tableColumn id="8" xr3:uid="{B3A5DFE8-8D61-4FFC-837B-F606356A99BD}" name="Dependency" dataDxfId="4"/>
    <tableColumn id="12" xr3:uid="{6C20D82D-93BB-42A1-A91B-759FC99CBE8C}" name="Test 1" dataDxfId="3"/>
    <tableColumn id="10" xr3:uid="{87C7F8B7-5A99-489D-AB7E-B6E5697C481A}" name="Test 2" dataDxfId="2"/>
    <tableColumn id="2" xr3:uid="{55413903-6AA5-4148-81F3-1F6AD647C108}" name="Test 3" dataDxfId="1"/>
    <tableColumn id="9" xr3:uid="{48D67C6B-2FDE-4718-AF32-11DEAACCFD0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1A026445-FB9B-4762-B965-16991A5C1815}">
    <text>place 1 if we want to keep the row when re-initializing. Otherwise, leave it as a blank.</text>
  </threadedComment>
  <threadedComment ref="H9" dT="2020-11-26T18:35:03.27" personId="{7F98AE94-13FB-49E1-9262-339C11E0EDB4}" id="{D80DBB20-50CB-4F00-9538-DAD0AE44E42D}">
    <text>supply a value greater than 1 if you want to duplicate the row</text>
  </threadedComment>
  <threadedComment ref="I9" dT="2020-11-28T01:53:47.29" personId="{7F98AE94-13FB-49E1-9262-339C11E0EDB4}" id="{80C7D8EB-2E40-4EC8-9709-9973ADEE9EBD}">
    <text>1 means we need to have the variable specified; 0 means we need not have the variable specified</text>
  </threadedComment>
  <threadedComment ref="I9" dT="2020-11-28T01:56:42.32" personId="{7F98AE94-13FB-49E1-9262-339C11E0EDB4}" id="{42C1F757-9235-410D-B910-44E8C027E869}" parentId="{80C7D8EB-2E40-4EC8-9709-9973ADEE9EBD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31" hidden="1" customWidth="1"/>
    <col min="3" max="3" width="2.44140625" style="31" customWidth="1"/>
    <col min="4" max="4" width="13.77734375" style="31" customWidth="1"/>
    <col min="5" max="5" width="51.33203125" style="32" bestFit="1" customWidth="1"/>
    <col min="6" max="6" width="15.77734375" style="33" bestFit="1" customWidth="1"/>
    <col min="7" max="9" width="13.33203125" style="31" customWidth="1"/>
    <col min="10" max="10" width="48.77734375" style="31" customWidth="1"/>
    <col min="11" max="11" width="2.44140625" style="31" customWidth="1"/>
    <col min="12" max="12" width="0" style="31" hidden="1" customWidth="1"/>
    <col min="13" max="16384" width="9" style="31" hidden="1"/>
  </cols>
  <sheetData>
    <row r="3" spans="4:10"/>
    <row r="4" spans="4:10" ht="18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6">
      <c r="D5" s="49" t="s">
        <v>36</v>
      </c>
      <c r="E5" s="49"/>
      <c r="F5" s="49"/>
      <c r="G5" s="49"/>
      <c r="H5" s="49"/>
      <c r="I5" s="49"/>
      <c r="J5" s="49"/>
    </row>
    <row r="6" spans="4:10" ht="18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4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6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">
      <c r="D9" s="35">
        <v>3</v>
      </c>
      <c r="E9" s="36"/>
      <c r="F9" s="37"/>
      <c r="G9" s="35"/>
      <c r="H9" s="35"/>
      <c r="I9" s="35"/>
      <c r="J9" s="36"/>
    </row>
    <row r="10" spans="4:10" ht="18">
      <c r="D10" s="35">
        <v>4</v>
      </c>
      <c r="E10" s="36"/>
      <c r="F10" s="37"/>
      <c r="G10" s="35"/>
      <c r="H10" s="35"/>
      <c r="I10" s="35"/>
      <c r="J10" s="36"/>
    </row>
    <row r="11" spans="4:10" ht="18">
      <c r="D11" s="35">
        <v>5</v>
      </c>
      <c r="E11" s="36"/>
      <c r="F11" s="37"/>
      <c r="G11" s="35"/>
      <c r="H11" s="35"/>
      <c r="I11" s="35"/>
      <c r="J11" s="36"/>
    </row>
    <row r="12" spans="4:10" ht="18">
      <c r="D12" s="35">
        <v>6</v>
      </c>
      <c r="E12" s="36"/>
      <c r="F12" s="37"/>
      <c r="G12" s="35"/>
      <c r="H12" s="35"/>
      <c r="I12" s="35"/>
      <c r="J12" s="36"/>
    </row>
    <row r="13" spans="4:10" ht="18">
      <c r="D13" s="35">
        <v>7</v>
      </c>
      <c r="E13" s="36"/>
      <c r="F13" s="37"/>
      <c r="G13" s="35"/>
      <c r="H13" s="35"/>
      <c r="I13" s="35"/>
      <c r="J13" s="36"/>
    </row>
    <row r="14" spans="4:10" ht="18">
      <c r="D14" s="35">
        <v>8</v>
      </c>
      <c r="E14" s="36"/>
      <c r="F14" s="37"/>
      <c r="G14" s="35"/>
      <c r="H14" s="35"/>
      <c r="I14" s="35"/>
      <c r="J14" s="36"/>
    </row>
    <row r="15" spans="4:10" ht="18">
      <c r="D15" s="35">
        <v>9</v>
      </c>
      <c r="E15" s="36"/>
      <c r="F15" s="37"/>
      <c r="G15" s="35"/>
      <c r="H15" s="35"/>
      <c r="I15" s="35"/>
      <c r="J15" s="36"/>
    </row>
    <row r="16" spans="4:10" ht="18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85F6-CEEB-479F-B238-F0DAD74FBBC6}">
  <sheetPr codeName="Sheet22">
    <tabColor rgb="FF00B050"/>
  </sheetPr>
  <dimension ref="A1:K13"/>
  <sheetViews>
    <sheetView showGridLines="0" tabSelected="1" topLeftCell="A2" zoomScaleNormal="100" zoomScaleSheetLayoutView="85" workbookViewId="0">
      <pane ySplit="8" topLeftCell="A10" activePane="bottomLeft" state="frozen"/>
      <selection activeCell="B2" sqref="B2"/>
      <selection pane="bottomLeft" activeCell="B13" sqref="B13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4" hidden="1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4.4">
      <c r="A2" s="39" t="str">
        <f>'Revision History'!$D$4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History'!$J$4</f>
        <v>Scott Research Group (jkscottresearchgroup.com)</v>
      </c>
    </row>
    <row r="3" spans="1:10" ht="18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5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5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5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4.4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43.2">
      <c r="A10" s="4" t="s">
        <v>92</v>
      </c>
      <c r="B10" s="29">
        <v>1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3</v>
      </c>
      <c r="I10" s="6">
        <v>1</v>
      </c>
      <c r="J10" s="5" t="s">
        <v>110</v>
      </c>
    </row>
    <row r="11" spans="1:10" ht="43.2">
      <c r="A11" s="4" t="s">
        <v>93</v>
      </c>
      <c r="B11" s="29">
        <v>0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3</v>
      </c>
      <c r="I11" s="6">
        <v>1</v>
      </c>
      <c r="J11" s="5" t="s">
        <v>110</v>
      </c>
    </row>
    <row r="12" spans="1:10" ht="43.2">
      <c r="A12" s="4" t="s">
        <v>109</v>
      </c>
      <c r="B12" s="29">
        <v>0</v>
      </c>
      <c r="C12" s="2" t="s">
        <v>3</v>
      </c>
      <c r="D12" s="1" t="s">
        <v>22</v>
      </c>
      <c r="E12" s="1" t="s">
        <v>7</v>
      </c>
      <c r="F12" s="2" t="s">
        <v>39</v>
      </c>
      <c r="G12" s="1"/>
      <c r="H12" s="48">
        <f>[1]Initialization!$B$10</f>
        <v>3</v>
      </c>
      <c r="I12" s="6">
        <v>1</v>
      </c>
      <c r="J12" s="5" t="s">
        <v>110</v>
      </c>
    </row>
    <row r="13" spans="1:10" ht="14.4">
      <c r="A13" s="8" t="s">
        <v>75</v>
      </c>
      <c r="B13" s="30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HetUlmwZLNf6Wh5S+d1BgYEolAdKgGjHf0JE2t95k922wOtm0AyznPZlvX6Knr4ORCY4e1i7grpY4kP+VBErew==" saltValue="iuYOZfRs7qdnDaci/XwQlQ==" spinCount="100000" sheet="1" objects="1" scenarios="1" selectLockedCells="1"/>
  <mergeCells count="2">
    <mergeCell ref="A3:J3"/>
    <mergeCell ref="J4:J8"/>
  </mergeCells>
  <conditionalFormatting sqref="B10 B13">
    <cfRule type="expression" dxfId="22" priority="10">
      <formula>IF(AND($B10&lt;&gt;"",$I10=0),1,0)</formula>
    </cfRule>
    <cfRule type="expression" dxfId="21" priority="11">
      <formula>IF($B10&lt;&gt;"",1,0)</formula>
    </cfRule>
    <cfRule type="expression" dxfId="20" priority="12">
      <formula>$I10=0</formula>
    </cfRule>
  </conditionalFormatting>
  <conditionalFormatting sqref="J4">
    <cfRule type="expression" dxfId="19" priority="109">
      <formula>IF(COUNTA($B$10:$B$13)&lt;&gt;COUNTIF($I$10:$I$13,1),1,0)</formula>
    </cfRule>
    <cfRule type="expression" dxfId="18" priority="110">
      <formula>IF(COUNTA($B$10:$B$13)=COUNTIF($I$10:$I$13,1),1,0)</formula>
    </cfRule>
  </conditionalFormatting>
  <conditionalFormatting sqref="B11:B12">
    <cfRule type="expression" dxfId="17" priority="1">
      <formula>IF(AND($B11&lt;&gt;"",$I11=0),1,0)</formula>
    </cfRule>
    <cfRule type="expression" dxfId="16" priority="2">
      <formula>IF($B11&lt;&gt;"",1,0)</formula>
    </cfRule>
    <cfRule type="expression" dxfId="15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396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397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C75D849-865F-4CED-A496-CABE2C4A3593}">
          <x14:formula1>
            <xm:f>Reference!$A$2:$A$8</xm:f>
          </x14:formula1>
          <xm:sqref>E10:E13</xm:sqref>
        </x14:dataValidation>
        <x14:dataValidation type="list" allowBlank="1" showInputMessage="1" showErrorMessage="1" xr:uid="{D8A9307D-61EF-4B3A-AB70-C2EB75FB5AE2}">
          <x14:formula1>
            <xm:f>Reference!$B$2:$B$18</xm:f>
          </x14:formula1>
          <xm:sqref>D10:D13</xm:sqref>
        </x14:dataValidation>
        <x14:dataValidation type="list" allowBlank="1" showInputMessage="1" showErrorMessage="1" xr:uid="{4EB9C528-12B0-429F-B5BB-702FB68141D6}">
          <x14:formula1>
            <xm:f>Reference!$C$2:$C$23</xm:f>
          </x14:formula1>
          <xm:sqref>F10:F13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D2"/>
  <sheetViews>
    <sheetView topLeftCell="CF1" workbookViewId="0">
      <selection activeCell="CM2" sqref="CM2"/>
    </sheetView>
  </sheetViews>
  <sheetFormatPr defaultColWidth="8.77734375" defaultRowHeight="14.4"/>
  <sheetData>
    <row r="1" spans="1:4">
      <c r="A1" t="s">
        <v>92</v>
      </c>
      <c r="B1" t="s">
        <v>93</v>
      </c>
      <c r="C1" t="s">
        <v>109</v>
      </c>
      <c r="D1" t="s">
        <v>75</v>
      </c>
    </row>
    <row r="2" spans="1:4">
      <c r="A2">
        <v>1</v>
      </c>
      <c r="B2">
        <v>0</v>
      </c>
      <c r="C2">
        <v>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D2"/>
  <sheetViews>
    <sheetView topLeftCell="CC1" workbookViewId="0">
      <selection activeCell="CR2" sqref="CR2"/>
    </sheetView>
  </sheetViews>
  <sheetFormatPr defaultColWidth="8.77734375" defaultRowHeight="14.4"/>
  <sheetData>
    <row r="1" spans="1:4">
      <c r="A1" t="s">
        <v>92</v>
      </c>
      <c r="B1" t="s">
        <v>93</v>
      </c>
      <c r="C1" t="s">
        <v>109</v>
      </c>
      <c r="D1" t="s">
        <v>75</v>
      </c>
    </row>
    <row r="2" spans="1:4">
      <c r="A2">
        <v>1</v>
      </c>
      <c r="B2">
        <v>1</v>
      </c>
      <c r="C2">
        <v>1</v>
      </c>
      <c r="D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Reference</vt:lpstr>
      <vt:lpstr>Stream Properties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2022-10-27T16:20:26Z</dcterms:modified>
</cp:coreProperties>
</file>