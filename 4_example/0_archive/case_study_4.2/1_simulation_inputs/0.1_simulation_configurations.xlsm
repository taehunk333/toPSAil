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2\1_simulation_inputs\"/>
    </mc:Choice>
  </mc:AlternateContent>
  <xr:revisionPtr revIDLastSave="0" documentId="13_ncr:1_{8445399C-1F58-411F-8945-772C625596FF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state="hidden" r:id="rId5"/>
    <sheet name="maintenance check list" sheetId="28" state="hidden" r:id="rId6"/>
    <sheet name="Data(Transposed)" sheetId="3" state="hidden" r:id="rId7"/>
    <sheet name="Data(Test)" sheetId="9" state="hidden" r:id="rId8"/>
  </sheets>
  <functionGroups builtInGroupCount="19"/>
  <definedNames>
    <definedName name="_xlnm._FilterDatabase" localSheetId="1" hidden="1">Initialization!$A$9:$J$22</definedName>
    <definedName name="_xlnm._FilterDatabase" localSheetId="2" hidden="1">'Model Selection'!$A$9:$J$17</definedName>
    <definedName name="_xlnm.Print_Area" localSheetId="1">Initialization!$A$2:$J$22</definedName>
    <definedName name="_xlnm.Print_Area" localSheetId="2">'Model Selection'!$A$2:$J$17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<sst xmlns="http://schemas.openxmlformats.org/spreadsheetml/2006/main" count="305" uniqueCount="134">
  <si>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</si>
  <si>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</si>
  <si>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</si>
  <si>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</si>
  <si>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</si>
  <si>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</si>
  <si>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</si>
  <si>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</si>
  <si>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</si>
  <si>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</si>
  <si>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</si>
  <si>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</si>
  <si>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</si>
  <si>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</si>
  <si>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</si>
  <si>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</si>
  <si>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</si>
  <si>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</si>
  <si>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</si>
  <si>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</si>
  <si>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</si>
  <si>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</si>
  <si>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</si>
  <si>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</si>
  <si>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</si>
  <si>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</si>
  <si>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</si>
  <si>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</si>
  <si>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</si>
  <si>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</si>
  <si>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</si>
  <si>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</si>
  <si>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</si>
  <si>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</si>
  <si>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</si>
  <si>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</si>
  <si>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</si>
  <si>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</si>
  <si>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</si>
  <si>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</si>
  <si>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</si>
  <si>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</si>
  <si>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</si>
  <si>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</si>
  <si>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</si>
  <si>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</si>
  <si>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</si>
  <si>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</si>
  <si>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</si>
  <si>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</si>
  <si>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</si>
  <si>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</si>
  <si>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</si>
  <si>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</si>
  <si>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</si>
  <si>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</si>
  <si>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</si>
  <si>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</si>
  <si>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</si>
  <si>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</si>
  <si>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</si>
  <si>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</si>
  <si>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</si>
  <si>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</si>
  <si>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</si>
  <si>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</si>
  <si>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</si>
  <si>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</si>
  <si>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</si>
  <si>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</si>
  <si>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</si>
  <si>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</si>
  <si>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</si>
  <si>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</si>
  <si>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</si>
  <si>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</si>
  <si>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</si>
  <si>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</si>
  <si>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</si>
  <si>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</si>
  <si>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</si>
  <si>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</si>
  <si>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</si>
  <si>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</si>
  <si>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</si>
  <si>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</si>
  <si>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</si>
  <si>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</si>
  <si>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</si>
  <si>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</si>
  <si>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</si>
  <si>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</si>
  <si>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</si>
  <si>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</si>
  <si>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</si>
  <si>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</si>
  <si>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</si>
  <si>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</si>
  <si>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</si>
  <si>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</si>
  <si>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</si>
  <si>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</si>
  <si>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</si>
  <si>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</si>
  <si>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</si>
  <si>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</si>
  <si>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</si>
  <si>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</si>
  <si>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</si>
  <si>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</si>
  <si>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</si>
  <si>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</si>
  <si>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</si>
  <si>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</si>
  <si>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</si>
  <si>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</si>
  <si>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</si>
  <si>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Specify an equation of states:
0 = none
1 = ideal gas law</t>
  </si>
  <si>
    <t>Specify a valve model:
0 = none
1 = a linear valve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</si>
  <si>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</si>
  <si>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</si>
  <si>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</si>
  <si>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</si>
  <si>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</si>
  <si>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</si>
  <si>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</si>
  <si>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</si>
  <si>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</si>
  <si>
    <t>0 = no-axial pressure drop (flow-driven),
1 = axial pressure drop (pressure-driven).</t>
  </si>
  <si>
    <t>REV. NO.1 (6/8/2022)</t>
  </si>
  <si>
    <t>Specify the axial pressure drop model:
0 = no axial pressure drop
1 = Kozeny-Carman equation
2 = Ergun equation</t>
  </si>
  <si>
    <t>0 = isothermal operation,
1 = non-isothermal operation.</t>
  </si>
  <si>
    <t>Specify an adsorption isotherm model:
0 = none
1 = linear isotherm
2 = extended Langmuir isotherm
3 = multi-site Langmuir isotherm
4 = extended Langmuir-Freundlich isotherm
5 = dual-site Langmuir-Freundlich isotherm
6 = extended dual-site Langmuir-Freundlich isotherm</t>
  </si>
  <si>
    <t>0 = no hysteresis in adsorption isotherm
1 = there is hysteresis in adsorption isotherm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</si>
</sst>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1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3" borderId="1" xfId="0" applyFont="1" applyFill="1" applyBorder="1" applyAlignment="1" applyProtection="1">
      <alignment horizontal="left" vertical="center" indent="1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center" vertical="center"/>
    </xf>
    <xf numFmtId="0" fontId="4" fillId="3" borderId="14" xfId="0" applyFont="1" applyFill="1" applyBorder="1" applyAlignment="1">
      <alignment horizontal="left" vertical="center" wrapText="1" indent="1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22" totalsRowShown="0" headerRowDxfId="34" dataDxfId="32" headerRowBorderDxfId="33" tableBorderDxfId="31" totalsRowBorderDxfId="30">
  <autoFilter ref="A9:J22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14" dataDxfId="12" headerRowBorderDxfId="13" tableBorderDxfId="11" totalsRowBorderDxfId="10">
  <autoFilter ref="A9:J17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9" hidden="1" customWidth="1"/>
    <col min="3" max="3" width="2.44140625" style="29" customWidth="1"/>
    <col min="4" max="4" width="13.77734375" style="29" customWidth="1"/>
    <col min="5" max="5" width="51.33203125" style="30" bestFit="1" customWidth="1"/>
    <col min="6" max="6" width="15.77734375" style="31" bestFit="1" customWidth="1"/>
    <col min="7" max="9" width="13.33203125" style="29" customWidth="1"/>
    <col min="10" max="10" width="48.77734375" style="29" customWidth="1"/>
    <col min="11" max="11" width="2.44140625" style="29" customWidth="1"/>
    <col min="12" max="12" width="0" style="29" hidden="1" customWidth="1"/>
    <col min="13" max="16384" width="9" style="29" hidden="1"/>
  </cols>
  <sheetData>
    <row r="3" spans="4:10"/>
    <row r="4" spans="4:10" ht="18">
      <c r="D4" s="39" t="s">
        <v>127</v>
      </c>
      <c r="E4" s="40"/>
      <c r="F4" s="41"/>
      <c r="G4" s="42"/>
      <c r="H4" s="42"/>
      <c r="I4" s="42"/>
      <c r="J4" s="32" t="s">
        <v>85</v>
      </c>
    </row>
    <row r="5" spans="4:10" ht="36">
      <c r="D5" s="54" t="s">
        <v>36</v>
      </c>
      <c r="E5" s="54"/>
      <c r="F5" s="54"/>
      <c r="G5" s="54"/>
      <c r="H5" s="54"/>
      <c r="I5" s="54"/>
      <c r="J5" s="54"/>
    </row>
    <row r="6" spans="4:10" ht="18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54">
      <c r="D7" s="33">
        <v>1</v>
      </c>
      <c r="E7" s="34" t="s">
        <v>126</v>
      </c>
      <c r="F7" s="35">
        <v>44720</v>
      </c>
      <c r="G7" s="33" t="s">
        <v>37</v>
      </c>
      <c r="H7" s="33"/>
      <c r="I7" s="33"/>
      <c r="J7" s="34"/>
    </row>
    <row r="8" spans="4:10" ht="36">
      <c r="D8" s="33">
        <v>2</v>
      </c>
      <c r="E8" s="34" t="s">
        <v>124</v>
      </c>
      <c r="F8" s="35">
        <v>44818</v>
      </c>
      <c r="G8" s="33" t="s">
        <v>37</v>
      </c>
      <c r="H8" s="33"/>
      <c r="I8" s="33"/>
      <c r="J8" s="34"/>
    </row>
    <row r="9" spans="4:10" ht="18">
      <c r="D9" s="33">
        <v>3</v>
      </c>
      <c r="E9" s="34"/>
      <c r="F9" s="35"/>
      <c r="G9" s="33"/>
      <c r="H9" s="33"/>
      <c r="I9" s="33"/>
      <c r="J9" s="34"/>
    </row>
    <row r="10" spans="4:10" ht="18">
      <c r="D10" s="33">
        <v>4</v>
      </c>
      <c r="E10" s="34"/>
      <c r="F10" s="35"/>
      <c r="G10" s="33"/>
      <c r="H10" s="33"/>
      <c r="I10" s="33"/>
      <c r="J10" s="34"/>
    </row>
    <row r="11" spans="4:10" ht="18">
      <c r="D11" s="33">
        <v>5</v>
      </c>
      <c r="E11" s="34"/>
      <c r="F11" s="35"/>
      <c r="G11" s="33"/>
      <c r="H11" s="33"/>
      <c r="I11" s="33"/>
      <c r="J11" s="34"/>
    </row>
    <row r="12" spans="4:10" ht="18">
      <c r="D12" s="33">
        <v>6</v>
      </c>
      <c r="E12" s="34"/>
      <c r="F12" s="35"/>
      <c r="G12" s="33"/>
      <c r="H12" s="33"/>
      <c r="I12" s="33"/>
      <c r="J12" s="34"/>
    </row>
    <row r="13" spans="4:10" ht="18">
      <c r="D13" s="33">
        <v>7</v>
      </c>
      <c r="E13" s="34"/>
      <c r="F13" s="35"/>
      <c r="G13" s="33"/>
      <c r="H13" s="33"/>
      <c r="I13" s="33"/>
      <c r="J13" s="34"/>
    </row>
    <row r="14" spans="4:10" ht="18">
      <c r="D14" s="33">
        <v>8</v>
      </c>
      <c r="E14" s="34"/>
      <c r="F14" s="35"/>
      <c r="G14" s="33"/>
      <c r="H14" s="33"/>
      <c r="I14" s="33"/>
      <c r="J14" s="34"/>
    </row>
    <row r="15" spans="4:10" ht="18">
      <c r="D15" s="33">
        <v>9</v>
      </c>
      <c r="E15" s="34"/>
      <c r="F15" s="35"/>
      <c r="G15" s="33"/>
      <c r="H15" s="33"/>
      <c r="I15" s="33"/>
      <c r="J15" s="34"/>
    </row>
    <row r="16" spans="4:10" ht="18">
      <c r="D16" s="33">
        <v>10</v>
      </c>
      <c r="E16" s="34"/>
      <c r="F16" s="35"/>
      <c r="G16" s="33"/>
      <c r="H16" s="33"/>
      <c r="I16" s="33"/>
      <c r="J16" s="36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K22"/>
  <sheetViews>
    <sheetView showGridLines="0" topLeftCell="A2" zoomScaleNormal="100" zoomScaleSheetLayoutView="70" workbookViewId="0">
      <pane ySplit="8" topLeftCell="A13" activePane="bottomLeft" state="frozen"/>
      <selection activeCell="B2" sqref="B2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5" t="s">
        <v>29</v>
      </c>
      <c r="B3" s="55"/>
      <c r="C3" s="55"/>
      <c r="D3" s="55"/>
      <c r="E3" s="55"/>
      <c r="F3" s="55"/>
      <c r="G3" s="55"/>
      <c r="H3" s="55"/>
      <c r="I3" s="55"/>
      <c r="J3" s="55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56" t="str">
        <f>IF(COUNTIF(Table132[Test 3],1)=COUNTA(Table132[Value]),"Ready","Not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7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7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7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8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28.8">
      <c r="A10" s="4" t="s">
        <v>43</v>
      </c>
      <c r="B10" s="27">
        <v>1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101</v>
      </c>
    </row>
    <row r="11" spans="1:10" ht="28.8">
      <c r="A11" s="4" t="s">
        <v>42</v>
      </c>
      <c r="B11" s="27">
        <v>1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58</v>
      </c>
    </row>
    <row r="12" spans="1:10" ht="28.8">
      <c r="A12" s="4" t="s">
        <v>44</v>
      </c>
      <c r="B12" s="27">
        <v>0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128</v>
      </c>
    </row>
    <row r="13" spans="1:10" ht="43.2">
      <c r="A13" s="4" t="s">
        <v>45</v>
      </c>
      <c r="B13" s="27">
        <v>0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116</v>
      </c>
    </row>
    <row r="14" spans="1:10" ht="28.8">
      <c r="A14" s="4" t="s">
        <v>46</v>
      </c>
      <c r="B14" s="27">
        <v>1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131</v>
      </c>
    </row>
    <row r="15" spans="1:10" ht="28.8">
      <c r="A15" s="4" t="s">
        <v>47</v>
      </c>
      <c r="B15" s="27">
        <v>0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100</v>
      </c>
    </row>
    <row r="16" spans="1:10" ht="28.8">
      <c r="A16" s="4" t="s">
        <v>48</v>
      </c>
      <c r="B16" s="27">
        <v>0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120</v>
      </c>
    </row>
    <row r="17" spans="1:10" ht="28.8">
      <c r="A17" s="4" t="s">
        <v>49</v>
      </c>
      <c r="B17" s="27">
        <v>0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121</v>
      </c>
    </row>
    <row r="18" spans="1:10" ht="28.8">
      <c r="A18" s="4" t="s">
        <v>50</v>
      </c>
      <c r="B18" s="27">
        <v>1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102</v>
      </c>
    </row>
    <row r="19" spans="1:10" ht="28.8">
      <c r="A19" s="4" t="s">
        <v>51</v>
      </c>
      <c r="B19" s="27">
        <v>0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123</v>
      </c>
    </row>
    <row r="20" spans="1:10" ht="28.8">
      <c r="A20" s="4" t="s">
        <v>52</v>
      </c>
      <c r="B20" s="27">
        <v>1</v>
      </c>
      <c r="C20" s="2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122</v>
      </c>
    </row>
    <row r="21" spans="1:10" ht="28.8">
      <c r="A21" s="51" t="s">
        <v>53</v>
      </c>
      <c r="B21" s="27">
        <v>0</v>
      </c>
      <c r="C21" s="52" t="s">
        <v>3</v>
      </c>
      <c r="D21" s="48" t="s">
        <v>57</v>
      </c>
      <c r="E21" s="48" t="s">
        <v>6</v>
      </c>
      <c r="F21" s="47" t="s">
        <v>39</v>
      </c>
      <c r="G21" s="48">
        <v>1</v>
      </c>
      <c r="H21" s="48">
        <v>1</v>
      </c>
      <c r="I21" s="49">
        <v>1</v>
      </c>
      <c r="J21" s="53" t="s">
        <v>133</v>
      </c>
    </row>
    <row r="22" spans="1:10" ht="14.4">
      <c r="A22" s="8" t="s">
        <v>78</v>
      </c>
      <c r="B22" s="28"/>
      <c r="C22" s="9"/>
      <c r="D22" s="10"/>
      <c r="E22" s="10"/>
      <c r="F22" s="9"/>
      <c r="G22" s="10">
        <v>1</v>
      </c>
      <c r="H22" s="10">
        <v>1</v>
      </c>
      <c r="I22" s="11">
        <v>0</v>
      </c>
      <c r="J22" s="12" t="s">
        <v>79</v>
      </c>
    </row>
  </sheetData>
  <sheetProtection algorithmName="SHA-512" hashValue="UtbAiQuLZcMg+m1ZtMjjR1Hmy5QGhTroLBlplABh7zO7Sic5TU2fNL1kNESCwnO4RDrpmL0w622ygq4ulW5J9A==" saltValue="ww1ADeWZ1K8f6ZinX7c3Dw==" spinCount="100000" sheet="1" objects="1" scenarios="1" selectLockedCells="1"/>
  <mergeCells count="2">
    <mergeCell ref="A3:J3"/>
    <mergeCell ref="J4:J8"/>
  </mergeCells>
  <phoneticPr fontId="1" type="noConversion"/>
  <conditionalFormatting sqref="B10:B22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IF(COUNTA($B$10:$B$22)&lt;&gt;COUNTIF($I$10:$I$22,1),1,0)</formula>
    </cfRule>
    <cfRule type="expression" dxfId="35" priority="1935">
      <formula>IF(COUNTA($B$10:$B$22)=COUNTIF($I$10:$I$22,1),1,0)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B15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B14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B13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B12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B11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B10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B16:B21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F10:F22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D10:D22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E10:E22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7"/>
  <sheetViews>
    <sheetView showGridLines="0" tabSelected="1" topLeftCell="A2" zoomScaleNormal="85" zoomScaleSheetLayoutView="70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5" t="s">
        <v>29</v>
      </c>
      <c r="B3" s="55"/>
      <c r="C3" s="55"/>
      <c r="D3" s="55"/>
      <c r="E3" s="55"/>
      <c r="F3" s="55"/>
      <c r="G3" s="55"/>
      <c r="H3" s="55"/>
      <c r="I3" s="55"/>
      <c r="J3" s="55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56" t="str">
        <f>IF(COUNTIF(Table13[Test 3],1)=COUNTA(Table13[Value]),"Ready","Not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7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7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7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8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129.6">
      <c r="A10" s="4" t="s">
        <v>69</v>
      </c>
      <c r="B10" s="27">
        <v>4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50" t="s">
        <v>132</v>
      </c>
    </row>
    <row r="11" spans="1:10" ht="43.2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119</v>
      </c>
    </row>
    <row r="12" spans="1:10" ht="43.2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43.2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118</v>
      </c>
    </row>
    <row r="14" spans="1:10" ht="28.8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57.6">
      <c r="A15" s="4" t="s">
        <v>86</v>
      </c>
      <c r="B15" s="27">
        <v>0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130</v>
      </c>
    </row>
    <row r="16" spans="1:10" ht="86.4">
      <c r="A16" s="4" t="s">
        <v>87</v>
      </c>
      <c r="B16" s="27">
        <v>0</v>
      </c>
      <c r="C16" s="2" t="s">
        <v>3</v>
      </c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125</v>
      </c>
    </row>
    <row r="17" spans="1:10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algorithmName="SHA-512" hashValue="+6f1ciflCuwwW+S7ffMGpKF5qpwAFj+s+MqlYCA1K6YuXyZA7szipOlzWLkHYVh9HndU3Z0KBbp8Xij+cKmJKA==" saltValue="3X1D4NTF+ly1GcmuD5x7ng==" spinCount="100000" sheet="1" objects="1" scenarios="1" selectLockedCells="1"/>
  <mergeCells count="2">
    <mergeCell ref="A3:J3"/>
    <mergeCell ref="J4:J8"/>
  </mergeCells>
  <phoneticPr fontId="1" type="noConversion"/>
  <conditionalFormatting sqref="B10:B17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IF(COUNTA($B$10:$B$17)&lt;&gt;COUNTIF($I$10:$I$17,1),1,0)</formula>
    </cfRule>
    <cfRule type="expression" dxfId="15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6C3A73A-B6B2-43B7-8595-D4931E22BD65}">
          <x14:formula1>
            <xm:f>Reference!$G$2:$G$12</xm:f>
          </x14:formula1>
          <xm:sqref>B10:B16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defaultColWidth="0" defaultRowHeight="0" customHeight="1" zeroHeight="1"/>
  <cols>
    <col min="1" max="2" width="8.77734375" style="43" customWidth="1"/>
    <col min="3" max="3" width="13.109375" style="43" customWidth="1"/>
    <col min="4" max="4" width="13.44140625" style="43" customWidth="1"/>
    <col min="5" max="6" width="8.77734375" style="43" customWidth="1"/>
    <col min="7" max="7" width="14.77734375" style="43" customWidth="1"/>
    <col min="8" max="8" width="11.6640625" style="43" customWidth="1"/>
    <col min="9" max="9" width="10.33203125" style="43" customWidth="1"/>
    <col min="10" max="10" width="5.6640625" style="43" customWidth="1"/>
    <col min="11" max="11" width="10.44140625" style="43" customWidth="1"/>
    <col min="12" max="17" width="8.77734375" style="43" customWidth="1"/>
    <col min="18" max="16384" width="8.77734375" style="43" hidden="1"/>
  </cols>
  <sheetData>
    <row r="1" spans="1:17" ht="14.4">
      <c r="A1" s="20" t="s">
        <v>129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85</v>
      </c>
    </row>
    <row r="2" spans="1:17" ht="14.4">
      <c r="A2" s="59" t="s">
        <v>113</v>
      </c>
      <c r="B2" s="60"/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  <c r="Q2" s="60"/>
    </row>
    <row r="3" spans="1:17" ht="14.4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4.4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4.4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4.4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4.4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4.4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4.4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4.4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4.4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4.4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4.4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4.4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4.4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4.4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4.4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4.4">
      <c r="A18" s="59" t="s">
        <v>114</v>
      </c>
      <c r="B18" s="60"/>
      <c r="C18" s="60"/>
      <c r="D18" s="60"/>
      <c r="E18" s="60"/>
      <c r="F18" s="60"/>
      <c r="G18" s="60"/>
      <c r="H18" s="60"/>
      <c r="I18" s="60"/>
      <c r="J18" s="60"/>
      <c r="K18" s="60"/>
      <c r="L18" s="60"/>
      <c r="M18" s="60"/>
      <c r="N18" s="60"/>
      <c r="O18" s="60"/>
      <c r="P18" s="60"/>
      <c r="Q18" s="60"/>
    </row>
    <row r="19" spans="1:17" ht="14.4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4.4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4.4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4.4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4.4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4.4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4.4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4.4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4.4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4.4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4.4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4.4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4.4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4.4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4.4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4.4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98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90</v>
      </c>
    </row>
    <row r="2" spans="1:1">
      <c r="A2" t="s">
        <v>88</v>
      </c>
    </row>
    <row r="3" spans="1:1">
      <c r="A3" t="s">
        <v>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U2"/>
  <sheetViews>
    <sheetView workbookViewId="0">
      <selection activeCell="CM2" sqref="CM2"/>
    </sheetView>
  </sheetViews>
  <sheetFormatPr defaultColWidth="8.77734375" defaultRowHeight="14.4"/>
  <sheetData>
    <row r="1" spans="1:21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53</v>
      </c>
      <c r="M1" t="s">
        <v>78</v>
      </c>
      <c r="N1" t="s">
        <v>69</v>
      </c>
      <c r="O1" t="s">
        <v>70</v>
      </c>
      <c r="P1" t="s">
        <v>71</v>
      </c>
      <c r="Q1" t="s">
        <v>72</v>
      </c>
      <c r="R1" t="s">
        <v>73</v>
      </c>
      <c r="S1" t="s">
        <v>86</v>
      </c>
      <c r="T1" t="s">
        <v>87</v>
      </c>
      <c r="U1" t="s">
        <v>78</v>
      </c>
    </row>
    <row r="2" spans="1:21">
      <c r="A2">
        <v>1</v>
      </c>
      <c r="B2">
        <v>1</v>
      </c>
      <c r="C2">
        <v>0</v>
      </c>
      <c r="D2">
        <v>0</v>
      </c>
      <c r="E2">
        <v>1</v>
      </c>
      <c r="F2">
        <v>0</v>
      </c>
      <c r="G2">
        <v>0</v>
      </c>
      <c r="H2">
        <v>0</v>
      </c>
      <c r="I2">
        <v>1</v>
      </c>
      <c r="J2">
        <v>0</v>
      </c>
      <c r="K2">
        <v>1</v>
      </c>
      <c r="L2">
        <v>0</v>
      </c>
      <c r="N2">
        <v>4</v>
      </c>
      <c r="O2">
        <v>1</v>
      </c>
      <c r="P2">
        <v>1</v>
      </c>
      <c r="Q2">
        <v>1</v>
      </c>
      <c r="R2">
        <v>0</v>
      </c>
      <c r="S2">
        <v>0</v>
      </c>
      <c r="T2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U2"/>
  <sheetViews>
    <sheetView workbookViewId="0">
      <selection activeCell="CR2" sqref="CR2"/>
    </sheetView>
  </sheetViews>
  <sheetFormatPr defaultColWidth="8.77734375" defaultRowHeight="14.4"/>
  <sheetData>
    <row r="1" spans="1:21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53</v>
      </c>
      <c r="M1" t="s">
        <v>78</v>
      </c>
      <c r="N1" t="s">
        <v>69</v>
      </c>
      <c r="O1" t="s">
        <v>70</v>
      </c>
      <c r="P1" t="s">
        <v>71</v>
      </c>
      <c r="Q1" t="s">
        <v>72</v>
      </c>
      <c r="R1" t="s">
        <v>73</v>
      </c>
      <c r="S1" t="s">
        <v>86</v>
      </c>
      <c r="T1" t="s">
        <v>87</v>
      </c>
      <c r="U1" t="s">
        <v>78</v>
      </c>
    </row>
    <row r="2" spans="1:21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0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2023-04-14T00:06:20Z</dcterms:modified>
</cp:coreProperties>
</file>