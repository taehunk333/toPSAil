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B18D4911-6C94-6047-B159-BFA2F37D531C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39" l="1"/>
  <c r="H12" i="39"/>
  <c r="I14" i="39"/>
  <c r="H14" i="39"/>
  <c r="I13" i="39" l="1"/>
  <c r="H13" i="39"/>
  <c r="H11" i="39" l="1"/>
  <c r="J4" i="39" l="1"/>
  <c r="J2" i="39"/>
  <c r="A2" i="39"/>
</calcChain>
</file>

<file path=xl/sharedStrings.xml><?xml version="1.0" encoding="utf-8"?>
<sst xmlns="http://schemas.openxmlformats.org/spreadsheetml/2006/main" count="188" uniqueCount="121">
  <si>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</si>
  <si>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</si>
  <si>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</si>
  <si>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</si>
  <si>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</si>
  <si>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</si>
  <si>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</si>
  <si>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</si>
  <si>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</si>
  <si>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</si>
  <si>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</si>
  <si>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</si>
  <si>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</si>
  <si>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</si>
  <si>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</si>
  <si>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</si>
  <si>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</si>
  <si>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</si>
  <si>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</si>
  <si>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</si>
  <si>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</si>
  <si>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</si>
  <si>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</si>
  <si>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</si>
  <si>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</si>
  <si>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</si>
  <si>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</si>
  <si>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</si>
  <si>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</si>
  <si>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</si>
  <si>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</si>
  <si>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</si>
  <si>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</si>
  <si>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</si>
  <si>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</si>
  <si>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</si>
  <si>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</si>
  <si>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</si>
  <si>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</si>
  <si>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</si>
  <si>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</si>
  <si>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</si>
  <si>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</si>
  <si>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</si>
  <si>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</si>
  <si>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</si>
  <si>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</si>
  <si>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</si>
  <si>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</si>
  <si>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</si>
  <si>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</si>
  <si>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</si>
  <si>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</si>
  <si>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</si>
  <si>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</si>
  <si>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</si>
  <si>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</si>
  <si>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</si>
  <si>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</si>
  <si>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</si>
  <si>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</si>
  <si>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</si>
  <si>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</si>
  <si>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</si>
  <si>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</si>
  <si>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</si>
  <si>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</si>
  <si>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</si>
  <si>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</si>
  <si>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</si>
  <si>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</si>
  <si>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</si>
  <si>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</si>
  <si>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</si>
  <si>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</si>
  <si>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</si>
  <si>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</si>
  <si>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</si>
  <si>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</si>
  <si>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</si>
  <si>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</si>
  <si>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</si>
  <si>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</si>
  <si>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</si>
  <si>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</si>
  <si>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</si>
  <si>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</si>
  <si>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</si>
  <si>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</si>
  <si>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</si>
  <si>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</si>
  <si>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</si>
  <si>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</si>
  <si>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</si>
  <si>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</si>
  <si>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</si>
  <si>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</si>
  <si>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</si>
  <si>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</si>
  <si>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</si>
  <si>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</si>
  <si>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</si>
  <si>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</si>
  <si>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</si>
  <si>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</si>
  <si>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</si>
  <si>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</si>
  <si>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</si>
  <si>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</si>
  <si>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</si>
  <si>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</si>
  <si>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</si>
  <si>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</si>
  <si>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</si>
  <si>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</si>
  <si>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</si>
  <si>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</si>
  <si>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</si>
  <si>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yFeTwoC1</t>
  </si>
  <si>
    <t>yFeTwoC2</t>
  </si>
  <si>
    <t>yFeC2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</si>
</sst>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  <row r="22">
          <cell r="B22">
            <v>0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117</v>
      </c>
      <c r="E4" s="47"/>
      <c r="F4" s="48"/>
      <c r="G4" s="49"/>
      <c r="H4" s="49"/>
      <c r="I4" s="49"/>
      <c r="J4" s="35" t="s">
        <v>84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112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116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113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7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73</v>
      </c>
      <c r="J9" s="28" t="s">
        <v>12</v>
      </c>
    </row>
    <row r="10" spans="1:10" ht="48" x14ac:dyDescent="0.2">
      <c r="A10" s="44" t="s">
        <v>96</v>
      </c>
      <c r="B10" s="29">
        <v>300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115</v>
      </c>
    </row>
    <row r="11" spans="1:10" ht="32" x14ac:dyDescent="0.2">
      <c r="A11" s="4" t="s">
        <v>67</v>
      </c>
      <c r="B11" s="29">
        <f>1-B12</f>
        <v>0.95499999999999996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114</v>
      </c>
    </row>
    <row r="12" spans="1:10" ht="32" x14ac:dyDescent="0.2">
      <c r="A12" s="4" t="s">
        <v>120</v>
      </c>
      <c r="B12" s="29">
        <v>4.4999999999999998E-2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114</v>
      </c>
    </row>
    <row r="13" spans="1:10" ht="32" x14ac:dyDescent="0.2">
      <c r="A13" s="44" t="s">
        <v>118</v>
      </c>
      <c r="B13" s="29"/>
      <c r="C13" s="2" t="s">
        <v>3</v>
      </c>
      <c r="D13" s="1" t="s">
        <v>23</v>
      </c>
      <c r="E13" s="1" t="s">
        <v>7</v>
      </c>
      <c r="F13" s="2" t="s">
        <v>40</v>
      </c>
      <c r="G13" s="1">
        <v>1</v>
      </c>
      <c r="H13" s="50">
        <f>[1]Initialization!$B$10</f>
        <v>2</v>
      </c>
      <c r="I13" s="6">
        <f>[2]Initialization!$B$22</f>
        <v>0</v>
      </c>
      <c r="J13" s="5" t="s">
        <v>114</v>
      </c>
    </row>
    <row r="14" spans="1:10" ht="32" x14ac:dyDescent="0.2">
      <c r="A14" s="44" t="s">
        <v>119</v>
      </c>
      <c r="B14" s="29"/>
      <c r="C14" s="2" t="s">
        <v>3</v>
      </c>
      <c r="D14" s="1" t="s">
        <v>23</v>
      </c>
      <c r="E14" s="1" t="s">
        <v>7</v>
      </c>
      <c r="F14" s="2" t="s">
        <v>40</v>
      </c>
      <c r="G14" s="1"/>
      <c r="H14" s="50">
        <f>[1]Initialization!$B$10</f>
        <v>2</v>
      </c>
      <c r="I14" s="6">
        <f>[2]Initialization!$B$22</f>
        <v>0</v>
      </c>
      <c r="J14" s="5" t="s">
        <v>114</v>
      </c>
    </row>
    <row r="15" spans="1:10" ht="16" x14ac:dyDescent="0.2">
      <c r="A15" s="44" t="s">
        <v>106</v>
      </c>
      <c r="B15" s="51">
        <v>1.98E-3</v>
      </c>
      <c r="C15" s="31" t="s">
        <v>107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108</v>
      </c>
    </row>
    <row r="16" spans="1:10" ht="16" x14ac:dyDescent="0.2">
      <c r="A16" s="44" t="s">
        <v>109</v>
      </c>
      <c r="B16" s="51">
        <v>1.4600000000000001E-7</v>
      </c>
      <c r="C16" s="31" t="s">
        <v>110</v>
      </c>
      <c r="D16" s="1" t="s">
        <v>27</v>
      </c>
      <c r="E16" s="1" t="s">
        <v>7</v>
      </c>
      <c r="F16" s="2" t="s">
        <v>48</v>
      </c>
      <c r="G16" s="1">
        <v>1</v>
      </c>
      <c r="H16" s="1">
        <v>1</v>
      </c>
      <c r="I16" s="6">
        <v>1</v>
      </c>
      <c r="J16" s="5" t="s">
        <v>111</v>
      </c>
    </row>
    <row r="17" spans="1:10" ht="16" x14ac:dyDescent="0.2">
      <c r="A17" s="8" t="s">
        <v>77</v>
      </c>
      <c r="B17" s="30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78</v>
      </c>
    </row>
  </sheetData>
  <sheetProtection algorithmName="SHA-512" hashValue="vFb7pMUdtESebi5PiKANDBb++KiDq9c9w8Zg7kUyeWqJYH8VoPMOCCQzz3VRVUfSuMq5fXVojAT4HDuF5gE0bA==" saltValue="xMjBZOpQh1Zauwq24QYVrg==" spinCount="100000" sheet="1" objects="1" scenarios="1" selectLockedCells="1"/>
  <mergeCells count="2">
    <mergeCell ref="A3:J3"/>
    <mergeCell ref="J4:J8"/>
  </mergeCells>
  <conditionalFormatting sqref="B10:B17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306">
      <formula>IF(COUNTA($B$10:$B$17)&lt;&gt;COUNTIF($I$10:$I$17,1),1,0)</formula>
    </cfRule>
    <cfRule type="expression" dxfId="15" priority="307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E10:E17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D10:D17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92</v>
      </c>
      <c r="S1" t="s">
        <v>93</v>
      </c>
      <c r="T1" t="s">
        <v>97</v>
      </c>
      <c r="U1" t="s">
        <v>98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99</v>
      </c>
    </row>
    <row r="4" spans="1:21" x14ac:dyDescent="0.2">
      <c r="A4" t="s">
        <v>81</v>
      </c>
      <c r="B4" t="s">
        <v>22</v>
      </c>
      <c r="C4" t="s">
        <v>44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100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101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102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103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104</v>
      </c>
    </row>
    <row r="9" spans="1:21" x14ac:dyDescent="0.2">
      <c r="B9" t="s">
        <v>89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105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90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95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87</v>
      </c>
    </row>
    <row r="2" spans="1:1" x14ac:dyDescent="0.2">
      <c r="A2" t="s">
        <v>85</v>
      </c>
    </row>
    <row r="3" spans="1:1" x14ac:dyDescent="0.2">
      <c r="A3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8" x14ac:dyDescent="0.2">
      <c r="A1" t="s">
        <v>96</v>
      </c>
      <c r="B1" t="s">
        <v>67</v>
      </c>
      <c r="C1" t="s">
        <v>120</v>
      </c>
      <c r="D1" t="s">
        <v>118</v>
      </c>
      <c r="E1" t="s">
        <v>119</v>
      </c>
      <c r="F1" t="s">
        <v>106</v>
      </c>
      <c r="G1" t="s">
        <v>109</v>
      </c>
      <c r="H1" t="s">
        <v>77</v>
      </c>
    </row>
    <row r="2" spans="1:8" x14ac:dyDescent="0.2">
      <c r="A2">
        <v>300</v>
      </c>
      <c r="B2">
        <v>0.95499999999999996</v>
      </c>
      <c r="C2">
        <v>4.4999999999999998E-2</v>
      </c>
      <c r="F2">
        <v>1.98E-3</v>
      </c>
      <c r="G2">
        <v>1.4600000000000001E-7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8" x14ac:dyDescent="0.2">
      <c r="A1" t="s">
        <v>96</v>
      </c>
      <c r="B1" t="s">
        <v>67</v>
      </c>
      <c r="C1" t="s">
        <v>120</v>
      </c>
      <c r="D1" t="s">
        <v>118</v>
      </c>
      <c r="E1" t="s">
        <v>119</v>
      </c>
      <c r="F1" t="s">
        <v>106</v>
      </c>
      <c r="G1" t="s">
        <v>109</v>
      </c>
      <c r="H1" t="s">
        <v>77</v>
      </c>
    </row>
    <row r="2" spans="1:8" x14ac:dyDescent="0.2">
      <c r="A2">
        <v>1</v>
      </c>
      <c r="B2">
        <v>1</v>
      </c>
      <c r="C2">
        <v>1</v>
      </c>
      <c r="D2">
        <v>0</v>
      </c>
      <c r="E2">
        <v>0</v>
      </c>
      <c r="F2">
        <v>1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2024-11-28T19:12:43Z</dcterms:modified>
</cp:coreProperties>
</file>