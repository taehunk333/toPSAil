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AE4375B8-C855-374C-846A-38208AA96554}" xr6:coauthVersionLast="47" xr6:coauthVersionMax="47" xr10:uidLastSave="{00000000-0000-0000-0000-000000000000}"/>
  <bookViews>
    <workbookView xWindow="1560" yWindow="1540" windowWidth="25900" windowHeight="1572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Kinetics'!$A$2:$J$11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7" l="1"/>
  <c r="I32" i="53" l="1"/>
  <c r="H32" i="53"/>
  <c r="I31" i="53"/>
  <c r="H31" i="53"/>
  <c r="I30" i="53"/>
  <c r="H30" i="53"/>
  <c r="H29" i="53"/>
  <c r="I29" i="53"/>
  <c r="I28" i="53"/>
  <c r="H28" i="53"/>
  <c r="I27" i="53"/>
  <c r="I26" i="53"/>
  <c r="I25" i="53"/>
  <c r="I24" i="53"/>
  <c r="I23" i="53"/>
  <c r="I22" i="53"/>
  <c r="H27" i="53"/>
  <c r="H26" i="53"/>
  <c r="H25" i="53"/>
  <c r="H24" i="53"/>
  <c r="H23" i="53"/>
  <c r="H22" i="53"/>
  <c r="I12" i="53" l="1"/>
  <c r="I11" i="53"/>
  <c r="I21" i="53" l="1"/>
  <c r="H21" i="53"/>
  <c r="I20" i="53"/>
  <c r="H20" i="53"/>
  <c r="I19" i="53"/>
  <c r="H19" i="53"/>
  <c r="I18" i="53"/>
  <c r="H18" i="53"/>
  <c r="I17" i="53"/>
  <c r="H17" i="53"/>
  <c r="I16" i="53"/>
  <c r="H16" i="53"/>
  <c r="I15" i="53"/>
  <c r="H15" i="53"/>
  <c r="I14" i="53"/>
  <c r="H14" i="53"/>
  <c r="I13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2" i="53" l="1"/>
  <c r="H13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<sst xmlns="http://schemas.openxmlformats.org/spreadsheetml/2006/main" count="479" uniqueCount="199">
  <si>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</si>
  <si>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</si>
  <si>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</si>
  <si>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</si>
  <si>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</si>
  <si>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</si>
  <si>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</si>
  <si>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</si>
  <si>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</si>
  <si>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</si>
  <si>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</si>
  <si>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</si>
  <si>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</si>
  <si>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</si>
  <si>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</si>
  <si>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</si>
  <si>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</si>
  <si>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</si>
  <si>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</si>
  <si>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</si>
  <si>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</si>
  <si>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</si>
  <si>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</si>
  <si>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</si>
  <si>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</si>
  <si>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</si>
  <si>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</si>
  <si>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</si>
  <si>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</si>
  <si>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</si>
  <si>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</si>
  <si>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</si>
  <si>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</si>
  <si>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</si>
  <si>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</si>
  <si>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</si>
  <si>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</si>
  <si>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</si>
  <si>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</si>
  <si>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</si>
  <si>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</si>
  <si>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</si>
  <si>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</si>
  <si>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</si>
  <si>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</si>
  <si>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</si>
  <si>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</si>
  <si>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</si>
  <si>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</si>
  <si>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</si>
  <si>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</si>
  <si>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</si>
  <si>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</si>
  <si>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</si>
  <si>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</si>
  <si>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</si>
  <si>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</si>
  <si>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</si>
  <si>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</si>
  <si>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</si>
  <si>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</si>
  <si>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</si>
  <si>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</si>
  <si>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</si>
  <si>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</si>
  <si>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</si>
  <si>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</si>
  <si>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</si>
  <si>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</si>
  <si>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</si>
  <si>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</si>
  <si>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</si>
  <si>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</si>
  <si>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</si>
  <si>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</si>
  <si>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</si>
  <si>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</si>
  <si>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</si>
  <si>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</si>
  <si>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</si>
  <si>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</si>
  <si>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</si>
  <si>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</si>
  <si>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</si>
  <si>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</si>
  <si>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</si>
  <si>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</si>
  <si>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</si>
  <si>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</si>
  <si>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</si>
  <si>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</si>
  <si>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</si>
  <si>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</si>
  <si>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</si>
  <si>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</si>
  <si>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</si>
  <si>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</si>
  <si>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</si>
  <si>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</si>
  <si>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</si>
  <si>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</si>
  <si>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</si>
  <si>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</si>
  <si>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</si>
  <si>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</si>
  <si>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</si>
  <si>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</si>
  <si>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</si>
  <si>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</si>
  <si>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</si>
  <si>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</si>
  <si>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</si>
  <si>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</si>
  <si>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</si>
  <si>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</si>
  <si>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</si>
  <si>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</si>
  <si>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</si>
  <si>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</si>
  <si>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</si>
  <si>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</si>
  <si>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</si>
  <si>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</si>
  <si>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</si>
  <si>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</si>
  <si>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</si>
  <si>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</si>
  <si>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</si>
  <si>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</si>
  <si>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</si>
  <si>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</si>
  <si>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</si>
  <si>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</si>
  <si>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</si>
  <si>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</si>
  <si>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</si>
  <si>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</si>
  <si>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</si>
  <si>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</si>
  <si>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</si>
  <si>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</si>
  <si>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</si>
  <si>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</si>
  <si>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</si>
  <si>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</si>
  <si>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</si>
  <si>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</si>
  <si>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</si>
  <si>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</si>
  <si>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</si>
  <si>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</si>
  <si>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</si>
  <si>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</si>
  <si>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</si>
  <si>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</si>
  <si>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mol/kg-bar</t>
  </si>
  <si>
    <t>1/bar</t>
  </si>
  <si>
    <t>mol/kg</t>
  </si>
  <si>
    <t>Please provide the reference temperature for adsorption isotherm measurement.</t>
  </si>
  <si>
    <t>KC1</t>
  </si>
  <si>
    <t>aC1</t>
  </si>
  <si>
    <t>kOneC1</t>
  </si>
  <si>
    <t>kTwoC1</t>
  </si>
  <si>
    <t>kThrC1</t>
  </si>
  <si>
    <t>kFouC1</t>
  </si>
  <si>
    <t>kFivC1</t>
  </si>
  <si>
    <t>kSixC1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</si>
  <si>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</si>
  <si>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</si>
  <si>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</si>
  <si>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</si>
  <si>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</si>
  <si>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</si>
  <si>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</si>
  <si>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</si>
  <si>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</si>
  <si>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</si>
  <si>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</si>
  <si>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</si>
  <si>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</si>
  <si>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</si>
  <si>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</si>
  <si>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qSatSiteTwoC1</t>
  </si>
  <si>
    <t>[Dual-site Langmuir-Freundlich isotherm] The saturation capacity constant for the 1st adsorbate at the 2nd adsorption site</t>
  </si>
  <si>
    <t>bSiteOneC1</t>
  </si>
  <si>
    <t>[Dual-site Langmuir-Freundlich isotherm] The adsorption affinity constant for the 1st adsorbate at the 1st adsorption site</t>
  </si>
  <si>
    <t>bSiteTwoC1</t>
  </si>
  <si>
    <t>[Dual-site Langmuir-Freundlich isotherm] The adsorption affinity constant for the 1st adsorbate at the 2nd adsorption site</t>
  </si>
  <si>
    <t>nSiteOneC1</t>
  </si>
  <si>
    <t>[Dual-site Langmuir-Freundlich isotherm] The exponent for the 1st adsorbate at the 1st adsorption site</t>
  </si>
  <si>
    <t>nSiteTwoC1</t>
  </si>
  <si>
    <t>[Dual-site Langmuir-Freundlich isotherm] The exponent for the 1st adsorbate at the 2nd adsorption site</t>
  </si>
  <si>
    <t>[Toth isotherm]
n_s,i (T) = n_s0 e^[Chi(T0/T-1)]
Saturation concentration for the 1st adsorbate</t>
  </si>
  <si>
    <t>kmol/kg</t>
  </si>
  <si>
    <t>b0C1</t>
  </si>
  <si>
    <t>ChiC1</t>
  </si>
  <si>
    <t>t0C1</t>
  </si>
  <si>
    <t>alphaC1</t>
  </si>
  <si>
    <t>nS0C1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</si>
</sst>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91882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29765" y="1184087"/>
          <a:ext cx="47819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7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>
      <calculatedColumnFormula>0.0008*100</calculatedColumnFormula>
    </tableColumn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0" dataDxfId="98" headerRowBorderDxfId="99" tableBorderDxfId="97" totalsRowBorderDxfId="96">
  <autoFilter ref="A9:J13" xr:uid="{B089C5C3-2CCE-4800-96CA-2131BB6E3E4F}"/>
  <tableColumns count="10">
    <tableColumn id="1" xr3:uid="{20310A95-CEA4-0E46-A375-D38774A1331C}" name="Variable" dataDxfId="95"/>
    <tableColumn id="4" xr3:uid="{677D6E7A-ABBB-7F47-BEBA-202C00329494}" name="Value" dataDxfId="94"/>
    <tableColumn id="5" xr3:uid="{4C9D6E28-38C2-434B-8F96-F002277F8DF6}" name="Unit" dataDxfId="93"/>
    <tableColumn id="6" xr3:uid="{14421855-DDE0-1B4F-9E2F-0DCEAE184349}" name="Comparisons" dataDxfId="92"/>
    <tableColumn id="7" xr3:uid="{B52A6C11-F701-BB42-BCC5-C034770E9DBB}" name="Variable Type" dataDxfId="91"/>
    <tableColumn id="8" xr3:uid="{7995AC5C-141D-1241-85F4-ED670AA6D852}" name="Dependency" dataDxfId="90"/>
    <tableColumn id="12" xr3:uid="{36F66342-4897-3D48-B96B-71B0734889A5}" name="Test 1" dataDxfId="89"/>
    <tableColumn id="10" xr3:uid="{7FE5DC9B-6534-0E47-9DE7-3B926E4C9E93}" name="Test 2" dataDxfId="88"/>
    <tableColumn id="2" xr3:uid="{B9967632-3249-EA4A-A375-C9085B3EE56A}" name="Test 3" dataDxfId="87"/>
    <tableColumn id="9" xr3:uid="{A656D5B2-43BE-D144-B69B-B013AE6BC6D4}" name="Description" dataDxfId="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29F8658A-9F09-7042-A7EC-353D08C08D34}" name="Variable" dataDxfId="75"/>
    <tableColumn id="4" xr3:uid="{0AC5C09B-7B5C-9640-A6C7-5BA8E05A9F0D}" name="Value" dataDxfId="74"/>
    <tableColumn id="5" xr3:uid="{4A165AEE-D3E0-DB4C-9890-DA2D18843B58}" name="Unit" dataDxfId="73"/>
    <tableColumn id="6" xr3:uid="{23F62B44-EB3B-FD48-85F1-55541D28F146}" name="Comparisons" dataDxfId="72"/>
    <tableColumn id="7" xr3:uid="{24641755-61AF-6C44-A79C-0EC6F77B3090}" name="Variable Type" dataDxfId="71"/>
    <tableColumn id="8" xr3:uid="{8EB70C81-0937-1548-8A36-195915CD1F99}" name="Dependency" dataDxfId="70"/>
    <tableColumn id="12" xr3:uid="{636C1BEE-1088-1842-B84F-652A0A7EFF6A}" name="Test 1" dataDxfId="69"/>
    <tableColumn id="10" xr3:uid="{611EFDE4-0DDB-044D-8690-A970063DA108}" name="Test 2" dataDxfId="68"/>
    <tableColumn id="2" xr3:uid="{2E2B9EE9-BE3C-354D-8E63-B39DE80C44A0}" name="Test 3" dataDxfId="67"/>
    <tableColumn id="9" xr3:uid="{F8DFB1CD-985B-4E45-BA3D-DD47F4100DAE}" name="Description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57" dataDxfId="55" headerRowBorderDxfId="56" tableBorderDxfId="54" totalsRowBorderDxfId="53">
  <autoFilter ref="A9:J33" xr:uid="{B089C5C3-2CCE-4800-96CA-2131BB6E3E4F}"/>
  <tableColumns count="10">
    <tableColumn id="1" xr3:uid="{281F5226-2025-4C6E-999C-A8F575CB206B}" name="Variable" dataDxfId="52"/>
    <tableColumn id="4" xr3:uid="{907AC290-8B5F-4AFA-8DCB-C690B3734F6B}" name="Value" dataDxfId="51"/>
    <tableColumn id="5" xr3:uid="{76BE4CFE-05C6-43DC-A13C-4BFE2A2E4F38}" name="Unit" dataDxfId="50"/>
    <tableColumn id="6" xr3:uid="{8061F981-FF76-4C8B-B572-12CB713F43CB}" name="Comparisons" dataDxfId="49"/>
    <tableColumn id="7" xr3:uid="{2BCD4B9F-F682-4298-A3AA-A5F92D2263C4}" name="Variable Type" dataDxfId="48"/>
    <tableColumn id="8" xr3:uid="{1CC9FBBF-69F8-429A-814B-71DBAFF37359}" name="Dependency" dataDxfId="47"/>
    <tableColumn id="12" xr3:uid="{D2543F4F-0C85-4145-B5BB-64C7DAAA0F12}" name="Test 1" dataDxfId="46"/>
    <tableColumn id="10" xr3:uid="{4C9832B7-0AD2-4777-AAFC-C60DE2F7DA3B}" name="Test 2" dataDxfId="45"/>
    <tableColumn id="2" xr3:uid="{E95041DF-C927-4C37-AF74-78F291F45F62}" name="Test 3" dataDxfId="44"/>
    <tableColumn id="9" xr3:uid="{F7EA5B65-C16E-4E6D-B23B-ACC0E861E56F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1" totalsRowShown="0" headerRowDxfId="37" dataDxfId="35" headerRowBorderDxfId="36" tableBorderDxfId="34" totalsRowBorderDxfId="33">
  <autoFilter ref="A9:J11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6640625" style="36" customWidth="1"/>
    <col min="5" max="5" width="51.33203125" style="37" bestFit="1" customWidth="1"/>
    <col min="6" max="6" width="15.6640625" style="38" bestFit="1" customWidth="1"/>
    <col min="7" max="9" width="13.33203125" style="36" customWidth="1"/>
    <col min="10" max="10" width="48.66406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151</v>
      </c>
      <c r="E4" s="52"/>
      <c r="F4" s="53"/>
      <c r="G4" s="54"/>
      <c r="H4" s="54"/>
      <c r="I4" s="54"/>
      <c r="J4" s="39" t="s">
        <v>93</v>
      </c>
    </row>
    <row r="5" spans="4:10" ht="40" x14ac:dyDescent="0.2">
      <c r="D5" s="60" t="s">
        <v>39</v>
      </c>
      <c r="E5" s="60"/>
      <c r="F5" s="60"/>
      <c r="G5" s="60"/>
      <c r="H5" s="60"/>
      <c r="I5" s="60"/>
      <c r="J5" s="60"/>
    </row>
    <row r="6" spans="4:10" ht="20" x14ac:dyDescent="0.2">
      <c r="D6" s="45" t="s">
        <v>33</v>
      </c>
      <c r="E6" s="45" t="s">
        <v>148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153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149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75</v>
      </c>
      <c r="F1" t="s">
        <v>76</v>
      </c>
      <c r="G1" s="1" t="s">
        <v>77</v>
      </c>
      <c r="H1" s="1" t="s">
        <v>78</v>
      </c>
      <c r="I1" s="1" t="s">
        <v>79</v>
      </c>
      <c r="J1" s="7" t="s">
        <v>81</v>
      </c>
      <c r="K1" s="7" t="s">
        <v>6</v>
      </c>
      <c r="L1" t="s">
        <v>91</v>
      </c>
      <c r="M1" t="s">
        <v>87</v>
      </c>
      <c r="N1" t="s">
        <v>88</v>
      </c>
      <c r="O1" t="s">
        <v>92</v>
      </c>
      <c r="P1" t="s">
        <v>97</v>
      </c>
      <c r="Q1" t="s">
        <v>118</v>
      </c>
      <c r="R1" t="s">
        <v>126</v>
      </c>
      <c r="S1" t="s">
        <v>127</v>
      </c>
      <c r="T1" t="s">
        <v>137</v>
      </c>
      <c r="U1" t="s">
        <v>138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139</v>
      </c>
    </row>
    <row r="4" spans="1:21" x14ac:dyDescent="0.2">
      <c r="A4" t="s">
        <v>90</v>
      </c>
      <c r="B4" t="s">
        <v>24</v>
      </c>
      <c r="C4" t="s">
        <v>46</v>
      </c>
      <c r="D4" t="s">
        <v>84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144</v>
      </c>
    </row>
    <row r="9" spans="1:21" x14ac:dyDescent="0.2">
      <c r="B9" t="s">
        <v>98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135</v>
      </c>
    </row>
    <row r="12" spans="1:21" x14ac:dyDescent="0.2">
      <c r="B12" t="s">
        <v>99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IF(COUNTIF(Table1931213142[Test 3],1)=COUNTA(Table1931213142[Value]),"Ready","Not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146</v>
      </c>
      <c r="B10" s="33">
        <v>7.9000000000000001E-2</v>
      </c>
      <c r="C10" s="2" t="s">
        <v>73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147</v>
      </c>
    </row>
    <row r="11" spans="1:10" ht="16" x14ac:dyDescent="0.2">
      <c r="A11" s="8" t="s">
        <v>85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86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1" priority="7">
      <formula>IF(AND($B11&lt;&gt;"",$I11=0),1,0)</formula>
    </cfRule>
    <cfRule type="expression" dxfId="130" priority="8">
      <formula>IF($B11&lt;&gt;"",1,0)</formula>
    </cfRule>
    <cfRule type="expression" dxfId="129" priority="9">
      <formula>$I11=0</formula>
    </cfRule>
  </conditionalFormatting>
  <conditionalFormatting sqref="B10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IF(COUNTIF(Table1931213143[Test 3],1)=COUNTA(Table1931213143[Value]),"Ready","Not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80" x14ac:dyDescent="0.2">
      <c r="A10" s="4" t="s">
        <v>119</v>
      </c>
      <c r="B10" s="33">
        <v>2</v>
      </c>
      <c r="C10" s="2" t="s">
        <v>3</v>
      </c>
      <c r="D10" s="1" t="s">
        <v>24</v>
      </c>
      <c r="E10" s="1" t="s">
        <v>90</v>
      </c>
      <c r="F10" s="2" t="s">
        <v>42</v>
      </c>
      <c r="G10" s="1">
        <v>1</v>
      </c>
      <c r="H10" s="1">
        <v>1</v>
      </c>
      <c r="I10" s="6">
        <v>1</v>
      </c>
      <c r="J10" s="5" t="s">
        <v>130</v>
      </c>
    </row>
    <row r="11" spans="1:10" ht="16" x14ac:dyDescent="0.2">
      <c r="A11" s="4" t="s">
        <v>133</v>
      </c>
      <c r="B11" s="33">
        <v>0.53</v>
      </c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1</v>
      </c>
      <c r="J11" s="5" t="s">
        <v>131</v>
      </c>
    </row>
    <row r="12" spans="1:10" ht="16" x14ac:dyDescent="0.2">
      <c r="A12" s="4" t="s">
        <v>134</v>
      </c>
      <c r="B12" s="33">
        <f>1-B11</f>
        <v>0.47</v>
      </c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1</v>
      </c>
      <c r="J12" s="5" t="s">
        <v>132</v>
      </c>
    </row>
    <row r="13" spans="1:10" ht="16" x14ac:dyDescent="0.2">
      <c r="A13" s="8" t="s">
        <v>85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86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08" priority="7">
      <formula>IF(AND($B11&lt;&gt;"",$I11=0),1,0)</formula>
    </cfRule>
    <cfRule type="expression" dxfId="107" priority="8">
      <formula>IF($B11&lt;&gt;"",1,0)</formula>
    </cfRule>
    <cfRule type="expression" dxfId="106" priority="9">
      <formula>$I11=0</formula>
    </cfRule>
  </conditionalFormatting>
  <conditionalFormatting sqref="B10">
    <cfRule type="expression" dxfId="105" priority="1">
      <formula>IF(AND($B10&lt;&gt;"",$I10=0),1,0)</formula>
    </cfRule>
    <cfRule type="expression" dxfId="104" priority="2">
      <formula>IF($B10&lt;&gt;"",1,0)</formula>
    </cfRule>
    <cfRule type="expression" dxfId="103" priority="3">
      <formula>$I10=0</formula>
    </cfRule>
  </conditionalFormatting>
  <conditionalFormatting sqref="J4">
    <cfRule type="expression" dxfId="102" priority="2058">
      <formula>IF(COUNTA($B$10:$B$13)&lt;&gt;COUNTIF($I$10:$I$13,1),1,0)</formula>
    </cfRule>
    <cfRule type="expression" dxfId="101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IF(COUNTIF(Table1931213144[Test 3],1)=COUNTA(Table1931213144[Value]),"Ready","Not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66</v>
      </c>
      <c r="B10" s="59">
        <v>2.32E-3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117</v>
      </c>
    </row>
    <row r="11" spans="1:10" ht="32" x14ac:dyDescent="0.2">
      <c r="A11" s="4" t="s">
        <v>67</v>
      </c>
      <c r="B11" s="59">
        <v>1.101E-3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89</v>
      </c>
    </row>
    <row r="12" spans="1:10" ht="16" x14ac:dyDescent="0.2">
      <c r="A12" s="8" t="s">
        <v>85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86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85" priority="7">
      <formula>IF(AND($B10&lt;&gt;"",$I10=0),1,0)</formula>
    </cfRule>
    <cfRule type="expression" dxfId="84" priority="8">
      <formula>IF($B10&lt;&gt;"",1,0)</formula>
    </cfRule>
    <cfRule type="expression" dxfId="83" priority="9">
      <formula>$I10=0</formula>
    </cfRule>
  </conditionalFormatting>
  <conditionalFormatting sqref="J4">
    <cfRule type="expression" dxfId="82" priority="2062">
      <formula>IF(COUNTA($B$10:$B$12)&lt;&gt;COUNTIF($I$10:$I$12,1),1,0)</formula>
    </cfRule>
    <cfRule type="expression" dxfId="81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53"/>
  <sheetViews>
    <sheetView showGridLines="0" tabSelected="1" topLeftCell="A2" zoomScale="85" zoomScaleNormal="85" zoomScaleSheetLayoutView="85" workbookViewId="0">
      <pane ySplit="8" topLeftCell="A23" activePane="bottomLeft" state="frozen"/>
      <selection activeCell="A10" sqref="A10:J10"/>
      <selection pane="bottomLeft" activeCell="B11" sqref="B11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IF(COUNTIF(Table193121314[Test 3],1)=COUNTA(Table193121314[Value]),"Ready","Not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129</v>
      </c>
      <c r="B10" s="33">
        <v>300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158</v>
      </c>
    </row>
    <row r="11" spans="1:10" ht="98" x14ac:dyDescent="0.2">
      <c r="A11" s="46" t="s">
        <v>154</v>
      </c>
      <c r="B11" s="33"/>
      <c r="C11" s="35" t="s">
        <v>155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1</v>
      </c>
      <c r="I11" s="44">
        <f>IF('[2]Model Selection'!$B$10=1,1,0)</f>
        <v>0</v>
      </c>
      <c r="J11" s="5" t="s">
        <v>168</v>
      </c>
    </row>
    <row r="12" spans="1:10" ht="50" x14ac:dyDescent="0.2">
      <c r="A12" s="4" t="s">
        <v>71</v>
      </c>
      <c r="B12" s="33"/>
      <c r="C12" s="35" t="s">
        <v>157</v>
      </c>
      <c r="D12" s="1" t="s">
        <v>24</v>
      </c>
      <c r="E12" s="1" t="s">
        <v>7</v>
      </c>
      <c r="F12" s="2" t="s">
        <v>5</v>
      </c>
      <c r="G12" s="1">
        <v>1</v>
      </c>
      <c r="H12" s="55">
        <f>[1]Initialization!$B$10</f>
        <v>1</v>
      </c>
      <c r="I12" s="44">
        <f>IF(OR('[2]Model Selection'!$B$10=2,'[2]Model Selection'!$B$10=3),1,0)</f>
        <v>0</v>
      </c>
      <c r="J12" s="5" t="s">
        <v>176</v>
      </c>
    </row>
    <row r="13" spans="1:10" ht="66" x14ac:dyDescent="0.2">
      <c r="A13" s="4" t="s">
        <v>72</v>
      </c>
      <c r="B13" s="33"/>
      <c r="C13" s="2" t="s">
        <v>156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1</v>
      </c>
      <c r="I13" s="44">
        <f>IF('[2]Model Selection'!$B$10=2,1,0)</f>
        <v>0</v>
      </c>
      <c r="J13" s="5" t="s">
        <v>169</v>
      </c>
    </row>
    <row r="14" spans="1:10" ht="98" x14ac:dyDescent="0.2">
      <c r="A14" s="46" t="s">
        <v>159</v>
      </c>
      <c r="B14" s="33"/>
      <c r="C14" s="35" t="s">
        <v>156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1</v>
      </c>
      <c r="I14" s="44">
        <f>IF('[2]Model Selection'!$B$10=3,1,0)</f>
        <v>0</v>
      </c>
      <c r="J14" s="5" t="s">
        <v>170</v>
      </c>
    </row>
    <row r="15" spans="1:10" ht="50" x14ac:dyDescent="0.2">
      <c r="A15" s="46" t="s">
        <v>160</v>
      </c>
      <c r="B15" s="33"/>
      <c r="C15" s="35" t="s">
        <v>3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1</v>
      </c>
      <c r="I15" s="44">
        <f>IF('[2]Model Selection'!$B$10=3,1,0)</f>
        <v>0</v>
      </c>
      <c r="J15" s="5" t="s">
        <v>171</v>
      </c>
    </row>
    <row r="16" spans="1:10" ht="66" x14ac:dyDescent="0.2">
      <c r="A16" s="46" t="s">
        <v>161</v>
      </c>
      <c r="B16" s="33"/>
      <c r="C16" s="35" t="s">
        <v>157</v>
      </c>
      <c r="D16" s="1" t="s">
        <v>24</v>
      </c>
      <c r="E16" s="1" t="s">
        <v>7</v>
      </c>
      <c r="F16" s="2" t="s">
        <v>5</v>
      </c>
      <c r="G16" s="1">
        <v>1</v>
      </c>
      <c r="H16" s="55">
        <f>[1]Initialization!$B$10</f>
        <v>1</v>
      </c>
      <c r="I16" s="44">
        <f>IF('[2]Model Selection'!$B$10=4,1,0)</f>
        <v>0</v>
      </c>
      <c r="J16" s="5" t="s">
        <v>172</v>
      </c>
    </row>
    <row r="17" spans="1:10" ht="66" x14ac:dyDescent="0.2">
      <c r="A17" s="46" t="s">
        <v>162</v>
      </c>
      <c r="B17" s="33"/>
      <c r="C17" s="35" t="s">
        <v>167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1</v>
      </c>
      <c r="I17" s="44">
        <f>IF('[2]Model Selection'!$B$10=4,1,0)</f>
        <v>0</v>
      </c>
      <c r="J17" s="5" t="s">
        <v>173</v>
      </c>
    </row>
    <row r="18" spans="1:10" ht="66" x14ac:dyDescent="0.2">
      <c r="A18" s="46" t="s">
        <v>163</v>
      </c>
      <c r="B18" s="33"/>
      <c r="C18" s="35" t="s">
        <v>177</v>
      </c>
      <c r="D18" s="1" t="s">
        <v>24</v>
      </c>
      <c r="E18" s="1" t="s">
        <v>7</v>
      </c>
      <c r="F18" s="2" t="s">
        <v>5</v>
      </c>
      <c r="G18" s="1">
        <v>1</v>
      </c>
      <c r="H18" s="55">
        <f>[1]Initialization!$B$10</f>
        <v>1</v>
      </c>
      <c r="I18" s="44">
        <f>IF('[2]Model Selection'!$B$10=4,1,0)</f>
        <v>0</v>
      </c>
      <c r="J18" s="5" t="s">
        <v>174</v>
      </c>
    </row>
    <row r="19" spans="1:10" ht="66" x14ac:dyDescent="0.2">
      <c r="A19" s="46" t="s">
        <v>164</v>
      </c>
      <c r="B19" s="33"/>
      <c r="C19" s="35" t="s">
        <v>20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1</v>
      </c>
      <c r="I19" s="44">
        <f>IF('[2]Model Selection'!$B$10=4,1,0)</f>
        <v>0</v>
      </c>
      <c r="J19" s="5" t="s">
        <v>175</v>
      </c>
    </row>
    <row r="20" spans="1:10" ht="98" x14ac:dyDescent="0.2">
      <c r="A20" s="46" t="s">
        <v>165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1</v>
      </c>
      <c r="I20" s="44">
        <f>IF('[2]Model Selection'!$B$10=4,1,0)</f>
        <v>0</v>
      </c>
      <c r="J20" s="5" t="s">
        <v>178</v>
      </c>
    </row>
    <row r="21" spans="1:10" ht="66" x14ac:dyDescent="0.2">
      <c r="A21" s="46" t="s">
        <v>166</v>
      </c>
      <c r="B21" s="33"/>
      <c r="C21" s="35" t="s">
        <v>20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1</v>
      </c>
      <c r="I21" s="44">
        <f>IF('[2]Model Selection'!$B$10=4,1,0)</f>
        <v>0</v>
      </c>
      <c r="J21" s="5" t="s">
        <v>179</v>
      </c>
    </row>
    <row r="22" spans="1:10" ht="48" x14ac:dyDescent="0.2">
      <c r="A22" s="56" t="s">
        <v>180</v>
      </c>
      <c r="B22" s="57"/>
      <c r="C22" s="35" t="s">
        <v>157</v>
      </c>
      <c r="D22" s="1" t="s">
        <v>24</v>
      </c>
      <c r="E22" s="1" t="s">
        <v>11</v>
      </c>
      <c r="F22" s="2" t="s">
        <v>5</v>
      </c>
      <c r="G22" s="1">
        <v>1</v>
      </c>
      <c r="H22" s="55">
        <f>[1]Initialization!$B$10</f>
        <v>1</v>
      </c>
      <c r="I22" s="44">
        <f>IF(OR('[2]Model Selection'!$B$10=5,'[2]Model Selection'!$B$10=6),1,0)</f>
        <v>0</v>
      </c>
      <c r="J22" s="58" t="s">
        <v>181</v>
      </c>
    </row>
    <row r="23" spans="1:10" ht="48" x14ac:dyDescent="0.2">
      <c r="A23" s="56" t="s">
        <v>182</v>
      </c>
      <c r="B23" s="57"/>
      <c r="C23" s="35" t="s">
        <v>157</v>
      </c>
      <c r="D23" s="1" t="s">
        <v>24</v>
      </c>
      <c r="E23" s="1" t="s">
        <v>11</v>
      </c>
      <c r="F23" s="2" t="s">
        <v>5</v>
      </c>
      <c r="G23" s="1">
        <v>1</v>
      </c>
      <c r="H23" s="55">
        <f>[1]Initialization!$B$10</f>
        <v>1</v>
      </c>
      <c r="I23" s="44">
        <f>IF(OR('[2]Model Selection'!$B$10=5,'[2]Model Selection'!$B$10=6),1,0)</f>
        <v>0</v>
      </c>
      <c r="J23" s="58" t="s">
        <v>183</v>
      </c>
    </row>
    <row r="24" spans="1:10" ht="48" x14ac:dyDescent="0.2">
      <c r="A24" s="56" t="s">
        <v>184</v>
      </c>
      <c r="B24" s="57"/>
      <c r="C24" s="35" t="s">
        <v>156</v>
      </c>
      <c r="D24" s="1" t="s">
        <v>24</v>
      </c>
      <c r="E24" s="1" t="s">
        <v>11</v>
      </c>
      <c r="F24" s="2" t="s">
        <v>5</v>
      </c>
      <c r="G24" s="1">
        <v>1</v>
      </c>
      <c r="H24" s="55">
        <f>[1]Initialization!$B$10</f>
        <v>1</v>
      </c>
      <c r="I24" s="44">
        <f>IF(OR('[2]Model Selection'!$B$10=5,'[2]Model Selection'!$B$10=6),1,0)</f>
        <v>0</v>
      </c>
      <c r="J24" s="58" t="s">
        <v>185</v>
      </c>
    </row>
    <row r="25" spans="1:10" ht="48" x14ac:dyDescent="0.2">
      <c r="A25" s="56" t="s">
        <v>186</v>
      </c>
      <c r="B25" s="57"/>
      <c r="C25" s="35" t="s">
        <v>156</v>
      </c>
      <c r="D25" s="1" t="s">
        <v>24</v>
      </c>
      <c r="E25" s="1" t="s">
        <v>11</v>
      </c>
      <c r="F25" s="2" t="s">
        <v>5</v>
      </c>
      <c r="G25" s="1">
        <v>1</v>
      </c>
      <c r="H25" s="55">
        <f>[1]Initialization!$B$10</f>
        <v>1</v>
      </c>
      <c r="I25" s="44">
        <f>IF(OR('[2]Model Selection'!$B$10=5,'[2]Model Selection'!$B$10=6),1,0)</f>
        <v>0</v>
      </c>
      <c r="J25" s="58" t="s">
        <v>187</v>
      </c>
    </row>
    <row r="26" spans="1:10" ht="32" x14ac:dyDescent="0.2">
      <c r="A26" s="56" t="s">
        <v>188</v>
      </c>
      <c r="B26" s="57"/>
      <c r="C26" s="35" t="s">
        <v>3</v>
      </c>
      <c r="D26" s="1" t="s">
        <v>24</v>
      </c>
      <c r="E26" s="1" t="s">
        <v>11</v>
      </c>
      <c r="F26" s="2" t="s">
        <v>5</v>
      </c>
      <c r="G26" s="1">
        <v>1</v>
      </c>
      <c r="H26" s="55">
        <f>[1]Initialization!$B$10</f>
        <v>1</v>
      </c>
      <c r="I26" s="44">
        <f>IF(OR('[2]Model Selection'!$B$10=5,'[2]Model Selection'!$B$10=6),1,0)</f>
        <v>0</v>
      </c>
      <c r="J26" s="58" t="s">
        <v>189</v>
      </c>
    </row>
    <row r="27" spans="1:10" ht="32" x14ac:dyDescent="0.2">
      <c r="A27" s="56" t="s">
        <v>190</v>
      </c>
      <c r="B27" s="57"/>
      <c r="C27" s="35" t="s">
        <v>3</v>
      </c>
      <c r="D27" s="1" t="s">
        <v>24</v>
      </c>
      <c r="E27" s="1" t="s">
        <v>11</v>
      </c>
      <c r="F27" s="2" t="s">
        <v>5</v>
      </c>
      <c r="G27" s="1">
        <v>1</v>
      </c>
      <c r="H27" s="55">
        <f>[1]Initialization!$B$10</f>
        <v>1</v>
      </c>
      <c r="I27" s="44">
        <f>IF(OR('[2]Model Selection'!$B$10=5,'[2]Model Selection'!$B$10=6),1,0)</f>
        <v>0</v>
      </c>
      <c r="J27" s="58" t="s">
        <v>191</v>
      </c>
    </row>
    <row r="28" spans="1:10" ht="48" x14ac:dyDescent="0.2">
      <c r="A28" s="46" t="s">
        <v>198</v>
      </c>
      <c r="B28" s="59">
        <v>8.6199999999999992E-3</v>
      </c>
      <c r="C28" s="35" t="s">
        <v>193</v>
      </c>
      <c r="D28" s="1" t="s">
        <v>24</v>
      </c>
      <c r="E28" s="1" t="s">
        <v>11</v>
      </c>
      <c r="F28" s="2" t="s">
        <v>5</v>
      </c>
      <c r="G28" s="1">
        <v>1</v>
      </c>
      <c r="H28" s="55">
        <f>[1]Initialization!$B$10</f>
        <v>1</v>
      </c>
      <c r="I28" s="44">
        <f>IF('[2]Model Selection'!$B$10=7,1,0)</f>
        <v>1</v>
      </c>
      <c r="J28" s="5" t="s">
        <v>192</v>
      </c>
    </row>
    <row r="29" spans="1:10" ht="48" x14ac:dyDescent="0.2">
      <c r="A29" s="46" t="s">
        <v>195</v>
      </c>
      <c r="B29" s="33">
        <v>1</v>
      </c>
      <c r="C29" s="35" t="s">
        <v>3</v>
      </c>
      <c r="D29" s="1" t="s">
        <v>24</v>
      </c>
      <c r="E29" s="1" t="s">
        <v>11</v>
      </c>
      <c r="F29" s="2" t="s">
        <v>5</v>
      </c>
      <c r="G29" s="1">
        <v>1</v>
      </c>
      <c r="H29" s="55">
        <f>[1]Initialization!$B$10</f>
        <v>1</v>
      </c>
      <c r="I29" s="44">
        <f>IF('[2]Model Selection'!$B$10=7,1,0)</f>
        <v>1</v>
      </c>
      <c r="J29" s="5" t="s">
        <v>192</v>
      </c>
    </row>
    <row r="30" spans="1:10" ht="48" x14ac:dyDescent="0.2">
      <c r="A30" s="46" t="s">
        <v>194</v>
      </c>
      <c r="B30" s="59">
        <v>1.45E-4</v>
      </c>
      <c r="C30" s="35" t="s">
        <v>156</v>
      </c>
      <c r="D30" s="1" t="s">
        <v>24</v>
      </c>
      <c r="E30" s="1" t="s">
        <v>11</v>
      </c>
      <c r="F30" s="2" t="s">
        <v>5</v>
      </c>
      <c r="G30" s="1">
        <v>1</v>
      </c>
      <c r="H30" s="55">
        <f>[1]Initialization!$B$10</f>
        <v>1</v>
      </c>
      <c r="I30" s="44">
        <f>IF('[2]Model Selection'!$B$10=7,1,0)</f>
        <v>1</v>
      </c>
      <c r="J30" s="5" t="s">
        <v>192</v>
      </c>
    </row>
    <row r="31" spans="1:10" ht="48" x14ac:dyDescent="0.2">
      <c r="A31" s="46" t="s">
        <v>196</v>
      </c>
      <c r="B31" s="33">
        <v>0.30099999999999999</v>
      </c>
      <c r="C31" s="35" t="s">
        <v>3</v>
      </c>
      <c r="D31" s="1" t="s">
        <v>24</v>
      </c>
      <c r="E31" s="1" t="s">
        <v>11</v>
      </c>
      <c r="F31" s="2" t="s">
        <v>5</v>
      </c>
      <c r="G31" s="1">
        <v>1</v>
      </c>
      <c r="H31" s="55">
        <f>[1]Initialization!$B$10</f>
        <v>1</v>
      </c>
      <c r="I31" s="44">
        <f>IF('[2]Model Selection'!$B$10=7,1,0)</f>
        <v>1</v>
      </c>
      <c r="J31" s="5" t="s">
        <v>192</v>
      </c>
    </row>
    <row r="32" spans="1:10" ht="48" x14ac:dyDescent="0.2">
      <c r="A32" s="46" t="s">
        <v>197</v>
      </c>
      <c r="B32" s="33">
        <v>1</v>
      </c>
      <c r="C32" s="35" t="s">
        <v>3</v>
      </c>
      <c r="D32" s="1" t="s">
        <v>24</v>
      </c>
      <c r="E32" s="1" t="s">
        <v>11</v>
      </c>
      <c r="F32" s="2" t="s">
        <v>5</v>
      </c>
      <c r="G32" s="1">
        <v>1</v>
      </c>
      <c r="H32" s="55">
        <f>[1]Initialization!$B$10</f>
        <v>1</v>
      </c>
      <c r="I32" s="44">
        <f>IF('[2]Model Selection'!$B$10=7,1,0)</f>
        <v>1</v>
      </c>
      <c r="J32" s="5" t="s">
        <v>192</v>
      </c>
    </row>
    <row r="33" spans="1:10" ht="16" x14ac:dyDescent="0.2">
      <c r="A33" s="8" t="s">
        <v>85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86</v>
      </c>
    </row>
    <row r="34" spans="1:10" ht="14.75" hidden="1" customHeight="1" x14ac:dyDescent="0.2"/>
    <row r="35" spans="1:10" ht="14.75" hidden="1" customHeight="1" x14ac:dyDescent="0.2"/>
    <row r="36" spans="1:10" ht="14.75" hidden="1" customHeight="1" x14ac:dyDescent="0.2"/>
    <row r="37" spans="1:10" ht="14.75" hidden="1" customHeight="1" x14ac:dyDescent="0.2"/>
    <row r="38" spans="1:10" ht="14.75" hidden="1" customHeight="1" x14ac:dyDescent="0.2"/>
    <row r="39" spans="1:10" ht="14.75" hidden="1" customHeight="1" x14ac:dyDescent="0.2"/>
    <row r="40" spans="1:10" ht="14.75" hidden="1" customHeight="1" x14ac:dyDescent="0.2"/>
    <row r="41" spans="1:10" ht="14.75" hidden="1" customHeight="1" x14ac:dyDescent="0.2"/>
    <row r="42" spans="1:10" ht="14.75" hidden="1" customHeight="1" x14ac:dyDescent="0.2"/>
    <row r="43" spans="1:10" ht="14.75" hidden="1" customHeight="1" x14ac:dyDescent="0.2"/>
    <row r="44" spans="1:10" ht="14.75" hidden="1" customHeight="1" x14ac:dyDescent="0.2"/>
    <row r="45" spans="1:10" ht="14.75" hidden="1" customHeight="1" x14ac:dyDescent="0.2"/>
    <row r="46" spans="1:10" ht="14.75" hidden="1" customHeight="1" x14ac:dyDescent="0.2"/>
    <row r="47" spans="1:10" ht="14.75" hidden="1" customHeight="1" x14ac:dyDescent="0.2"/>
    <row r="48" spans="1:10" ht="14.75" hidden="1" customHeight="1" x14ac:dyDescent="0.2"/>
    <row r="49" ht="14.75" hidden="1" customHeight="1" x14ac:dyDescent="0.2"/>
    <row r="50" ht="14.75" hidden="1" customHeight="1" x14ac:dyDescent="0.2"/>
    <row r="51" ht="14.75" hidden="1" customHeight="1" x14ac:dyDescent="0.2"/>
    <row r="52" ht="14.75" hidden="1" customHeight="1" x14ac:dyDescent="0.2"/>
    <row r="53" ht="14.75" hidden="1" customHeight="1" x14ac:dyDescent="0.2"/>
  </sheetData>
  <sheetProtection algorithmName="SHA-512" hashValue="5k3TuqoWpV4eniJPh8dcpG4HpWSuRCidLQ49E52+61tlDQSA4Gu6HierjThFzWP3e3MSqeX2JG3ruM2mZhI2iA==" saltValue="XuJpOLQVX79ziTejTmP3Jw==" spinCount="100000" sheet="1" objects="1" scenarios="1" selectLockedCells="1"/>
  <mergeCells count="2">
    <mergeCell ref="A3:J3"/>
    <mergeCell ref="J4:J8"/>
  </mergeCells>
  <conditionalFormatting sqref="B10:B33">
    <cfRule type="expression" dxfId="65" priority="82">
      <formula>IF(AND($B10&lt;&gt;"",$I10=0),1,0)</formula>
    </cfRule>
    <cfRule type="expression" dxfId="64" priority="83">
      <formula>IF($B10&lt;&gt;"",1,0)</formula>
    </cfRule>
    <cfRule type="expression" dxfId="63" priority="84">
      <formula>$I10=0</formula>
    </cfRule>
  </conditionalFormatting>
  <conditionalFormatting sqref="B10">
    <cfRule type="expression" dxfId="62" priority="70">
      <formula>IF(AND($B10&lt;&gt;"",$I10=0),1,0)</formula>
    </cfRule>
    <cfRule type="expression" dxfId="61" priority="71">
      <formula>IF($B10&lt;&gt;"",1,0)</formula>
    </cfRule>
    <cfRule type="expression" dxfId="60" priority="72">
      <formula>$I10=0</formula>
    </cfRule>
  </conditionalFormatting>
  <conditionalFormatting sqref="J4">
    <cfRule type="expression" dxfId="59" priority="3790">
      <formula>IF(COUNTA($B$10:$B$33)&lt;&gt;COUNTIF($I$10:$I$33,1),1,0)</formula>
    </cfRule>
    <cfRule type="expression" dxfId="58" priority="3791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zoomScaleNormal="100" zoomScaleSheetLayoutView="85" workbookViewId="0">
      <pane ySplit="9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IF(COUNTIF(Table19312131415[Test 3],1)=COUNTA(Table19312131415[Value]),"Ready","Not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82</v>
      </c>
      <c r="B10" s="33">
        <v>0.1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1</v>
      </c>
      <c r="I10" s="6">
        <v>1</v>
      </c>
      <c r="J10" s="5" t="s">
        <v>74</v>
      </c>
    </row>
    <row r="11" spans="1:10" ht="16" x14ac:dyDescent="0.2">
      <c r="A11" s="8" t="s">
        <v>85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86</v>
      </c>
    </row>
    <row r="12" spans="1:10" ht="14.75" hidden="1" customHeight="1" x14ac:dyDescent="0.2"/>
    <row r="13" spans="1:10" ht="14.75" hidden="1" customHeight="1" x14ac:dyDescent="0.2"/>
  </sheetData>
  <sheetProtection selectLockedCells="1"/>
  <mergeCells count="2">
    <mergeCell ref="A3:J3"/>
    <mergeCell ref="J4:J8"/>
  </mergeCells>
  <conditionalFormatting sqref="B10:B11">
    <cfRule type="expression" dxfId="42" priority="13">
      <formula>IF(AND($B10&lt;&gt;"",$I10=0),1,0)</formula>
    </cfRule>
    <cfRule type="expression" dxfId="41" priority="14">
      <formula>IF($B10&lt;&gt;"",1,0)</formula>
    </cfRule>
    <cfRule type="expression" dxfId="40" priority="15">
      <formula>$I10=0</formula>
    </cfRule>
  </conditionalFormatting>
  <conditionalFormatting sqref="J4">
    <cfRule type="expression" dxfId="39" priority="3814">
      <formula>IF(COUNTA($B$10:$B$11)&lt;&gt;COUNTIF($I$10:$I$11,1),1,0)</formula>
    </cfRule>
    <cfRule type="expression" dxfId="38" priority="381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D10:D11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F10:F11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IF(COUNTIF(Table1931213141516[Test 3],1)=COUNTA(Table1931213141516[Value]),"Ready","Not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124</v>
      </c>
      <c r="B10" s="33"/>
      <c r="C10" s="35" t="s">
        <v>128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125</v>
      </c>
    </row>
    <row r="11" spans="1:10" ht="16" x14ac:dyDescent="0.2">
      <c r="A11" s="8" t="s">
        <v>85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86</v>
      </c>
    </row>
  </sheetData>
  <sheetProtection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topLeftCell="A21" zoomScaleNormal="100" zoomScaleSheetLayoutView="55" workbookViewId="0">
      <selection activeCell="C53" sqref="C53"/>
    </sheetView>
  </sheetViews>
  <sheetFormatPr baseColWidth="10" defaultColWidth="0" defaultRowHeight="14.75" customHeight="1" zeroHeight="1" x14ac:dyDescent="0.2"/>
  <cols>
    <col min="1" max="2" width="8.6640625" style="48" customWidth="1"/>
    <col min="3" max="3" width="13.1640625" style="48" customWidth="1"/>
    <col min="4" max="4" width="13.5" style="48" customWidth="1"/>
    <col min="5" max="7" width="8.6640625" style="48" customWidth="1"/>
    <col min="8" max="8" width="14.66406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6640625" style="48" customWidth="1"/>
    <col min="13" max="18" width="8.6640625" style="48" customWidth="1"/>
    <col min="19" max="48" width="0" style="48" hidden="1" customWidth="1"/>
    <col min="49" max="16384" width="8.6640625" style="48" hidden="1"/>
  </cols>
  <sheetData>
    <row r="1" spans="1:18" ht="14.75" customHeight="1" x14ac:dyDescent="0.2">
      <c r="A1" s="26" t="s">
        <v>152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93</v>
      </c>
    </row>
    <row r="2" spans="1:18" ht="15" x14ac:dyDescent="0.2">
      <c r="A2" s="65" t="s">
        <v>100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104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106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101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102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108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109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113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114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107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103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150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110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112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111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116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120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121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122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123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3" sqref="A3"/>
    </sheetView>
  </sheetViews>
  <sheetFormatPr baseColWidth="10" defaultColWidth="8.6640625" defaultRowHeight="15" x14ac:dyDescent="0.2"/>
  <sheetData>
    <row r="1" spans="1:1" x14ac:dyDescent="0.2">
      <c r="A1" t="s">
        <v>96</v>
      </c>
    </row>
    <row r="2" spans="1:1" x14ac:dyDescent="0.2">
      <c r="A2" t="s">
        <v>94</v>
      </c>
    </row>
    <row r="3" spans="1:1" x14ac:dyDescent="0.2">
      <c r="A3" t="s">
        <v>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K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37" x14ac:dyDescent="0.2">
      <c r="A1" t="s">
        <v>146</v>
      </c>
      <c r="B1" t="s">
        <v>85</v>
      </c>
      <c r="C1" t="s">
        <v>119</v>
      </c>
      <c r="D1" t="s">
        <v>133</v>
      </c>
      <c r="E1" t="s">
        <v>134</v>
      </c>
      <c r="F1" t="s">
        <v>85</v>
      </c>
      <c r="G1" t="s">
        <v>66</v>
      </c>
      <c r="H1" t="s">
        <v>67</v>
      </c>
      <c r="I1" t="s">
        <v>85</v>
      </c>
      <c r="J1" t="s">
        <v>129</v>
      </c>
      <c r="K1" t="s">
        <v>154</v>
      </c>
      <c r="L1" t="s">
        <v>71</v>
      </c>
      <c r="M1" t="s">
        <v>72</v>
      </c>
      <c r="N1" t="s">
        <v>159</v>
      </c>
      <c r="O1" t="s">
        <v>160</v>
      </c>
      <c r="P1" t="s">
        <v>161</v>
      </c>
      <c r="Q1" t="s">
        <v>162</v>
      </c>
      <c r="R1" t="s">
        <v>163</v>
      </c>
      <c r="S1" t="s">
        <v>164</v>
      </c>
      <c r="T1" t="s">
        <v>165</v>
      </c>
      <c r="U1" t="s">
        <v>166</v>
      </c>
      <c r="V1" t="s">
        <v>180</v>
      </c>
      <c r="W1" t="s">
        <v>182</v>
      </c>
      <c r="X1" t="s">
        <v>184</v>
      </c>
      <c r="Y1" t="s">
        <v>186</v>
      </c>
      <c r="Z1" t="s">
        <v>188</v>
      </c>
      <c r="AA1" t="s">
        <v>190</v>
      </c>
      <c r="AB1" t="s">
        <v>198</v>
      </c>
      <c r="AC1" t="s">
        <v>195</v>
      </c>
      <c r="AD1" t="s">
        <v>194</v>
      </c>
      <c r="AE1" t="s">
        <v>196</v>
      </c>
      <c r="AF1" t="s">
        <v>197</v>
      </c>
      <c r="AG1" t="s">
        <v>85</v>
      </c>
      <c r="AH1" t="s">
        <v>82</v>
      </c>
      <c r="AI1" t="s">
        <v>85</v>
      </c>
      <c r="AJ1" t="s">
        <v>124</v>
      </c>
      <c r="AK1" t="s">
        <v>85</v>
      </c>
    </row>
    <row r="2" spans="1:37" x14ac:dyDescent="0.2">
      <c r="A2">
        <v>7.9000000000000001E-2</v>
      </c>
      <c r="C2">
        <v>2</v>
      </c>
      <c r="D2">
        <v>0.53</v>
      </c>
      <c r="E2">
        <v>0.47</v>
      </c>
      <c r="G2">
        <v>2.32E-3</v>
      </c>
      <c r="H2">
        <v>1.101E-3</v>
      </c>
      <c r="J2">
        <v>300</v>
      </c>
      <c r="AB2">
        <v>8.6199999999999992E-3</v>
      </c>
      <c r="AC2">
        <v>1</v>
      </c>
      <c r="AD2">
        <v>1.45E-4</v>
      </c>
      <c r="AE2">
        <v>0.30099999999999999</v>
      </c>
      <c r="AF2">
        <v>1</v>
      </c>
      <c r="AH2">
        <v>0.1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K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37" x14ac:dyDescent="0.2">
      <c r="A1" t="s">
        <v>146</v>
      </c>
      <c r="B1" t="s">
        <v>85</v>
      </c>
      <c r="C1" t="s">
        <v>119</v>
      </c>
      <c r="D1" t="s">
        <v>133</v>
      </c>
      <c r="E1" t="s">
        <v>134</v>
      </c>
      <c r="F1" t="s">
        <v>85</v>
      </c>
      <c r="G1" t="s">
        <v>66</v>
      </c>
      <c r="H1" t="s">
        <v>67</v>
      </c>
      <c r="I1" t="s">
        <v>85</v>
      </c>
      <c r="J1" t="s">
        <v>129</v>
      </c>
      <c r="K1" t="s">
        <v>154</v>
      </c>
      <c r="L1" t="s">
        <v>71</v>
      </c>
      <c r="M1" t="s">
        <v>72</v>
      </c>
      <c r="N1" t="s">
        <v>159</v>
      </c>
      <c r="O1" t="s">
        <v>160</v>
      </c>
      <c r="P1" t="s">
        <v>161</v>
      </c>
      <c r="Q1" t="s">
        <v>162</v>
      </c>
      <c r="R1" t="s">
        <v>163</v>
      </c>
      <c r="S1" t="s">
        <v>164</v>
      </c>
      <c r="T1" t="s">
        <v>165</v>
      </c>
      <c r="U1" t="s">
        <v>166</v>
      </c>
      <c r="V1" t="s">
        <v>180</v>
      </c>
      <c r="W1" t="s">
        <v>182</v>
      </c>
      <c r="X1" t="s">
        <v>184</v>
      </c>
      <c r="Y1" t="s">
        <v>186</v>
      </c>
      <c r="Z1" t="s">
        <v>188</v>
      </c>
      <c r="AA1" t="s">
        <v>190</v>
      </c>
      <c r="AB1" t="s">
        <v>198</v>
      </c>
      <c r="AC1" t="s">
        <v>195</v>
      </c>
      <c r="AD1" t="s">
        <v>194</v>
      </c>
      <c r="AE1" t="s">
        <v>196</v>
      </c>
      <c r="AF1" t="s">
        <v>197</v>
      </c>
      <c r="AG1" t="s">
        <v>85</v>
      </c>
      <c r="AH1" t="s">
        <v>82</v>
      </c>
      <c r="AI1" t="s">
        <v>85</v>
      </c>
      <c r="AJ1" t="s">
        <v>124</v>
      </c>
      <c r="AK1" t="s">
        <v>85</v>
      </c>
    </row>
    <row r="2" spans="1:37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0</v>
      </c>
      <c r="AJ2">
        <v>0</v>
      </c>
      <c r="AK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2024-11-28T04:14:04Z</dcterms:modified>
</cp:coreProperties>
</file>