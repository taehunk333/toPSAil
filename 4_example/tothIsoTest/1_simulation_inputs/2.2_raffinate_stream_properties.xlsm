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C6316740-4CE3-624D-A368-92BFCF587DF7}" xr6:coauthVersionLast="47" xr6:coauthVersionMax="47" xr10:uidLastSave="{00000000-0000-0000-0000-000000000000}"/>
  <bookViews>
    <workbookView xWindow="0" yWindow="88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<sst xmlns="http://schemas.openxmlformats.org/spreadsheetml/2006/main" count="148" uniqueCount="110">
  <si>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</si>
  <si>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</si>
  <si>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</si>
  <si>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</si>
  <si>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</si>
  <si>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</si>
  <si>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</si>
  <si>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</si>
  <si>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</si>
  <si>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</si>
  <si>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</si>
  <si>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</si>
  <si>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</si>
  <si>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</si>
  <si>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</si>
  <si>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</si>
  <si>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</si>
  <si>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</si>
  <si>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</si>
  <si>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</si>
  <si>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</si>
  <si>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</si>
  <si>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</si>
  <si>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</si>
  <si>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</si>
  <si>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</si>
  <si>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</si>
  <si>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</si>
  <si>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</si>
  <si>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</si>
  <si>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</si>
  <si>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</si>
  <si>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</si>
  <si>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</si>
  <si>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</si>
  <si>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</si>
  <si>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</si>
  <si>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</si>
  <si>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</si>
  <si>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</si>
  <si>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</si>
  <si>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</si>
  <si>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</si>
  <si>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</si>
  <si>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</si>
  <si>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</si>
  <si>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</si>
  <si>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</si>
  <si>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</si>
  <si>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</si>
  <si>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</si>
  <si>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</si>
  <si>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</si>
  <si>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</si>
  <si>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</si>
  <si>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</si>
  <si>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</si>
  <si>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</si>
  <si>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</si>
  <si>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</si>
  <si>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</si>
  <si>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</si>
  <si>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</si>
  <si>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</si>
  <si>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</si>
  <si>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</si>
  <si>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</si>
  <si>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</si>
  <si>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</si>
  <si>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</si>
  <si>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</si>
  <si>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</si>
  <si>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</si>
  <si>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</si>
  <si>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</si>
  <si>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</si>
  <si>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</si>
  <si>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</si>
  <si>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</si>
  <si>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</si>
  <si>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</si>
  <si>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</si>
  <si>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</si>
  <si>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</si>
  <si>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</si>
  <si>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</si>
  <si>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</si>
  <si>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</si>
  <si>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</si>
  <si>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</si>
  <si>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</si>
  <si>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</si>
  <si>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</si>
  <si>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</si>
  <si>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</si>
  <si>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</si>
  <si>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</si>
  <si>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</si>
  <si>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</si>
  <si>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</si>
  <si>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</si>
  <si>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</si>
  <si>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</si>
  <si>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</si>
  <si>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</si>
  <si>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</si>
  <si>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</si>
  <si>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</si>
  <si>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</si>
  <si>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yRaC2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</si>
</sst>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2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22" dataDxfId="20" headerRowBorderDxfId="21" tableBorderDxfId="19" totalsRowBorderDxfId="18">
  <autoFilter ref="A9:J12" xr:uid="{B089C5C3-2CCE-4800-96CA-2131BB6E3E4F}"/>
  <tableColumns count="10">
    <tableColumn id="1" xr3:uid="{8CA72147-4D79-4652-A9E9-87D51653DA84}" name="Variable" dataDxfId="17"/>
    <tableColumn id="4" xr3:uid="{E819EB63-CB5D-404C-B2BA-29FF258DB4F8}" name="Value" dataDxfId="16"/>
    <tableColumn id="5" xr3:uid="{1794E572-D285-47C1-B741-27E454FDF4FD}" name="Unit" dataDxfId="15"/>
    <tableColumn id="6" xr3:uid="{7F8A147E-F024-4089-965F-D6A02CD18DC6}" name="Comparisons" dataDxfId="14"/>
    <tableColumn id="7" xr3:uid="{59037F64-D8B7-466E-B9B6-97F14C2CBDD9}" name="Variable Type" dataDxfId="13"/>
    <tableColumn id="8" xr3:uid="{B3A5DFE8-8D61-4FFC-837B-F606356A99BD}" name="Dependency" dataDxfId="12"/>
    <tableColumn id="12" xr3:uid="{6C20D82D-93BB-42A1-A91B-759FC99CBE8C}" name="Test 1" dataDxfId="11"/>
    <tableColumn id="10" xr3:uid="{87C7F8B7-5A99-489D-AB7E-B6E5697C481A}" name="Test 2" dataDxfId="10"/>
    <tableColumn id="2" xr3:uid="{55413903-6AA5-4148-81F3-1F6AD647C108}" name="Test 3" dataDxfId="9"/>
    <tableColumn id="9" xr3:uid="{48D67C6B-2FDE-4718-AF32-11DEAACCFD0C}" name="Description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0" hidden="1" customWidth="1"/>
    <col min="3" max="3" width="2.5" style="30" customWidth="1"/>
    <col min="4" max="4" width="13.6640625" style="30" customWidth="1"/>
    <col min="5" max="5" width="51.33203125" style="31" bestFit="1" customWidth="1"/>
    <col min="6" max="6" width="15.6640625" style="32" bestFit="1" customWidth="1"/>
    <col min="7" max="9" width="13.33203125" style="30" customWidth="1"/>
    <col min="10" max="10" width="48.6640625" style="30" customWidth="1"/>
    <col min="11" max="11" width="2.5" style="30" customWidth="1"/>
    <col min="12" max="12" width="0" style="30" hidden="1" customWidth="1"/>
    <col min="13" max="16384" width="9" style="30" hidden="1"/>
  </cols>
  <sheetData>
    <row r="3" spans="4:10" x14ac:dyDescent="0.2"/>
    <row r="4" spans="4:10" ht="19" x14ac:dyDescent="0.25">
      <c r="D4" s="43" t="s">
        <v>107</v>
      </c>
      <c r="E4" s="44"/>
      <c r="F4" s="45"/>
      <c r="G4" s="46"/>
      <c r="H4" s="46"/>
      <c r="I4" s="46"/>
      <c r="J4" s="33" t="s">
        <v>82</v>
      </c>
    </row>
    <row r="5" spans="4:10" ht="40" x14ac:dyDescent="0.2">
      <c r="D5" s="48" t="s">
        <v>36</v>
      </c>
      <c r="E5" s="48"/>
      <c r="F5" s="48"/>
      <c r="G5" s="48"/>
      <c r="H5" s="48"/>
      <c r="I5" s="48"/>
      <c r="J5" s="48"/>
    </row>
    <row r="6" spans="4:10" ht="20" x14ac:dyDescent="0.2">
      <c r="D6" s="41" t="s">
        <v>30</v>
      </c>
      <c r="E6" s="41" t="s">
        <v>104</v>
      </c>
      <c r="F6" s="41" t="s">
        <v>31</v>
      </c>
      <c r="G6" s="41" t="s">
        <v>32</v>
      </c>
      <c r="H6" s="41" t="s">
        <v>33</v>
      </c>
      <c r="I6" s="41" t="s">
        <v>34</v>
      </c>
      <c r="J6" s="41" t="s">
        <v>35</v>
      </c>
    </row>
    <row r="7" spans="4:10" ht="60" x14ac:dyDescent="0.2">
      <c r="D7" s="34">
        <v>1</v>
      </c>
      <c r="E7" s="35" t="s">
        <v>106</v>
      </c>
      <c r="F7" s="36">
        <v>44720</v>
      </c>
      <c r="G7" s="34" t="s">
        <v>37</v>
      </c>
      <c r="H7" s="34"/>
      <c r="I7" s="34"/>
      <c r="J7" s="35"/>
    </row>
    <row r="8" spans="4:10" ht="40" x14ac:dyDescent="0.2">
      <c r="D8" s="34">
        <v>2</v>
      </c>
      <c r="E8" s="35" t="s">
        <v>105</v>
      </c>
      <c r="F8" s="36">
        <v>44818</v>
      </c>
      <c r="G8" s="34" t="s">
        <v>37</v>
      </c>
      <c r="H8" s="34"/>
      <c r="I8" s="34"/>
      <c r="J8" s="35"/>
    </row>
    <row r="9" spans="4:10" ht="19" x14ac:dyDescent="0.2">
      <c r="D9" s="34">
        <v>3</v>
      </c>
      <c r="E9" s="35"/>
      <c r="F9" s="36"/>
      <c r="G9" s="34"/>
      <c r="H9" s="34"/>
      <c r="I9" s="34"/>
      <c r="J9" s="35"/>
    </row>
    <row r="10" spans="4:10" ht="19" x14ac:dyDescent="0.2">
      <c r="D10" s="34">
        <v>4</v>
      </c>
      <c r="E10" s="35"/>
      <c r="F10" s="36"/>
      <c r="G10" s="34"/>
      <c r="H10" s="34"/>
      <c r="I10" s="34"/>
      <c r="J10" s="35"/>
    </row>
    <row r="11" spans="4:10" ht="19" x14ac:dyDescent="0.2">
      <c r="D11" s="34">
        <v>5</v>
      </c>
      <c r="E11" s="35"/>
      <c r="F11" s="36"/>
      <c r="G11" s="34"/>
      <c r="H11" s="34"/>
      <c r="I11" s="34"/>
      <c r="J11" s="35"/>
    </row>
    <row r="12" spans="4:10" ht="19" x14ac:dyDescent="0.2">
      <c r="D12" s="34">
        <v>6</v>
      </c>
      <c r="E12" s="35"/>
      <c r="F12" s="36"/>
      <c r="G12" s="34"/>
      <c r="H12" s="34"/>
      <c r="I12" s="34"/>
      <c r="J12" s="35"/>
    </row>
    <row r="13" spans="4:10" ht="19" x14ac:dyDescent="0.2">
      <c r="D13" s="34">
        <v>7</v>
      </c>
      <c r="E13" s="35"/>
      <c r="F13" s="36"/>
      <c r="G13" s="34"/>
      <c r="H13" s="34"/>
      <c r="I13" s="34"/>
      <c r="J13" s="35"/>
    </row>
    <row r="14" spans="4:10" ht="19" x14ac:dyDescent="0.2">
      <c r="D14" s="34">
        <v>8</v>
      </c>
      <c r="E14" s="35"/>
      <c r="F14" s="36"/>
      <c r="G14" s="34"/>
      <c r="H14" s="34"/>
      <c r="I14" s="34"/>
      <c r="J14" s="35"/>
    </row>
    <row r="15" spans="4:10" ht="19" x14ac:dyDescent="0.2">
      <c r="D15" s="34">
        <v>9</v>
      </c>
      <c r="E15" s="35"/>
      <c r="F15" s="36"/>
      <c r="G15" s="34"/>
      <c r="H15" s="34"/>
      <c r="I15" s="34"/>
      <c r="J15" s="35"/>
    </row>
    <row r="16" spans="4:10" ht="19" x14ac:dyDescent="0.2">
      <c r="D16" s="34">
        <v>10</v>
      </c>
      <c r="E16" s="35"/>
      <c r="F16" s="36"/>
      <c r="G16" s="34"/>
      <c r="H16" s="34"/>
      <c r="I16" s="34"/>
      <c r="J16" s="37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4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5" sqref="B15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8" t="str">
        <f>'Revision History'!$D$4</f>
        <v>REV. NO.2 (9/14/2022)</v>
      </c>
      <c r="B2" s="39"/>
      <c r="C2" s="39"/>
      <c r="D2" s="39"/>
      <c r="E2" s="39"/>
      <c r="F2" s="39"/>
      <c r="G2" s="39"/>
      <c r="H2" s="39"/>
      <c r="I2" s="39"/>
      <c r="J2" s="40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1"/>
    </row>
    <row r="6" spans="1:10" ht="14.7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1"/>
    </row>
    <row r="7" spans="1:10" ht="14.7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1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7">
        <f>[1]Initialization!$B$10</f>
        <v>2</v>
      </c>
      <c r="I10" s="6">
        <v>1</v>
      </c>
      <c r="J10" s="5" t="s">
        <v>108</v>
      </c>
    </row>
    <row r="11" spans="1:10" ht="48" x14ac:dyDescent="0.2">
      <c r="A11" s="4" t="s">
        <v>109</v>
      </c>
      <c r="B11" s="29">
        <v>0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7">
        <f>[1]Initialization!$B$10</f>
        <v>2</v>
      </c>
      <c r="I11" s="6">
        <v>1</v>
      </c>
      <c r="J11" s="5" t="s">
        <v>108</v>
      </c>
    </row>
    <row r="12" spans="1:10" ht="16" x14ac:dyDescent="0.2">
      <c r="A12" s="8" t="s">
        <v>75</v>
      </c>
      <c r="B12" s="29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  <row r="13" spans="1:10" ht="14.75" hidden="1" customHeight="1" x14ac:dyDescent="0.2"/>
    <row r="14" spans="1:10" ht="14.75" hidden="1" customHeight="1" x14ac:dyDescent="0.2"/>
  </sheetData>
  <sheetProtection algorithmName="SHA-512" hashValue="zkjH0FVHGIfgkx5F/aEpf6M3QCch1V4L8FqG8TzK6nB1xrxLd0ay0CXk4zPooXGRaqboFEvb9p0GIyVq2VBvFw==" saltValue="VMZ9G4q8hUlPuhm0t1KfUw==" spinCount="100000" sheet="1" objects="1" scenarios="1" selectLockedCells="1"/>
  <mergeCells count="2">
    <mergeCell ref="A3:J3"/>
    <mergeCell ref="J4:J8"/>
  </mergeCells>
  <conditionalFormatting sqref="B10:B11">
    <cfRule type="expression" dxfId="7" priority="10">
      <formula>IF(AND($B10&lt;&gt;"",$I10=0),1,0)</formula>
    </cfRule>
    <cfRule type="expression" dxfId="6" priority="11">
      <formula>IF($B10&lt;&gt;"",1,0)</formula>
    </cfRule>
    <cfRule type="expression" dxfId="5" priority="12">
      <formula>$I10=0</formula>
    </cfRule>
  </conditionalFormatting>
  <conditionalFormatting sqref="B12">
    <cfRule type="expression" dxfId="4" priority="137">
      <formula>IF(AND($B12&lt;&gt;"",#REF!=0),1,0)</formula>
    </cfRule>
    <cfRule type="expression" dxfId="3" priority="138">
      <formula>IF($B12&lt;&gt;"",1,0)</formula>
    </cfRule>
    <cfRule type="expression" dxfId="2" priority="139">
      <formula>#REF!=0</formula>
    </cfRule>
  </conditionalFormatting>
  <conditionalFormatting sqref="J4">
    <cfRule type="expression" dxfId="1" priority="203">
      <formula>IF(COUNTA($B$10:$B$12)&lt;&gt;COUNTIF($I$10:$I$12,1),1,0)</formula>
    </cfRule>
    <cfRule type="expression" dxfId="0" priority="20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zoomScale="99" workbookViewId="0">
      <selection activeCell="CM2" sqref="CM2"/>
    </sheetView>
  </sheetViews>
  <sheetFormatPr baseColWidth="10" defaultColWidth="8.6640625" defaultRowHeight="15" x14ac:dyDescent="0.2"/>
  <sheetData>
    <row r="1" spans="1:3" x14ac:dyDescent="0.2">
      <c r="A1" t="s">
        <v>92</v>
      </c>
      <c r="B1" t="s">
        <v>109</v>
      </c>
      <c r="C1" t="s">
        <v>75</v>
      </c>
    </row>
    <row r="2" spans="1:3" x14ac:dyDescent="0.2">
      <c r="A2">
        <v>1</v>
      </c>
      <c r="B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3" x14ac:dyDescent="0.2">
      <c r="A1" t="s">
        <v>92</v>
      </c>
      <c r="B1" t="s">
        <v>109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2024-11-28T16:11:58Z</dcterms:modified>
</cp:coreProperties>
</file>