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2DFC087F-17D4-E84B-AB54-AA699FCC94E7}" xr6:coauthVersionLast="47" xr6:coauthVersionMax="47" xr10:uidLastSave="{00000000-0000-0000-0000-000000000000}"/>
  <bookViews>
    <workbookView xWindow="3120" yWindow="880" windowWidth="21600" windowHeight="1418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I11" i="44"/>
  <c r="H11" i="44"/>
  <c r="H13" i="44"/>
  <c r="H15" i="44"/>
  <c r="H17" i="44"/>
  <c r="H11" i="48"/>
  <c r="H13" i="40"/>
  <c r="H10" i="48" l="1"/>
  <c r="J4" i="48"/>
  <c r="J2" i="48"/>
  <c r="A2" i="48"/>
  <c r="I10" i="44"/>
  <c r="H16" i="44" l="1"/>
  <c r="H14" i="44"/>
  <c r="H12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<sst xmlns="http://schemas.openxmlformats.org/spreadsheetml/2006/main" count="285" uniqueCount="140">
  <si>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</si>
  <si>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</si>
  <si>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</si>
  <si>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</si>
  <si>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</si>
  <si>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</si>
  <si>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</si>
  <si>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</si>
  <si>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</si>
  <si>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</si>
  <si>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</si>
  <si>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</si>
  <si>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</si>
  <si>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</si>
  <si>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</si>
  <si>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</si>
  <si>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</si>
  <si>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</si>
  <si>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</si>
  <si>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</si>
  <si>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</si>
  <si>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</si>
  <si>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</si>
  <si>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</si>
  <si>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</si>
  <si>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</si>
  <si>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</si>
  <si>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</si>
  <si>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</si>
  <si>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</si>
  <si>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</si>
  <si>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</si>
  <si>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</si>
  <si>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</si>
  <si>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</si>
  <si>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</si>
  <si>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</si>
  <si>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</si>
  <si>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</si>
  <si>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</si>
  <si>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</si>
  <si>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</si>
  <si>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</si>
  <si>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</si>
  <si>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</si>
  <si>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</si>
  <si>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</si>
  <si>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</si>
  <si>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</si>
  <si>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</si>
  <si>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</si>
  <si>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</si>
  <si>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</si>
  <si>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</si>
  <si>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</si>
  <si>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</si>
  <si>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</si>
  <si>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</si>
  <si>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</si>
  <si>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</si>
  <si>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</si>
  <si>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</si>
  <si>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</si>
  <si>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</si>
  <si>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</si>
  <si>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</si>
  <si>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</si>
  <si>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</si>
  <si>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</si>
  <si>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</si>
  <si>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</si>
  <si>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</si>
  <si>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</si>
  <si>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</si>
  <si>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</si>
  <si>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</si>
  <si>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</si>
  <si>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</si>
  <si>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</si>
  <si>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</si>
  <si>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</si>
  <si>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</si>
  <si>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</si>
  <si>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</si>
  <si>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</si>
  <si>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</si>
  <si>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</si>
  <si>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</si>
  <si>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</si>
  <si>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</si>
  <si>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</si>
  <si>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</si>
  <si>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</si>
  <si>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</si>
  <si>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</si>
  <si>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</si>
  <si>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</si>
  <si>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</si>
  <si>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</si>
  <si>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</si>
  <si>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</si>
  <si>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</si>
  <si>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</si>
  <si>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htCapCvC1</t>
  </si>
  <si>
    <t>The compressibility factor of component i at the feed composition and temperature.</t>
  </si>
  <si>
    <t>compFacC1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</si>
  <si>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</si>
  <si>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</si>
  <si>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</si>
  <si>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</si>
  <si>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</si>
  <si>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</si>
  <si>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</si>
  <si>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</si>
  <si>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</si>
  <si>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</si>
  <si>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</si>
  <si>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</si>
  <si>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</si>
  <si>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</si>
  <si>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</si>
  <si>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</si>
  <si>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</si>
  <si>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</si>
  <si>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</si>
  <si>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</si>
  <si>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</si>
  <si>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</si>
  <si>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</si>
  <si>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</si>
  <si>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</si>
  <si>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</si>
  <si>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CO2</t>
  </si>
  <si>
    <t>sCom2</t>
  </si>
  <si>
    <t>N2</t>
  </si>
  <si>
    <t>molecWtC2</t>
  </si>
  <si>
    <t>compFacC2</t>
  </si>
  <si>
    <t>htCapCvC2</t>
  </si>
  <si>
    <t>htCapCpC2</t>
  </si>
  <si>
    <t>isoStHtC2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</si>
</sst>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u/>
      <sz val="11"/>
      <color theme="1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5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54" dataDxfId="52" headerRowBorderDxfId="53" tableBorderDxfId="51" totalsRowBorderDxfId="50">
  <autoFilter ref="A9:J14" xr:uid="{B089C5C3-2CCE-4800-96CA-2131BB6E3E4F}"/>
  <tableColumns count="10">
    <tableColumn id="1" xr3:uid="{F0083DBC-BA3F-499A-AB41-58DC14E7EC9B}" name="Variable" dataDxfId="49"/>
    <tableColumn id="4" xr3:uid="{2D9C78CB-0A98-4E06-A17A-328F6643A2AB}" name="Value" dataDxfId="48"/>
    <tableColumn id="5" xr3:uid="{2D40A785-0BF0-4D20-A6A3-606AF3EAEA1D}" name="Unit" dataDxfId="47"/>
    <tableColumn id="6" xr3:uid="{47E47CE1-84EE-4BBF-AF16-7CD09E32C8D5}" name="Comparisons" dataDxfId="46"/>
    <tableColumn id="7" xr3:uid="{1E01755C-F10B-47AF-87D2-261FE9E5C304}" name="Variable Type" dataDxfId="45"/>
    <tableColumn id="8" xr3:uid="{A1508BC9-F251-4C78-AFE1-9780568F4570}" name="Dependency" dataDxfId="44"/>
    <tableColumn id="12" xr3:uid="{483B9187-B663-438A-A6C2-F92DD2C5981E}" name="Test 1" dataDxfId="43"/>
    <tableColumn id="10" xr3:uid="{B0989B53-E4FA-42D2-AC40-B81EF1952308}" name="Test 2" dataDxfId="42"/>
    <tableColumn id="2" xr3:uid="{3B51E6F8-78E0-4FDA-AE7D-0D8F50BB7A78}" name="Test 3" dataDxfId="41"/>
    <tableColumn id="9" xr3:uid="{87AE414E-FFE1-4067-A57C-04659EEE8430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D4652DE0-AD05-4BC4-B7DC-B91D6E15B5B2}" name="Variable" dataDxfId="29"/>
    <tableColumn id="4" xr3:uid="{2F59C491-C7E1-4257-A250-2EA854EB6288}" name="Value" dataDxfId="28"/>
    <tableColumn id="5" xr3:uid="{34876DE5-AC85-42AE-9A77-1A7DBC37EA9C}" name="Unit" dataDxfId="27"/>
    <tableColumn id="6" xr3:uid="{16522C00-28AB-414D-9B4E-DF5790D96FB0}" name="Comparisons" dataDxfId="26"/>
    <tableColumn id="7" xr3:uid="{A1C9D628-05B1-4FEF-97C7-8DAC16591D17}" name="Variable Type" dataDxfId="25"/>
    <tableColumn id="8" xr3:uid="{21ED6E86-E0CA-4EA6-8452-7E8EC49D47E9}" name="Dependency" dataDxfId="24"/>
    <tableColumn id="12" xr3:uid="{833F4E3C-8288-4E33-9D60-BB141BA16440}" name="Test 1" dataDxfId="23"/>
    <tableColumn id="10" xr3:uid="{B5ACF3FF-F7B5-4328-AF7F-9A1641C64EBC}" name="Test 2" dataDxfId="22"/>
    <tableColumn id="2" xr3:uid="{69651FF2-E47D-4C8B-88C9-DEAB4746E36D}" name="Test 3" dataDxfId="21"/>
    <tableColumn id="9" xr3:uid="{7323C7D4-0CE9-41A5-811B-0D3D008EC15F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6640625" style="33" customWidth="1"/>
    <col min="5" max="5" width="51.33203125" style="34" bestFit="1" customWidth="1"/>
    <col min="6" max="6" width="15.6640625" style="35" bestFit="1" customWidth="1"/>
    <col min="7" max="9" width="13.33203125" style="33" customWidth="1"/>
    <col min="10" max="10" width="48.66406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126</v>
      </c>
      <c r="E4" s="50"/>
      <c r="F4" s="51"/>
      <c r="G4" s="52"/>
      <c r="H4" s="52"/>
      <c r="I4" s="52"/>
      <c r="J4" s="36" t="s">
        <v>83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120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125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123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69</v>
      </c>
      <c r="H1" s="1" t="s">
        <v>70</v>
      </c>
      <c r="I1" s="1" t="s">
        <v>71</v>
      </c>
      <c r="J1" s="7" t="s">
        <v>73</v>
      </c>
      <c r="K1" s="7" t="s">
        <v>6</v>
      </c>
      <c r="L1" t="s">
        <v>81</v>
      </c>
      <c r="M1" t="s">
        <v>78</v>
      </c>
      <c r="N1" t="s">
        <v>79</v>
      </c>
      <c r="O1" t="s">
        <v>82</v>
      </c>
      <c r="P1" t="s">
        <v>87</v>
      </c>
      <c r="Q1" t="s">
        <v>90</v>
      </c>
      <c r="R1" t="s">
        <v>98</v>
      </c>
      <c r="S1" t="s">
        <v>99</v>
      </c>
      <c r="T1" t="s">
        <v>108</v>
      </c>
      <c r="U1" t="s">
        <v>109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110</v>
      </c>
    </row>
    <row r="4" spans="1:21" x14ac:dyDescent="0.2">
      <c r="A4" t="s">
        <v>80</v>
      </c>
      <c r="B4" t="s">
        <v>21</v>
      </c>
      <c r="C4" t="s">
        <v>43</v>
      </c>
      <c r="D4" t="s">
        <v>75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111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112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113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114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115</v>
      </c>
    </row>
    <row r="9" spans="1:21" x14ac:dyDescent="0.2">
      <c r="B9" t="s">
        <v>88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116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89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107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4" sqref="B14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63</v>
      </c>
      <c r="F9" s="28" t="s">
        <v>38</v>
      </c>
      <c r="G9" s="28" t="s">
        <v>64</v>
      </c>
      <c r="H9" s="27" t="s">
        <v>65</v>
      </c>
      <c r="I9" s="29" t="s">
        <v>72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129</v>
      </c>
    </row>
    <row r="11" spans="1:10" ht="64" x14ac:dyDescent="0.2">
      <c r="A11" s="47" t="s">
        <v>128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130</v>
      </c>
    </row>
    <row r="12" spans="1:10" ht="32" x14ac:dyDescent="0.2">
      <c r="A12" s="4" t="s">
        <v>62</v>
      </c>
      <c r="B12" s="30" t="s">
        <v>134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124</v>
      </c>
    </row>
    <row r="13" spans="1:10" ht="32" x14ac:dyDescent="0.2">
      <c r="A13" s="4" t="s">
        <v>133</v>
      </c>
      <c r="B13" s="30" t="s">
        <v>132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124</v>
      </c>
    </row>
    <row r="14" spans="1:10" ht="16" x14ac:dyDescent="0.2">
      <c r="A14" s="8" t="s">
        <v>76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77</v>
      </c>
    </row>
    <row r="15" spans="1:10" ht="14.75" hidden="1" customHeight="1" x14ac:dyDescent="0.2"/>
  </sheetData>
  <sheetProtection selectLockedCells="1"/>
  <mergeCells count="2">
    <mergeCell ref="A3:J3"/>
    <mergeCell ref="J4:J8"/>
  </mergeCells>
  <conditionalFormatting sqref="B10:B14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690">
      <formula>IF(COUNTA($B$10:$B$14)&lt;&gt;COUNTIF($I$10:$I$14,1),1,0)</formula>
    </cfRule>
    <cfRule type="expression" dxfId="55" priority="6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63</v>
      </c>
      <c r="F9" s="28" t="s">
        <v>38</v>
      </c>
      <c r="G9" s="28" t="s">
        <v>64</v>
      </c>
      <c r="H9" s="27" t="s">
        <v>65</v>
      </c>
      <c r="I9" s="29" t="s">
        <v>72</v>
      </c>
      <c r="J9" s="29" t="s">
        <v>12</v>
      </c>
    </row>
    <row r="10" spans="1:10" ht="16" x14ac:dyDescent="0.2">
      <c r="A10" s="4" t="s">
        <v>117</v>
      </c>
      <c r="B10" s="30">
        <v>28</v>
      </c>
      <c r="C10" s="2" t="s">
        <v>118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119</v>
      </c>
    </row>
    <row r="11" spans="1:10" ht="16" x14ac:dyDescent="0.2">
      <c r="A11" s="4" t="s">
        <v>135</v>
      </c>
      <c r="B11" s="30">
        <v>44</v>
      </c>
      <c r="C11" s="2" t="s">
        <v>118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119</v>
      </c>
    </row>
    <row r="12" spans="1:10" ht="16" x14ac:dyDescent="0.2">
      <c r="A12" s="8" t="s">
        <v>76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77</v>
      </c>
    </row>
    <row r="13" spans="1:10" ht="14.75" hidden="1" customHeight="1" x14ac:dyDescent="0.2"/>
  </sheetData>
  <sheetProtection selectLockedCells="1"/>
  <mergeCells count="2">
    <mergeCell ref="A3:J3"/>
    <mergeCell ref="J4:J8"/>
  </mergeCells>
  <conditionalFormatting sqref="B10:B12">
    <cfRule type="expression" dxfId="39" priority="16">
      <formula>IF(AND($B10&lt;&gt;"",$I10=0),1,0)</formula>
    </cfRule>
    <cfRule type="expression" dxfId="38" priority="17">
      <formula>IF($B10&lt;&gt;"",1,0)</formula>
    </cfRule>
    <cfRule type="expression" dxfId="37" priority="18">
      <formula>$I10=0</formula>
    </cfRule>
  </conditionalFormatting>
  <conditionalFormatting sqref="J4">
    <cfRule type="expression" dxfId="36" priority="714">
      <formula>IF(COUNTA($B$10:$B$12)&lt;&gt;COUNTIF($I$10:$I$12,1),1,0)</formula>
    </cfRule>
    <cfRule type="expression" dxfId="35" priority="71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7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7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7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63</v>
      </c>
      <c r="F9" s="28" t="s">
        <v>38</v>
      </c>
      <c r="G9" s="28" t="s">
        <v>64</v>
      </c>
      <c r="H9" s="27" t="s">
        <v>65</v>
      </c>
      <c r="I9" s="29" t="s">
        <v>72</v>
      </c>
      <c r="J9" s="29" t="s">
        <v>12</v>
      </c>
    </row>
    <row r="10" spans="1:10" ht="32" x14ac:dyDescent="0.2">
      <c r="A10" s="4" t="s">
        <v>91</v>
      </c>
      <c r="B10" s="30">
        <v>0</v>
      </c>
      <c r="C10" s="2" t="s">
        <v>92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[1]Initialization!$B$14</f>
        <v>1</v>
      </c>
      <c r="J10" s="5" t="s">
        <v>131</v>
      </c>
    </row>
    <row r="11" spans="1:10" ht="32" x14ac:dyDescent="0.2">
      <c r="A11" s="4" t="s">
        <v>139</v>
      </c>
      <c r="B11" s="30">
        <v>37200</v>
      </c>
      <c r="C11" s="2" t="s">
        <v>92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[1]Initialization!$B$14</f>
        <v>1</v>
      </c>
      <c r="J11" s="5" t="s">
        <v>131</v>
      </c>
    </row>
    <row r="12" spans="1:10" ht="32" x14ac:dyDescent="0.2">
      <c r="A12" s="4" t="s">
        <v>102</v>
      </c>
      <c r="B12" s="30">
        <v>29.12</v>
      </c>
      <c r="C12" s="2" t="s">
        <v>93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100</v>
      </c>
    </row>
    <row r="13" spans="1:10" ht="32" x14ac:dyDescent="0.2">
      <c r="A13" s="4" t="s">
        <v>138</v>
      </c>
      <c r="B13" s="30">
        <v>37.119999999999997</v>
      </c>
      <c r="C13" s="2" t="s">
        <v>93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100</v>
      </c>
    </row>
    <row r="14" spans="1:10" ht="32" x14ac:dyDescent="0.2">
      <c r="A14" s="47" t="s">
        <v>103</v>
      </c>
      <c r="B14" s="30">
        <f>B12-8.314</f>
        <v>20.806000000000001</v>
      </c>
      <c r="C14" s="2" t="s">
        <v>93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101</v>
      </c>
    </row>
    <row r="15" spans="1:10" ht="32" x14ac:dyDescent="0.2">
      <c r="A15" s="47" t="s">
        <v>137</v>
      </c>
      <c r="B15" s="30">
        <f>B13-8.314</f>
        <v>28.805999999999997</v>
      </c>
      <c r="C15" s="2" t="s">
        <v>93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101</v>
      </c>
    </row>
    <row r="16" spans="1:10" ht="32" x14ac:dyDescent="0.2">
      <c r="A16" s="47" t="s">
        <v>105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104</v>
      </c>
    </row>
    <row r="17" spans="1:10" ht="32" x14ac:dyDescent="0.2">
      <c r="A17" s="47" t="s">
        <v>136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104</v>
      </c>
    </row>
    <row r="18" spans="1:10" ht="16" x14ac:dyDescent="0.2">
      <c r="A18" s="8" t="s">
        <v>76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77</v>
      </c>
    </row>
    <row r="19" spans="1:10" ht="14.75" hidden="1" customHeight="1" x14ac:dyDescent="0.2"/>
    <row r="20" spans="1:10" ht="14.75" hidden="1" customHeight="1" x14ac:dyDescent="0.2"/>
    <row r="21" spans="1:10" ht="14.75" hidden="1" customHeight="1" x14ac:dyDescent="0.2"/>
    <row r="22" spans="1:10" ht="14.75" hidden="1" customHeight="1" x14ac:dyDescent="0.2"/>
  </sheetData>
  <sheetProtection algorithmName="SHA-512" hashValue="WkGFvQWsjOWAIg98NCmroWsZKFCZeFV3WvGz7Fu/gDqKrZLgDlakiwoOXJFaX3erNFXBX9xOucpxiCdJSpxAFw==" saltValue="HsBclZI5yGjm1MdUp0r47w==" spinCount="100000" sheet="1" objects="1" scenarios="1" selectLockedCells="1"/>
  <mergeCells count="2">
    <mergeCell ref="A3:J3"/>
    <mergeCell ref="J4:J8"/>
  </mergeCells>
  <conditionalFormatting sqref="B10:B18">
    <cfRule type="expression" dxfId="19" priority="43">
      <formula>IF(AND($B10&lt;&gt;"",$I10=0),1,0)</formula>
    </cfRule>
    <cfRule type="expression" dxfId="18" priority="44">
      <formula>IF($B10&lt;&gt;"",1,0)</formula>
    </cfRule>
    <cfRule type="expression" dxfId="17" priority="45">
      <formula>$I10=0</formula>
    </cfRule>
  </conditionalFormatting>
  <conditionalFormatting sqref="J4">
    <cfRule type="expression" dxfId="16" priority="810">
      <formula>IF(COUNTA($B$10:$B$18)&lt;&gt;COUNTIF($I$10:$I$18,1),1,0)</formula>
    </cfRule>
    <cfRule type="expression" dxfId="15" priority="811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6640625" style="56" customWidth="1"/>
    <col min="3" max="3" width="13.1640625" style="56" customWidth="1"/>
    <col min="4" max="4" width="13.5" style="56" customWidth="1"/>
    <col min="5" max="6" width="8.6640625" style="56" customWidth="1"/>
    <col min="7" max="7" width="14.66406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6640625" style="56" customWidth="1"/>
    <col min="18" max="16384" width="8.6640625" style="56" hidden="1"/>
  </cols>
  <sheetData>
    <row r="1" spans="1:17" ht="15" x14ac:dyDescent="0.2">
      <c r="A1" s="53" t="s">
        <v>127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83</v>
      </c>
    </row>
    <row r="2" spans="1:17" ht="15" x14ac:dyDescent="0.2">
      <c r="A2" s="65" t="s">
        <v>121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122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95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96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97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86</v>
      </c>
    </row>
    <row r="2" spans="1:1" x14ac:dyDescent="0.2">
      <c r="A2" t="s">
        <v>84</v>
      </c>
    </row>
    <row r="3" spans="1:1" x14ac:dyDescent="0.2">
      <c r="A3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5</v>
      </c>
      <c r="B1" t="s">
        <v>128</v>
      </c>
      <c r="C1" t="s">
        <v>62</v>
      </c>
      <c r="D1" t="s">
        <v>133</v>
      </c>
      <c r="E1" t="s">
        <v>76</v>
      </c>
      <c r="F1" t="s">
        <v>117</v>
      </c>
      <c r="G1" t="s">
        <v>135</v>
      </c>
      <c r="H1" t="s">
        <v>76</v>
      </c>
      <c r="I1" t="s">
        <v>91</v>
      </c>
      <c r="J1" t="s">
        <v>139</v>
      </c>
      <c r="K1" t="s">
        <v>102</v>
      </c>
      <c r="L1" t="s">
        <v>138</v>
      </c>
      <c r="M1" t="s">
        <v>103</v>
      </c>
      <c r="N1" t="s">
        <v>137</v>
      </c>
      <c r="O1" t="s">
        <v>105</v>
      </c>
      <c r="P1" t="s">
        <v>136</v>
      </c>
      <c r="Q1" t="s">
        <v>76</v>
      </c>
    </row>
    <row r="2" spans="1:17" x14ac:dyDescent="0.2">
      <c r="A2">
        <v>2</v>
      </c>
      <c r="B2">
        <v>1</v>
      </c>
      <c r="C2" t="s">
        <v>134</v>
      </c>
      <c r="D2" t="s">
        <v>132</v>
      </c>
      <c r="F2">
        <v>28</v>
      </c>
      <c r="G2">
        <v>44</v>
      </c>
      <c r="I2">
        <v>0</v>
      </c>
      <c r="J2">
        <v>37200</v>
      </c>
      <c r="K2">
        <v>29.12</v>
      </c>
      <c r="L2">
        <v>37.119999999999997</v>
      </c>
      <c r="M2">
        <v>20.806000000000001</v>
      </c>
      <c r="N2">
        <v>28.805999999999997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5</v>
      </c>
      <c r="B1" t="s">
        <v>128</v>
      </c>
      <c r="C1" t="s">
        <v>62</v>
      </c>
      <c r="D1" t="s">
        <v>133</v>
      </c>
      <c r="E1" t="s">
        <v>76</v>
      </c>
      <c r="F1" t="s">
        <v>117</v>
      </c>
      <c r="G1" t="s">
        <v>135</v>
      </c>
      <c r="H1" t="s">
        <v>76</v>
      </c>
      <c r="I1" t="s">
        <v>91</v>
      </c>
      <c r="J1" t="s">
        <v>139</v>
      </c>
      <c r="K1" t="s">
        <v>102</v>
      </c>
      <c r="L1" t="s">
        <v>138</v>
      </c>
      <c r="M1" t="s">
        <v>103</v>
      </c>
      <c r="N1" t="s">
        <v>137</v>
      </c>
      <c r="O1" t="s">
        <v>105</v>
      </c>
      <c r="P1" t="s">
        <v>136</v>
      </c>
      <c r="Q1" t="s">
        <v>76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2024-11-28T23:01:17Z</dcterms:modified>
</cp:coreProperties>
</file>