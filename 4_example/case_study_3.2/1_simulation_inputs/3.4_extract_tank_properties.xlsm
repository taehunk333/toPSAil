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3.2\1_simulation_inputs\"/>
    </mc:Choice>
  </mc:AlternateContent>
  <xr:revisionPtr revIDLastSave="0" documentId="13_ncr:1_{8ED6A1E6-A827-4DBF-8DF6-F541400308E1}" xr6:coauthVersionLast="47" xr6:coauthVersionMax="47" xr10:uidLastSave="{00000000-0000-0000-0000-000000000000}"/>
  <bookViews>
    <workbookView xWindow="-108" yWindow="-108" windowWidth="23256" windowHeight="13176" tabRatio="818" firstSheet="1" activeTab="4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2" i="40" l="1"/>
  <c r="I13" i="31" l="1"/>
  <c r="I11" i="31"/>
  <c r="I10" i="31"/>
  <c r="I12" i="44"/>
  <c r="I11" i="44"/>
  <c r="I10" i="44"/>
  <c r="J2" i="44"/>
  <c r="A2" i="44"/>
  <c r="J2" i="31"/>
  <c r="A2" i="31"/>
  <c r="J2" i="43"/>
  <c r="A2" i="43"/>
  <c r="J2" i="40"/>
  <c r="A2" i="40"/>
  <c r="J4" i="43"/>
  <c r="J4" i="44" l="1"/>
  <c r="J4" i="40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tc={BFBD78E5-9EE4-334E-826B-E559878AC5A5}</author>
    <author>tc={CF3A891B-E796-674E-945C-6344035A52CE}</author>
    <author>tc={47BCAC97-CDA4-034E-BF46-600F87DE587F}</author>
  </authors>
  <commentList>
    <comment ref="G9" authorId="0" shapeId="0" xr:uid="{BFBD78E5-9EE4-334E-826B-E559878AC5A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F3A891B-E796-674E-945C-6344035A52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47BCAC97-CDA4-034E-BF46-600F87DE587F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<sst xmlns="http://schemas.openxmlformats.org/spreadsheetml/2006/main" count="281" uniqueCount="140">
  <si>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</si>
  <si>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</si>
  <si>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</si>
  <si>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</si>
  <si>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</si>
  <si>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</si>
  <si>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</si>
  <si>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</si>
  <si>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</si>
  <si>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</si>
  <si>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</si>
  <si>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</si>
  <si>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</si>
  <si>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</si>
  <si>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</si>
  <si>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</si>
  <si>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</si>
  <si>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</si>
  <si>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</si>
  <si>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</si>
  <si>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</si>
  <si>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</si>
  <si>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</si>
  <si>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</si>
  <si>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</si>
  <si>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</si>
  <si>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</si>
  <si>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</si>
  <si>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</si>
  <si>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</si>
  <si>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</si>
  <si>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</si>
  <si>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</si>
  <si>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</si>
  <si>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</si>
  <si>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</si>
  <si>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</si>
  <si>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</si>
  <si>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</si>
  <si>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</si>
  <si>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</si>
  <si>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</si>
  <si>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</si>
  <si>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</si>
  <si>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</si>
  <si>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</si>
  <si>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</si>
  <si>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</si>
  <si>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</si>
  <si>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</si>
  <si>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</si>
  <si>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</si>
  <si>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</si>
  <si>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</si>
  <si>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</si>
  <si>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</si>
  <si>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</si>
  <si>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</si>
  <si>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</si>
  <si>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</si>
  <si>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</si>
  <si>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</si>
  <si>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</si>
  <si>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</si>
  <si>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</si>
  <si>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</si>
  <si>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</si>
  <si>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</si>
  <si>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</si>
  <si>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</si>
  <si>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</si>
  <si>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</si>
  <si>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</si>
  <si>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</si>
  <si>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</si>
  <si>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</si>
  <si>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</si>
  <si>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</si>
  <si>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</si>
  <si>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</si>
  <si>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</si>
  <si>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</si>
  <si>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</si>
  <si>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</si>
  <si>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</si>
  <si>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</si>
  <si>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</si>
  <si>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</si>
  <si>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</si>
  <si>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</si>
  <si>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</si>
  <si>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</si>
  <si>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</si>
  <si>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</si>
  <si>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</si>
  <si>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</si>
  <si>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</si>
  <si>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</si>
  <si>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</si>
  <si>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</si>
  <si>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</si>
  <si>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</si>
  <si>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</si>
  <si>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</si>
  <si>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</si>
  <si>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</si>
  <si>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</si>
  <si>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</si>
  <si>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</si>
  <si>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</si>
  <si>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</si>
  <si>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</si>
  <si>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</si>
  <si>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inConExTa</t>
  </si>
  <si>
    <t>tempExTa</t>
  </si>
  <si>
    <t>presExTa</t>
  </si>
  <si>
    <t>radInExTa</t>
  </si>
  <si>
    <t>radOutExTa</t>
  </si>
  <si>
    <t>heightExTa</t>
  </si>
  <si>
    <t>htTrCoInExTa</t>
  </si>
  <si>
    <t>htTrCoOutExTa</t>
  </si>
  <si>
    <t>waDensExTa</t>
  </si>
  <si>
    <t>htCapExTa</t>
  </si>
  <si>
    <t>Extract tank initial temperature</t>
  </si>
  <si>
    <t>The initial pressure for the extract tank</t>
  </si>
  <si>
    <t>Extract tank set pressure value</t>
  </si>
  <si>
    <t>Extract tank fully open pressure value</t>
  </si>
  <si>
    <t>Fully-open extract product tank outlet lienar valve constant</t>
  </si>
  <si>
    <t>presExTaSet</t>
  </si>
  <si>
    <t>presExTaFull</t>
  </si>
  <si>
    <t>valExTaFull</t>
  </si>
  <si>
    <t>kmol/bar-sec</t>
  </si>
  <si>
    <t>Finalized the spreadsheet for the v1.0 release</t>
  </si>
  <si>
    <t>REV. NO.2 (9/14/2022)</t>
  </si>
  <si>
    <t>Initial development of the "3.4_extract_tank_properties.xlsm" sheet.</t>
  </si>
  <si>
    <t>1 = extract product gas with no light keys at the feed pressure
2 = extract product gas with no light keys at the extract product pressure
3 = extract product gas at the feed pressure
4 = extract product gas at the extract product pressure</t>
  </si>
  <si>
    <t>the heat transfer coefficient from the extract tank to its wall</t>
  </si>
  <si>
    <t>the heat transfer coefficient from the extract tank wall to the ambient environment</t>
  </si>
  <si>
    <t>the wall density for the extract tank</t>
  </si>
  <si>
    <t>the heat capacity of the extract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</si>
</sst>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0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4" fillId="6" borderId="6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1866257</xdr:colOff>
      <xdr:row>28</xdr:row>
      <xdr:rowOff>134277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03826" y="4044353"/>
          <a:ext cx="9673131" cy="224942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7" name="Button 1" hidden="1">
                <a:extLst>
                  <a:ext uri="{63B3BB69-23CF-44E3-9099-C40C66FF867C}">
                    <a14:compatExt spid="_x0000_s70657"/>
                  </a:ext>
                  <a:ext uri="{FF2B5EF4-FFF2-40B4-BE49-F238E27FC236}">
                    <a16:creationId xmlns:a16="http://schemas.microsoft.com/office/drawing/2014/main" id="{00000000-0008-0000-0500-0000011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8" name="Button 2" hidden="1">
                <a:extLst>
                  <a:ext uri="{63B3BB69-23CF-44E3-9099-C40C66FF867C}">
                    <a14:compatExt spid="_x0000_s70658"/>
                  </a:ext>
                  <a:ext uri="{FF2B5EF4-FFF2-40B4-BE49-F238E27FC236}">
                    <a16:creationId xmlns:a16="http://schemas.microsoft.com/office/drawing/2014/main" id="{00000000-0008-0000-0500-0000021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9" name="Button 3" hidden="1">
                <a:extLst>
                  <a:ext uri="{63B3BB69-23CF-44E3-9099-C40C66FF867C}">
                    <a14:compatExt spid="_x0000_s70659"/>
                  </a:ext>
                  <a:ext uri="{FF2B5EF4-FFF2-40B4-BE49-F238E27FC236}">
                    <a16:creationId xmlns:a16="http://schemas.microsoft.com/office/drawing/2014/main" id="{00000000-0008-0000-0500-00000314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  <row r="14">
          <cell r="B1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89" dataDxfId="87" headerRowBorderDxfId="88" tableBorderDxfId="86" totalsRowBorderDxfId="85">
  <autoFilter ref="A9:J13" xr:uid="{B089C5C3-2CCE-4800-96CA-2131BB6E3E4F}"/>
  <tableColumns count="10">
    <tableColumn id="1" xr3:uid="{3E4F27FA-9CCD-488C-9FFE-8189DF89B2B5}" name="Variable" dataDxfId="84"/>
    <tableColumn id="4" xr3:uid="{4D38B92D-B1E9-4DDE-B914-6A4E9DB63C9E}" name="Value" dataDxfId="83"/>
    <tableColumn id="5" xr3:uid="{DE2ACEA5-F459-4C5B-ADEC-6214F75935FA}" name="Unit" dataDxfId="82"/>
    <tableColumn id="6" xr3:uid="{BBE9846A-4956-4FAF-848B-0B1F56311296}" name="Comparisons" dataDxfId="81"/>
    <tableColumn id="7" xr3:uid="{7604F104-935C-4D6C-98BF-97589769DD42}" name="Variable Type" dataDxfId="80"/>
    <tableColumn id="8" xr3:uid="{7D3892CD-8765-4699-977F-B3AA8A9AB120}" name="Dependency" dataDxfId="79"/>
    <tableColumn id="12" xr3:uid="{161D2FD1-7A78-4D8E-8024-885B20FF313F}" name="Test 1" dataDxfId="78"/>
    <tableColumn id="10" xr3:uid="{1AA44E52-6629-487F-B43F-5CEC7D36BB2A}" name="Test 2" dataDxfId="77"/>
    <tableColumn id="2" xr3:uid="{6AF5B301-E925-40CD-B0FD-ED73E5B71C10}" name="Test 3" dataDxfId="76"/>
    <tableColumn id="9" xr3:uid="{29E572B6-C772-4761-B1A5-7C1BBC5A9A8E}" name="Description" dataDxfId="7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66" dataDxfId="64" headerRowBorderDxfId="65" tableBorderDxfId="63" totalsRowBorderDxfId="62">
  <autoFilter ref="A9:J13" xr:uid="{B089C5C3-2CCE-4800-96CA-2131BB6E3E4F}"/>
  <tableColumns count="10">
    <tableColumn id="1" xr3:uid="{33A6A58D-364D-4A35-922C-DE212771E5A3}" name="Variable" dataDxfId="61"/>
    <tableColumn id="4" xr3:uid="{941C2A7D-BF3F-418E-B42D-DD80A4DE2A81}" name="Value" dataDxfId="60"/>
    <tableColumn id="5" xr3:uid="{C4E86D48-03E8-46FA-B8CA-6F5D6C6A2D12}" name="Unit" dataDxfId="59"/>
    <tableColumn id="6" xr3:uid="{665361F6-20BF-415D-BBF1-F45B832A29DE}" name="Comparisons" dataDxfId="58"/>
    <tableColumn id="7" xr3:uid="{F7A189BB-30E4-471C-9393-FF44966433C9}" name="Variable Type" dataDxfId="57"/>
    <tableColumn id="8" xr3:uid="{536CEEB4-5D6D-4FC9-B347-8D4F6CE10C67}" name="Dependency" dataDxfId="56"/>
    <tableColumn id="12" xr3:uid="{41F5DBE5-C5A3-4D63-A4BF-9774F11F14D3}" name="Test 1" dataDxfId="55"/>
    <tableColumn id="10" xr3:uid="{75ACAF5C-BDFE-45DE-AD7B-8EA0171A905D}" name="Test 2" dataDxfId="54"/>
    <tableColumn id="2" xr3:uid="{E0C16DCE-CCB9-4239-B5AF-7F90FE1422EF}" name="Test 3" dataDxfId="53"/>
    <tableColumn id="9" xr3:uid="{11A90378-9784-4E77-9A9A-BDE1BD80CAC4}" name="Description" dataDxfId="5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40" dataDxfId="38" headerRowBorderDxfId="39" tableBorderDxfId="37" totalsRowBorderDxfId="36">
  <autoFilter ref="A9:J14" xr:uid="{B089C5C3-2CCE-4800-96CA-2131BB6E3E4F}"/>
  <tableColumns count="10">
    <tableColumn id="1" xr3:uid="{897C7A45-3F96-4FAD-9D88-64BEDA59EE04}" name="Variable" dataDxfId="35"/>
    <tableColumn id="4" xr3:uid="{AC44F3C7-74B4-4404-BA30-07059568F4CD}" name="Value" dataDxfId="34"/>
    <tableColumn id="5" xr3:uid="{6083DF57-24E4-4D4A-B84A-AB4CE9566C0A}" name="Unit" dataDxfId="33"/>
    <tableColumn id="6" xr3:uid="{7B5B4F38-11BC-48C2-B29A-22FAFA39A76A}" name="Comparisons" dataDxfId="32"/>
    <tableColumn id="7" xr3:uid="{687831A6-7122-45C8-9279-6A017FA30571}" name="Variable Type" dataDxfId="31"/>
    <tableColumn id="8" xr3:uid="{F0D98687-63CA-49F2-A0F5-F43443FEED82}" name="Dependency" dataDxfId="30"/>
    <tableColumn id="12" xr3:uid="{57EFF7D5-281B-4073-9550-73D369BA3603}" name="Test 1" dataDxfId="29"/>
    <tableColumn id="10" xr3:uid="{886EC4A5-54AE-4612-B5FF-8B6E7B32A853}" name="Test 2" dataDxfId="28"/>
    <tableColumn id="2" xr3:uid="{C5B5DD0C-C82D-4FD9-A165-974B4B54478C}" name="Test 3" dataDxfId="27"/>
    <tableColumn id="9" xr3:uid="{E8B12666-0292-4BAB-9166-E185CB24DBFE}" name="Description" dataDxfId="2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26F4587-10E8-E142-BFA6-694C27AD97ED}" name="Table11024124" displayName="Table11024124" ref="A9:J13" totalsRowShown="0" headerRowDxfId="14" dataDxfId="12" headerRowBorderDxfId="13" tableBorderDxfId="11" totalsRowBorderDxfId="10">
  <autoFilter ref="A9:J13" xr:uid="{B089C5C3-2CCE-4800-96CA-2131BB6E3E4F}"/>
  <tableColumns count="10">
    <tableColumn id="1" xr3:uid="{E03556C7-2542-7E42-A9DD-B1B8B91BA401}" name="Variable" dataDxfId="9"/>
    <tableColumn id="4" xr3:uid="{2FB3926B-4F06-914C-8489-C571AF3E45A3}" name="Value" dataDxfId="8"/>
    <tableColumn id="5" xr3:uid="{3FE0AD7B-29E4-3F41-A352-0D9A013E1034}" name="Unit" dataDxfId="7"/>
    <tableColumn id="6" xr3:uid="{BEBE5713-FC2B-3641-A8D9-6F30F28745E2}" name="Comparisons" dataDxfId="6"/>
    <tableColumn id="7" xr3:uid="{E72AAD3E-1EEC-864B-BBFE-AC58AFD8D8A4}" name="Variable Type" dataDxfId="5"/>
    <tableColumn id="8" xr3:uid="{E16EACE8-8CD8-8445-9D50-A4B1D8C5A5EE}" name="Dependency" dataDxfId="4"/>
    <tableColumn id="12" xr3:uid="{C5D48C4A-1F90-2642-922D-B7C4A75D13C7}" name="Test 1" dataDxfId="3"/>
    <tableColumn id="10" xr3:uid="{DBD6BC71-7D86-E347-8006-AA37412875BA}" name="Test 2" dataDxfId="2"/>
    <tableColumn id="2" xr3:uid="{AD71067E-44E0-314C-B6D6-EE1385B3D736}" name="Test 3" dataDxfId="1"/>
    <tableColumn id="9" xr3:uid="{91F9B607-9917-9149-A87A-94169B16C2A1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BFBD78E5-9EE4-334E-826B-E559878AC5A5}">
    <text>place 1 if we want to keep the row when re-initializing. Otherwise, leave it as a blank.</text>
  </threadedComment>
  <threadedComment ref="H9" dT="2020-11-26T18:35:03.27" personId="{7F98AE94-13FB-49E1-9262-339C11E0EDB4}" id="{CF3A891B-E796-674E-945C-6344035A52CE}">
    <text>supply a value greater than 1 if you want to duplicate the row</text>
  </threadedComment>
  <threadedComment ref="I9" dT="2020-11-28T01:53:47.29" personId="{7F98AE94-13FB-49E1-9262-339C11E0EDB4}" id="{47BCAC97-CDA4-034E-BF46-600F87DE587F}">
    <text>1 means we need to have the variable specified; 0 means we need not have the variable specified</text>
  </threadedComment>
  <threadedComment ref="I9" dT="2020-11-28T01:56:42.32" personId="{7F98AE94-13FB-49E1-9262-339C11E0EDB4}" id="{7FD32E78-8CEB-ED42-B668-85FF1E74E6D7}" parentId="{47BCAC97-CDA4-034E-BF46-600F87DE587F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97</v>
      </c>
      <c r="R1" t="s">
        <v>98</v>
      </c>
      <c r="S1" t="s">
        <v>99</v>
      </c>
      <c r="T1" t="s">
        <v>103</v>
      </c>
      <c r="U1" t="s">
        <v>104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105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106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107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108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109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110</v>
      </c>
    </row>
    <row r="9" spans="1:21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111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101</v>
      </c>
    </row>
    <row r="12" spans="1:21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102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8" sqref="E8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133</v>
      </c>
      <c r="E4" s="43"/>
      <c r="F4" s="44"/>
      <c r="G4" s="45"/>
      <c r="H4" s="45"/>
      <c r="I4" s="45"/>
      <c r="J4" s="36" t="s">
        <v>86</v>
      </c>
    </row>
    <row r="5" spans="4:10" ht="36">
      <c r="D5" s="53" t="s">
        <v>39</v>
      </c>
      <c r="E5" s="53"/>
      <c r="F5" s="53"/>
      <c r="G5" s="53"/>
      <c r="H5" s="53"/>
      <c r="I5" s="53"/>
      <c r="J5" s="53"/>
    </row>
    <row r="6" spans="4:10" ht="18">
      <c r="D6" s="46" t="s">
        <v>33</v>
      </c>
      <c r="E6" s="46" t="s">
        <v>112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134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132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00.8">
      <c r="A10" s="4" t="s">
        <v>113</v>
      </c>
      <c r="B10" s="32">
        <v>3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135</v>
      </c>
    </row>
    <row r="11" spans="1:10" ht="14.4">
      <c r="A11" s="38" t="s">
        <v>114</v>
      </c>
      <c r="B11" s="32">
        <v>301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123</v>
      </c>
    </row>
    <row r="12" spans="1:10" ht="14.4">
      <c r="A12" s="4" t="s">
        <v>115</v>
      </c>
      <c r="B12" s="32">
        <f>500000/100000</f>
        <v>5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124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+3P3+28cbOTsYU6DRdmChITg0YpVUtON9ggF57opWjGhh5yNgmF4gGjy/026CGYQymKPU5IWVHAjGObUQ1v17w==" saltValue="OKVxyiAccC05uYvV7DtbOQ==" spinCount="100000" sheet="1" objects="1" scenarios="1" selectLockedCells="1"/>
  <mergeCells count="2">
    <mergeCell ref="A3:J3"/>
    <mergeCell ref="J4:J8"/>
  </mergeCells>
  <conditionalFormatting sqref="B13">
    <cfRule type="expression" dxfId="103" priority="43">
      <formula>IF(AND($B13&lt;&gt;"",$I13=0),1,0)</formula>
    </cfRule>
    <cfRule type="expression" dxfId="102" priority="44">
      <formula>IF($B13&lt;&gt;"",1,0)</formula>
    </cfRule>
    <cfRule type="expression" dxfId="101" priority="45">
      <formula>$I13=0</formula>
    </cfRule>
  </conditionalFormatting>
  <conditionalFormatting sqref="B10">
    <cfRule type="expression" dxfId="100" priority="34">
      <formula>IF(AND($B10&lt;&gt;"",$I10=0),1,0)</formula>
    </cfRule>
    <cfRule type="expression" dxfId="99" priority="35">
      <formula>IF($B10&lt;&gt;"",1,0)</formula>
    </cfRule>
    <cfRule type="expression" dxfId="98" priority="36">
      <formula>$I10=0</formula>
    </cfRule>
  </conditionalFormatting>
  <conditionalFormatting sqref="J4">
    <cfRule type="expression" dxfId="97" priority="2249">
      <formula>IF(COUNTA($B$10:$B$13)&lt;&gt;COUNTIF($I$10:$I$13,1),1,0)</formula>
    </cfRule>
    <cfRule type="expression" dxfId="96" priority="2250">
      <formula>IF(COUNTA($B$10:$B$13)=COUNTIF($I$10:$I$13,1),1,0)</formula>
    </cfRule>
  </conditionalFormatting>
  <conditionalFormatting sqref="B11">
    <cfRule type="expression" dxfId="95" priority="4">
      <formula>IF(AND($B11&lt;&gt;"",$I11=0),1,0)</formula>
    </cfRule>
    <cfRule type="expression" dxfId="94" priority="5">
      <formula>IF($B11&lt;&gt;"",1,0)</formula>
    </cfRule>
    <cfRule type="expression" dxfId="93" priority="6">
      <formula>$I11=0</formula>
    </cfRule>
  </conditionalFormatting>
  <conditionalFormatting sqref="B12">
    <cfRule type="expression" dxfId="92" priority="1">
      <formula>IF(AND($B12&lt;&gt;"",$I12=0),1,0)</formula>
    </cfRule>
    <cfRule type="expression" dxfId="91" priority="2">
      <formula>IF($B12&lt;&gt;"",1,0)</formula>
    </cfRule>
    <cfRule type="expression" dxfId="90" priority="3">
      <formula>$I12=0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K2" sqref="K1:M1048576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116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4.4">
      <c r="A11" s="38" t="s">
        <v>117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4.4">
      <c r="A12" s="38" t="s">
        <v>118</v>
      </c>
      <c r="B12" s="32">
        <v>33.800769771555913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HgvE2FMB2eGyMsPobwMg5ZQcBUBLV15kk8jzBy5hQeYv9q4Xpld/MCRW+jndo9TtwTcyoPU1qvyzxQKBiJuy2A==" saltValue="iXLv2RIKmnVli4/7Q1wMdA==" spinCount="100000" sheet="1" objects="1" scenarios="1" selectLockedCells="1"/>
  <mergeCells count="2">
    <mergeCell ref="A3:J3"/>
    <mergeCell ref="J4:J8"/>
  </mergeCells>
  <conditionalFormatting sqref="B13">
    <cfRule type="expression" dxfId="74" priority="31">
      <formula>IF(AND($B13&lt;&gt;"",$I13=0),1,0)</formula>
    </cfRule>
    <cfRule type="expression" dxfId="73" priority="32">
      <formula>IF($B13&lt;&gt;"",1,0)</formula>
    </cfRule>
    <cfRule type="expression" dxfId="72" priority="33">
      <formula>$I13=0</formula>
    </cfRule>
  </conditionalFormatting>
  <conditionalFormatting sqref="J4">
    <cfRule type="expression" dxfId="71" priority="2248">
      <formula>IF(COUNTA($B$10:$B$13)&lt;&gt;COUNTIF($I$10:$I$13,1),1,0)</formula>
    </cfRule>
    <cfRule type="expression" dxfId="70" priority="2249">
      <formula>IF(COUNTA($B$10:$B$13)=COUNTIF($I$10:$I$13,1),1,0)</formula>
    </cfRule>
  </conditionalFormatting>
  <conditionalFormatting sqref="B10:B12">
    <cfRule type="expression" dxfId="69" priority="1">
      <formula>IF(AND($B10&lt;&gt;"",$I10=0),1,0)</formula>
    </cfRule>
    <cfRule type="expression" dxfId="68" priority="2">
      <formula>IF($B10&lt;&gt;"",1,0)</formula>
    </cfRule>
    <cfRule type="expression" dxfId="67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J14"/>
  <sheetViews>
    <sheetView showGridLines="0" tabSelected="1" topLeftCell="A2" zoomScaleNormal="100" zoomScaleSheetLayoutView="85" workbookViewId="0">
      <pane ySplit="8" topLeftCell="A10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119</v>
      </c>
      <c r="B10" s="32">
        <v>48</v>
      </c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2">
        <f>[1]Initialization!$B$14</f>
        <v>1</v>
      </c>
      <c r="J10" s="5" t="s">
        <v>136</v>
      </c>
    </row>
    <row r="11" spans="1:10" ht="28.8">
      <c r="A11" s="38" t="s">
        <v>120</v>
      </c>
      <c r="B11" s="32">
        <v>1E-4</v>
      </c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2">
        <f>[1]Initialization!$B$14</f>
        <v>1</v>
      </c>
      <c r="J11" s="5" t="s">
        <v>137</v>
      </c>
    </row>
    <row r="12" spans="1:10" ht="14.4">
      <c r="A12" s="38" t="s">
        <v>121</v>
      </c>
      <c r="B12" s="32">
        <v>8.2380000000000005E-3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138</v>
      </c>
    </row>
    <row r="13" spans="1:10" ht="14.4">
      <c r="A13" s="38" t="s">
        <v>122</v>
      </c>
      <c r="B13" s="32">
        <v>500</v>
      </c>
      <c r="C13" s="35" t="s">
        <v>100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2">
        <f>[1]Initialization!$B$14</f>
        <v>1</v>
      </c>
      <c r="J13" s="5" t="s">
        <v>139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M2qVisfzUV0vqUIgdCM3DYtpMkFZRqrIaShUyV3ZMF+w+tvNrX+ouugVl0f3lI0YfDkVksnWQp0RPAktrGS4fQ==" saltValue="7XDkhN5PrWU6moKHp7aisQ==" spinCount="100000" sheet="1" objects="1" scenarios="1" selectLockedCells="1"/>
  <mergeCells count="2">
    <mergeCell ref="A3:J3"/>
    <mergeCell ref="J4:J8"/>
  </mergeCells>
  <conditionalFormatting sqref="B14">
    <cfRule type="expression" dxfId="51" priority="94">
      <formula>IF(AND($B14&lt;&gt;"",$I14=0),1,0)</formula>
    </cfRule>
    <cfRule type="expression" dxfId="50" priority="95">
      <formula>IF($B14&lt;&gt;"",1,0)</formula>
    </cfRule>
    <cfRule type="expression" dxfId="49" priority="96">
      <formula>$I14=0</formula>
    </cfRule>
  </conditionalFormatting>
  <conditionalFormatting sqref="J4">
    <cfRule type="expression" dxfId="48" priority="2253">
      <formula>IF(COUNTA($B$10:$B$14)&lt;&gt;COUNTIF($I$10:$I$14,1),1,0)</formula>
    </cfRule>
    <cfRule type="expression" dxfId="47" priority="2254">
      <formula>IF(COUNTA($B$10:$B$14)=COUNTIF($I$10:$I$14,1),1,0)</formula>
    </cfRule>
  </conditionalFormatting>
  <conditionalFormatting sqref="B12:B13">
    <cfRule type="expression" dxfId="46" priority="4">
      <formula>IF(AND($B12&lt;&gt;"",$I12=0),1,0)</formula>
    </cfRule>
    <cfRule type="expression" dxfId="45" priority="5">
      <formula>IF($B12&lt;&gt;"",1,0)</formula>
    </cfRule>
    <cfRule type="expression" dxfId="44" priority="6">
      <formula>$I12=0</formula>
    </cfRule>
  </conditionalFormatting>
  <conditionalFormatting sqref="B10:B11">
    <cfRule type="expression" dxfId="43" priority="1">
      <formula>IF(AND($B10&lt;&gt;"",$I10=0),1,0)</formula>
    </cfRule>
    <cfRule type="expression" dxfId="42" priority="2">
      <formula>IF($B10&lt;&gt;"",1,0)</formula>
    </cfRule>
    <cfRule type="expression" dxfId="41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30B231-BE59-BF42-8FAD-F94526288824}">
  <sheetPr codeName="Sheet21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0" sqref="B10:B12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IF(COUNTIF(Table11024124[Test 3],1)=COUNTA(Table11024124[Value]),"Ready","Not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128</v>
      </c>
      <c r="B10" s="32"/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52">
        <f>[1]Initialization!$B$12</f>
        <v>0</v>
      </c>
      <c r="J10" s="5" t="s">
        <v>125</v>
      </c>
    </row>
    <row r="11" spans="1:10" ht="14.4">
      <c r="A11" s="38" t="s">
        <v>129</v>
      </c>
      <c r="B11" s="32"/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2">
        <f>[1]Initialization!$B$12</f>
        <v>0</v>
      </c>
      <c r="J11" s="5" t="s">
        <v>126</v>
      </c>
    </row>
    <row r="12" spans="1:10" ht="28.8">
      <c r="A12" s="38" t="s">
        <v>130</v>
      </c>
      <c r="B12" s="51"/>
      <c r="C12" s="35" t="s">
        <v>131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2">
        <f>[1]Initialization!$B$12</f>
        <v>0</v>
      </c>
      <c r="J12" s="5" t="s">
        <v>127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L+pyZyq3Psy9fL1uSolpGUapA9samACvtnEUD73HANeGc0Zs5SVIM2OJcaxFIUP1RmI4ragTg/0pWNuSN4eN+A==" saltValue="sjWYWjAHqsWVEnjd4tn6yg==" spinCount="100000" sheet="1" objects="1" scenarios="1" selectLockedCells="1"/>
  <mergeCells count="2">
    <mergeCell ref="A3:J3"/>
    <mergeCell ref="J4:J8"/>
  </mergeCells>
  <conditionalFormatting sqref="B13">
    <cfRule type="expression" dxfId="25" priority="10">
      <formula>IF(AND($B13&lt;&gt;"",$I13=0),1,0)</formula>
    </cfRule>
    <cfRule type="expression" dxfId="24" priority="11">
      <formula>IF($B13&lt;&gt;"",1,0)</formula>
    </cfRule>
    <cfRule type="expression" dxfId="23" priority="12">
      <formula>$I13=0</formula>
    </cfRule>
  </conditionalFormatting>
  <conditionalFormatting sqref="B10:B11">
    <cfRule type="expression" dxfId="22" priority="4">
      <formula>IF(AND($B10&lt;&gt;"",$I10=0),1,0)</formula>
    </cfRule>
    <cfRule type="expression" dxfId="21" priority="5">
      <formula>IF($B10&lt;&gt;"",1,0)</formula>
    </cfRule>
    <cfRule type="expression" dxfId="20" priority="6">
      <formula>$I10=0</formula>
    </cfRule>
  </conditionalFormatting>
  <conditionalFormatting sqref="J4">
    <cfRule type="expression" dxfId="19" priority="2258">
      <formula>IF(COUNTA($B$10:$B$13)&lt;&gt;COUNTIF($I$10:$I$13,1),1,0)</formula>
    </cfRule>
    <cfRule type="expression" dxfId="18" priority="2259">
      <formula>IF(COUNTA($B$10:$B$13)=COUNTIF($I$10:$I$13,1),1,0)</formula>
    </cfRule>
  </conditionalFormatting>
  <conditionalFormatting sqref="B12">
    <cfRule type="expression" dxfId="17" priority="1">
      <formula>IF(AND($B12&lt;&gt;"",$I12=0),1,0)</formula>
    </cfRule>
    <cfRule type="expression" dxfId="16" priority="2">
      <formula>IF($B12&lt;&gt;"",1,0)</formula>
    </cfRule>
    <cfRule type="expression" dxfId="15" priority="3">
      <formula>$I12=0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065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FDF9CD4-9A9F-044F-9A0A-23FDF923FB28}">
          <x14:formula1>
            <xm:f>Reference!$C$2:$C$23</xm:f>
          </x14:formula1>
          <xm:sqref>F10:F13</xm:sqref>
        </x14:dataValidation>
        <x14:dataValidation type="list" allowBlank="1" showInputMessage="1" showErrorMessage="1" xr:uid="{5795A36D-73EE-A242-81EE-0CEB65D4C155}">
          <x14:formula1>
            <xm:f>Reference!$A$2:$A$8</xm:f>
          </x14:formula1>
          <xm:sqref>E10:E13</xm:sqref>
        </x14:dataValidation>
        <x14:dataValidation type="list" allowBlank="1" showInputMessage="1" showErrorMessage="1" xr:uid="{F740AB85-5467-8349-B0E2-1FF8702BDF5F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89</v>
      </c>
    </row>
    <row r="2" spans="1:1">
      <c r="A2" t="s">
        <v>87</v>
      </c>
    </row>
    <row r="3" spans="1:1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defaultColWidth="8.77734375" defaultRowHeight="14.4"/>
  <sheetData>
    <row r="1" spans="1:17">
      <c r="A1" t="s">
        <v>113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128</v>
      </c>
      <c r="O1" t="s">
        <v>129</v>
      </c>
      <c r="P1" t="s">
        <v>130</v>
      </c>
      <c r="Q1" t="s">
        <v>79</v>
      </c>
    </row>
    <row r="2" spans="1:17">
      <c r="A2">
        <v>3</v>
      </c>
      <c r="B2">
        <v>301</v>
      </c>
      <c r="C2">
        <v>5</v>
      </c>
      <c r="E2">
        <v>20</v>
      </c>
      <c r="F2">
        <v>20.5</v>
      </c>
      <c r="G2">
        <v>33.800769771555913</v>
      </c>
      <c r="I2">
        <v>48</v>
      </c>
      <c r="J2">
        <v>1E-4</v>
      </c>
      <c r="K2">
        <v>8.2380000000000005E-3</v>
      </c>
      <c r="L2">
        <v>500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topLeftCell="CC1" workbookViewId="0">
      <selection activeCell="CR2" sqref="CR2"/>
    </sheetView>
  </sheetViews>
  <sheetFormatPr defaultColWidth="8.77734375" defaultRowHeight="14.4"/>
  <sheetData>
    <row r="1" spans="1:17">
      <c r="A1" t="s">
        <v>113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128</v>
      </c>
      <c r="O1" t="s">
        <v>129</v>
      </c>
      <c r="P1" t="s">
        <v>130</v>
      </c>
      <c r="Q1" t="s">
        <v>79</v>
      </c>
    </row>
    <row r="2" spans="1:17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1</v>
      </c>
      <c r="J2">
        <v>1</v>
      </c>
      <c r="K2">
        <v>1</v>
      </c>
      <c r="L2">
        <v>1</v>
      </c>
      <c r="M2">
        <v>0</v>
      </c>
      <c r="N2">
        <v>0</v>
      </c>
      <c r="O2">
        <v>0</v>
      </c>
      <c r="P2">
        <v>0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2022-11-08T22:36:47Z</dcterms:modified>
</cp:coreProperties>
</file>