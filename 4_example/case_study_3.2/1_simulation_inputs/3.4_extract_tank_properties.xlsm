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2D0C3900-818E-423B-AB6F-7DC78EB124EF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2" i="40"/>
  <c r="I13" i="31" l="1"/>
  <c r="I11" i="31"/>
  <c r="I10" i="31"/>
  <c r="I12" i="44"/>
  <c r="I11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<sst xmlns="http://schemas.openxmlformats.org/spreadsheetml/2006/main" count="281" uniqueCount="140">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</sst>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7"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92" dataDxfId="90" headerRowBorderDxfId="91" tableBorderDxfId="89" totalsRowBorderDxfId="88">
  <autoFilter ref="A9:J13" xr:uid="{B089C5C3-2CCE-4800-96CA-2131BB6E3E4F}"/>
  <tableColumns count="10">
    <tableColumn id="1" xr3:uid="{3E4F27FA-9CCD-488C-9FFE-8189DF89B2B5}" name="Variable" dataDxfId="87"/>
    <tableColumn id="4" xr3:uid="{4D38B92D-B1E9-4DDE-B914-6A4E9DB63C9E}" name="Value" dataDxfId="86"/>
    <tableColumn id="5" xr3:uid="{DE2ACEA5-F459-4C5B-ADEC-6214F75935FA}" name="Unit" dataDxfId="85"/>
    <tableColumn id="6" xr3:uid="{BBE9846A-4956-4FAF-848B-0B1F56311296}" name="Comparisons" dataDxfId="84"/>
    <tableColumn id="7" xr3:uid="{7604F104-935C-4D6C-98BF-97589769DD42}" name="Variable Type" dataDxfId="83"/>
    <tableColumn id="8" xr3:uid="{7D3892CD-8765-4699-977F-B3AA8A9AB120}" name="Dependency" dataDxfId="82"/>
    <tableColumn id="12" xr3:uid="{161D2FD1-7A78-4D8E-8024-885B20FF313F}" name="Test 1" dataDxfId="81"/>
    <tableColumn id="10" xr3:uid="{1AA44E52-6629-487F-B43F-5CEC7D36BB2A}" name="Test 2" dataDxfId="80"/>
    <tableColumn id="2" xr3:uid="{6AF5B301-E925-40CD-B0FD-ED73E5B71C10}" name="Test 3" dataDxfId="79"/>
    <tableColumn id="9" xr3:uid="{29E572B6-C772-4761-B1A5-7C1BBC5A9A8E}" name="Description" dataDxfId="7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9" dataDxfId="67" headerRowBorderDxfId="68" tableBorderDxfId="66" totalsRowBorderDxfId="65">
  <autoFilter ref="A9:J13" xr:uid="{B089C5C3-2CCE-4800-96CA-2131BB6E3E4F}"/>
  <tableColumns count="10">
    <tableColumn id="1" xr3:uid="{33A6A58D-364D-4A35-922C-DE212771E5A3}" name="Variable" dataDxfId="64"/>
    <tableColumn id="4" xr3:uid="{941C2A7D-BF3F-418E-B42D-DD80A4DE2A81}" name="Value" dataDxfId="63"/>
    <tableColumn id="5" xr3:uid="{C4E86D48-03E8-46FA-B8CA-6F5D6C6A2D12}" name="Unit" dataDxfId="62"/>
    <tableColumn id="6" xr3:uid="{665361F6-20BF-415D-BBF1-F45B832A29DE}" name="Comparisons" dataDxfId="61"/>
    <tableColumn id="7" xr3:uid="{F7A189BB-30E4-471C-9393-FF44966433C9}" name="Variable Type" dataDxfId="60"/>
    <tableColumn id="8" xr3:uid="{536CEEB4-5D6D-4FC9-B347-8D4F6CE10C67}" name="Dependency" dataDxfId="59"/>
    <tableColumn id="12" xr3:uid="{41F5DBE5-C5A3-4D63-A4BF-9774F11F14D3}" name="Test 1" dataDxfId="58"/>
    <tableColumn id="10" xr3:uid="{75ACAF5C-BDFE-45DE-AD7B-8EA0171A905D}" name="Test 2" dataDxfId="57"/>
    <tableColumn id="2" xr3:uid="{E0C16DCE-CCB9-4239-B5AF-7F90FE1422EF}" name="Test 3" dataDxfId="56"/>
    <tableColumn id="9" xr3:uid="{11A90378-9784-4E77-9A9A-BDE1BD80CAC4}" name="Description" dataDxfId="5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3" dataDxfId="41" headerRowBorderDxfId="42" tableBorderDxfId="40" totalsRowBorderDxfId="39">
  <autoFilter ref="A9:J14" xr:uid="{B089C5C3-2CCE-4800-96CA-2131BB6E3E4F}"/>
  <tableColumns count="10">
    <tableColumn id="1" xr3:uid="{897C7A45-3F96-4FAD-9D88-64BEDA59EE04}" name="Variable" dataDxfId="38"/>
    <tableColumn id="4" xr3:uid="{AC44F3C7-74B4-4404-BA30-07059568F4CD}" name="Value" dataDxfId="37"/>
    <tableColumn id="5" xr3:uid="{6083DF57-24E4-4D4A-B84A-AB4CE9566C0A}" name="Unit" dataDxfId="36"/>
    <tableColumn id="6" xr3:uid="{7B5B4F38-11BC-48C2-B29A-22FAFA39A76A}" name="Comparisons" dataDxfId="35"/>
    <tableColumn id="7" xr3:uid="{687831A6-7122-45C8-9279-6A017FA30571}" name="Variable Type" dataDxfId="34"/>
    <tableColumn id="8" xr3:uid="{F0D98687-63CA-49F2-A0F5-F43443FEED82}" name="Dependency" dataDxfId="33"/>
    <tableColumn id="12" xr3:uid="{57EFF7D5-281B-4073-9550-73D369BA3603}" name="Test 1" dataDxfId="32"/>
    <tableColumn id="10" xr3:uid="{886EC4A5-54AE-4612-B5FF-8B6E7B32A853}" name="Test 2" dataDxfId="31"/>
    <tableColumn id="2" xr3:uid="{C5B5DD0C-C82D-4FD9-A165-974B4B54478C}" name="Test 3" dataDxfId="30"/>
    <tableColumn id="9" xr3:uid="{E8B12666-0292-4BAB-9166-E185CB24DBFE}" name="Description" dataDxfId="2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7" dataDxfId="15" headerRowBorderDxfId="16" tableBorderDxfId="14" totalsRowBorderDxfId="13">
  <autoFilter ref="A9:J13" xr:uid="{B089C5C3-2CCE-4800-96CA-2131BB6E3E4F}"/>
  <tableColumns count="10">
    <tableColumn id="1" xr3:uid="{E03556C7-2542-7E42-A9DD-B1B8B91BA401}" name="Variable" dataDxfId="12"/>
    <tableColumn id="4" xr3:uid="{2FB3926B-4F06-914C-8489-C571AF3E45A3}" name="Value" dataDxfId="0">
      <calculatedColumnFormula>500000/100000</calculatedColumnFormula>
    </tableColumn>
    <tableColumn id="5" xr3:uid="{3FE0AD7B-29E4-3F41-A352-0D9A013E1034}" name="Unit" dataDxfId="11"/>
    <tableColumn id="6" xr3:uid="{BEBE5713-FC2B-3641-A8D9-6F30F28745E2}" name="Comparisons" dataDxfId="10"/>
    <tableColumn id="7" xr3:uid="{E72AAD3E-1EEC-864B-BBFE-AC58AFD8D8A4}" name="Variable Type" dataDxfId="9"/>
    <tableColumn id="8" xr3:uid="{E16EACE8-8CD8-8445-9D50-A4B1D8C5A5EE}" name="Dependency" dataDxfId="8"/>
    <tableColumn id="12" xr3:uid="{C5D48C4A-1F90-2642-922D-B7C4A75D13C7}" name="Test 1" dataDxfId="7"/>
    <tableColumn id="10" xr3:uid="{DBD6BC71-7D86-E347-8006-AA37412875BA}" name="Test 2" dataDxfId="6"/>
    <tableColumn id="2" xr3:uid="{AD71067E-44E0-314C-B6D6-EE1385B3D736}" name="Test 3" dataDxfId="5"/>
    <tableColumn id="9" xr3:uid="{91F9B607-9917-9149-A87A-94169B16C2A1}" name="Description" dataDxf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2" t="s">
        <v>39</v>
      </c>
      <c r="E5" s="52"/>
      <c r="F5" s="52"/>
      <c r="G5" s="52"/>
      <c r="H5" s="52"/>
      <c r="I5" s="52"/>
      <c r="J5" s="52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323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500000/100000</f>
        <v>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Fhr8808Bkwjng4ImcGplpK2XEWEiYONl3u84EQJQysu74KxwrFUNjOFW7pUGFkTKzzm6pU1qfOCGf/h/SCjydQ==" saltValue="SidJQCg1BEamT91B7JxVCQ==" spinCount="100000" sheet="1" objects="1" scenarios="1" selectLockedCells="1"/>
  <mergeCells count="2">
    <mergeCell ref="A3:J3"/>
    <mergeCell ref="J4:J8"/>
  </mergeCells>
  <conditionalFormatting sqref="B13">
    <cfRule type="expression" dxfId="106" priority="43">
      <formula>IF(AND($B13&lt;&gt;"",$I13=0),1,0)</formula>
    </cfRule>
    <cfRule type="expression" dxfId="105" priority="44">
      <formula>IF($B13&lt;&gt;"",1,0)</formula>
    </cfRule>
    <cfRule type="expression" dxfId="104" priority="45">
      <formula>$I13=0</formula>
    </cfRule>
  </conditionalFormatting>
  <conditionalFormatting sqref="B10">
    <cfRule type="expression" dxfId="103" priority="34">
      <formula>IF(AND($B10&lt;&gt;"",$I10=0),1,0)</formula>
    </cfRule>
    <cfRule type="expression" dxfId="102" priority="35">
      <formula>IF($B10&lt;&gt;"",1,0)</formula>
    </cfRule>
    <cfRule type="expression" dxfId="101" priority="36">
      <formula>$I10=0</formula>
    </cfRule>
  </conditionalFormatting>
  <conditionalFormatting sqref="J4">
    <cfRule type="expression" dxfId="100" priority="2249">
      <formula>IF(COUNTA($B$10:$B$13)&lt;&gt;COUNTIF($I$10:$I$13,1),1,0)</formula>
    </cfRule>
    <cfRule type="expression" dxfId="99" priority="2250">
      <formula>IF(COUNTA($B$10:$B$13)=COUNTIF($I$10:$I$13,1),1,0)</formula>
    </cfRule>
  </conditionalFormatting>
  <conditionalFormatting sqref="B11">
    <cfRule type="expression" dxfId="98" priority="4">
      <formula>IF(AND($B11&lt;&gt;"",$I11=0),1,0)</formula>
    </cfRule>
    <cfRule type="expression" dxfId="97" priority="5">
      <formula>IF($B11&lt;&gt;"",1,0)</formula>
    </cfRule>
    <cfRule type="expression" dxfId="96" priority="6">
      <formula>$I11=0</formula>
    </cfRule>
  </conditionalFormatting>
  <conditionalFormatting sqref="B12">
    <cfRule type="expression" dxfId="95" priority="1">
      <formula>IF(AND($B12&lt;&gt;"",$I12=0),1,0)</formula>
    </cfRule>
    <cfRule type="expression" dxfId="94" priority="2">
      <formula>IF($B12&lt;&gt;"",1,0)</formula>
    </cfRule>
    <cfRule type="expression" dxfId="93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7" priority="31">
      <formula>IF(AND($B13&lt;&gt;"",$I13=0),1,0)</formula>
    </cfRule>
    <cfRule type="expression" dxfId="76" priority="32">
      <formula>IF($B13&lt;&gt;"",1,0)</formula>
    </cfRule>
    <cfRule type="expression" dxfId="75" priority="33">
      <formula>$I13=0</formula>
    </cfRule>
  </conditionalFormatting>
  <conditionalFormatting sqref="J4">
    <cfRule type="expression" dxfId="74" priority="2248">
      <formula>IF(COUNTA($B$10:$B$13)&lt;&gt;COUNTIF($I$10:$I$13,1),1,0)</formula>
    </cfRule>
    <cfRule type="expression" dxfId="73" priority="2249">
      <formula>IF(COUNTA($B$10:$B$13)=COUNTIF($I$10:$I$13,1),1,0)</formula>
    </cfRule>
  </conditionalFormatting>
  <conditionalFormatting sqref="B10:B12">
    <cfRule type="expression" dxfId="72" priority="1">
      <formula>IF(AND($B10&lt;&gt;"",$I10=0),1,0)</formula>
    </cfRule>
    <cfRule type="expression" dxfId="71" priority="2">
      <formula>IF($B10&lt;&gt;"",1,0)</formula>
    </cfRule>
    <cfRule type="expression" dxfId="70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2qVisfzUV0vqUIgdCM3DYtpMkFZRqrIaShUyV3ZMF+w+tvNrX+ouugVl0f3lI0YfDkVksnWQp0RPAktrGS4fQ==" saltValue="7XDkhN5PrWU6moKHp7aisQ==" spinCount="100000" sheet="1" objects="1" scenarios="1" selectLockedCells="1"/>
  <mergeCells count="2">
    <mergeCell ref="A3:J3"/>
    <mergeCell ref="J4:J8"/>
  </mergeCells>
  <conditionalFormatting sqref="B14">
    <cfRule type="expression" dxfId="54" priority="94">
      <formula>IF(AND($B14&lt;&gt;"",$I14=0),1,0)</formula>
    </cfRule>
    <cfRule type="expression" dxfId="53" priority="95">
      <formula>IF($B14&lt;&gt;"",1,0)</formula>
    </cfRule>
    <cfRule type="expression" dxfId="52" priority="96">
      <formula>$I14=0</formula>
    </cfRule>
  </conditionalFormatting>
  <conditionalFormatting sqref="J4">
    <cfRule type="expression" dxfId="51" priority="2253">
      <formula>IF(COUNTA($B$10:$B$14)&lt;&gt;COUNTIF($I$10:$I$14,1),1,0)</formula>
    </cfRule>
    <cfRule type="expression" dxfId="50" priority="2254">
      <formula>IF(COUNTA($B$10:$B$14)=COUNTIF($I$10:$I$14,1),1,0)</formula>
    </cfRule>
  </conditionalFormatting>
  <conditionalFormatting sqref="B12:B13">
    <cfRule type="expression" dxfId="49" priority="4">
      <formula>IF(AND($B12&lt;&gt;"",$I12=0),1,0)</formula>
    </cfRule>
    <cfRule type="expression" dxfId="48" priority="5">
      <formula>IF($B12&lt;&gt;"",1,0)</formula>
    </cfRule>
    <cfRule type="expression" dxfId="47" priority="6">
      <formula>$I12=0</formula>
    </cfRule>
  </conditionalFormatting>
  <conditionalFormatting sqref="B10:B11">
    <cfRule type="expression" dxfId="46" priority="1">
      <formula>IF(AND($B10&lt;&gt;"",$I10=0),1,0)</formula>
    </cfRule>
    <cfRule type="expression" dxfId="45" priority="2">
      <formula>IF($B10&lt;&gt;"",1,0)</formula>
    </cfRule>
    <cfRule type="expression" dxfId="4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3" t="s">
        <v>32</v>
      </c>
      <c r="B3" s="54"/>
      <c r="C3" s="54"/>
      <c r="D3" s="54"/>
      <c r="E3" s="54"/>
      <c r="F3" s="54"/>
      <c r="G3" s="54"/>
      <c r="H3" s="54"/>
      <c r="I3" s="54"/>
      <c r="J3" s="55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6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7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7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7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8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 t="shared" ref="B10:B13" si="0">500000/100000</f>
        <v>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11">
        <v>1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0</v>
      </c>
      <c r="J11" s="5" t="s">
        <v>126</v>
      </c>
    </row>
    <row r="12" spans="1:10" ht="28.8">
      <c r="A12" s="38" t="s">
        <v>130</v>
      </c>
      <c r="B12" s="59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LH06xPaGMGkn+IwLvOnd7DbMkZdZFTVw9xGZ4IaAyDlf0VB90OW/WkHq56cNRpyv7oH+ybQnL2fNYhYB3jAkrw==" saltValue="uXwOwPueDQR6WUyKCzj3Sw==" spinCount="100000" sheet="1" objects="1" scenarios="1" selectLockedCells="1"/>
  <mergeCells count="2">
    <mergeCell ref="A3:J3"/>
    <mergeCell ref="J4:J8"/>
  </mergeCells>
  <conditionalFormatting sqref="B13">
    <cfRule type="expression" dxfId="28" priority="13">
      <formula>IF(AND($B13&lt;&gt;"",$I13=0),1,0)</formula>
    </cfRule>
    <cfRule type="expression" dxfId="27" priority="14">
      <formula>IF($B13&lt;&gt;"",1,0)</formula>
    </cfRule>
    <cfRule type="expression" dxfId="26" priority="15">
      <formula>$I13=0</formula>
    </cfRule>
  </conditionalFormatting>
  <conditionalFormatting sqref="B11">
    <cfRule type="expression" dxfId="25" priority="7">
      <formula>IF(AND($B11&lt;&gt;"",$I11=0),1,0)</formula>
    </cfRule>
    <cfRule type="expression" dxfId="24" priority="8">
      <formula>IF($B11&lt;&gt;"",1,0)</formula>
    </cfRule>
    <cfRule type="expression" dxfId="23" priority="9">
      <formula>$I11=0</formula>
    </cfRule>
  </conditionalFormatting>
  <conditionalFormatting sqref="J4">
    <cfRule type="expression" dxfId="22" priority="2261">
      <formula>IF(COUNTA($B$10:$B$13)&lt;&gt;COUNTIF($I$10:$I$13,1),1,0)</formula>
    </cfRule>
    <cfRule type="expression" dxfId="21" priority="2262">
      <formula>IF(COUNTA($B$10:$B$13)=COUNTIF($I$10:$I$13,1),1,0)</formula>
    </cfRule>
  </conditionalFormatting>
  <conditionalFormatting sqref="B12">
    <cfRule type="expression" dxfId="20" priority="4">
      <formula>IF(AND($B12&lt;&gt;"",$I12=0),1,0)</formula>
    </cfRule>
    <cfRule type="expression" dxfId="19" priority="5">
      <formula>IF($B12&lt;&gt;"",1,0)</formula>
    </cfRule>
    <cfRule type="expression" dxfId="18" priority="6">
      <formula>$I12=0</formula>
    </cfRule>
  </conditionalFormatting>
  <conditionalFormatting sqref="B10">
    <cfRule type="expression" dxfId="3" priority="1">
      <formula>IF(AND($B10&lt;&gt;"",$I10=0),1,0)</formula>
    </cfRule>
    <cfRule type="expression" dxfId="2" priority="2">
      <formula>IF($B10&lt;&gt;"",1,0)</formula>
    </cfRule>
    <cfRule type="expression" dxfId="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323</v>
      </c>
      <c r="C2">
        <v>5</v>
      </c>
      <c r="E2">
        <v>20</v>
      </c>
      <c r="F2">
        <v>20.5</v>
      </c>
      <c r="G2">
        <v>33.800769771555913</v>
      </c>
      <c r="I2">
        <v>48</v>
      </c>
      <c r="J2">
        <v>1E-4</v>
      </c>
      <c r="K2">
        <v>8.2380000000000005E-3</v>
      </c>
      <c r="L2">
        <v>500</v>
      </c>
      <c r="N2">
        <v>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2022-12-01T23:05:11Z</dcterms:modified>
</cp:coreProperties>
</file>